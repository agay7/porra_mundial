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34669\Downloads\"/>
    </mc:Choice>
  </mc:AlternateContent>
  <xr:revisionPtr revIDLastSave="0" documentId="13_ncr:1_{EA8C6FAB-5FBF-4899-9861-C4A31F4F0D9C}" xr6:coauthVersionLast="47" xr6:coauthVersionMax="47" xr10:uidLastSave="{00000000-0000-0000-0000-000000000000}"/>
  <bookViews>
    <workbookView xWindow="-90" yWindow="0" windowWidth="9780" windowHeight="1017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BW43" i="3" s="1"/>
  <c r="E77" i="3"/>
  <c r="F78" i="3"/>
  <c r="E61" i="3"/>
  <c r="F62" i="3"/>
  <c r="F64" i="3"/>
  <c r="F72" i="3"/>
  <c r="E68" i="3"/>
  <c r="E70" i="3"/>
  <c r="BU34" i="3" l="1"/>
  <c r="BW28" i="3"/>
  <c r="BU26" i="3"/>
  <c r="BW24" i="3"/>
  <c r="BW15"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53" i="3" l="1"/>
  <c r="BX42" i="3"/>
  <c r="BX38"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8" i="3" l="1"/>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A13" i="3" l="1"/>
  <c r="CB17" i="3"/>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5"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21"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I26" i="3" s="1"/>
  <c r="CH40" i="3"/>
  <c r="CH11" i="3"/>
  <c r="O12" i="3" s="1"/>
  <c r="CH14" i="3"/>
  <c r="CH13" i="3"/>
  <c r="O13" i="3" s="1"/>
  <c r="CI17" i="3" l="1"/>
  <c r="O94" i="3"/>
  <c r="O64" i="3"/>
  <c r="CI35" i="3" s="1"/>
  <c r="N79" i="3"/>
  <c r="O93" i="3"/>
  <c r="CI52" i="3" s="1"/>
  <c r="N95" i="3"/>
  <c r="N96" i="3"/>
  <c r="O47" i="3"/>
  <c r="N61" i="3"/>
  <c r="O97" i="3"/>
  <c r="O44" i="3"/>
  <c r="N56" i="3"/>
  <c r="O95" i="3"/>
  <c r="CI27" i="3"/>
  <c r="N29" i="3"/>
  <c r="CJ50" i="3"/>
  <c r="O55" i="3"/>
  <c r="O33" i="3"/>
  <c r="CJ19" i="3" s="1"/>
  <c r="N9" i="3"/>
  <c r="N36" i="3"/>
  <c r="O41" i="3"/>
  <c r="CK25" i="3" s="1"/>
  <c r="O4" i="3"/>
  <c r="O69" i="3"/>
  <c r="CK40" i="3" s="1"/>
  <c r="N72" i="3"/>
  <c r="CK21" i="3"/>
  <c r="O30" i="3"/>
  <c r="N32" i="3"/>
  <c r="N7" i="3"/>
  <c r="O29" i="3"/>
  <c r="N49" i="3"/>
  <c r="N52" i="3"/>
  <c r="N54" i="3"/>
  <c r="N37" i="3"/>
  <c r="N8" i="3"/>
  <c r="O52" i="3"/>
  <c r="CK30" i="3" s="1"/>
  <c r="N97" i="3"/>
  <c r="O77" i="3"/>
  <c r="N80" i="3"/>
  <c r="N55" i="3"/>
  <c r="N81" i="3"/>
  <c r="CI42" i="3" s="1"/>
  <c r="N84" i="3"/>
  <c r="O5" i="3"/>
  <c r="CK8" i="3" s="1"/>
  <c r="N47" i="3"/>
  <c r="CK46" i="3"/>
  <c r="CI33" i="3"/>
  <c r="O53" i="3"/>
  <c r="O79" i="3"/>
  <c r="CI45" i="3" s="1"/>
  <c r="N6" i="3"/>
  <c r="N86" i="3"/>
  <c r="CK48" i="3" s="1"/>
  <c r="O32" i="3"/>
  <c r="CI12" i="3"/>
  <c r="CI43" i="3"/>
  <c r="N88" i="3"/>
  <c r="N30" i="3"/>
  <c r="CI25" i="3"/>
  <c r="CK6" i="3"/>
  <c r="CK18" i="3"/>
  <c r="CI18" i="3"/>
  <c r="N73" i="3"/>
  <c r="CI15" i="3"/>
  <c r="N15" i="3"/>
  <c r="CI11" i="3"/>
  <c r="O96" i="3"/>
  <c r="CJ53" i="3" s="1"/>
  <c r="CL53" i="3" s="1"/>
  <c r="N68" i="3"/>
  <c r="CK39" i="3" s="1"/>
  <c r="CK50" i="3"/>
  <c r="O40" i="3"/>
  <c r="O15" i="3"/>
  <c r="CI10" i="3" s="1"/>
  <c r="N65" i="3"/>
  <c r="O9" i="3"/>
  <c r="CI23" i="3"/>
  <c r="O36" i="3"/>
  <c r="CJ22" i="3" s="1"/>
  <c r="CK23" i="3"/>
  <c r="O61" i="3"/>
  <c r="CJ36" i="3" s="1"/>
  <c r="CI8" i="3"/>
  <c r="CI47" i="3"/>
  <c r="N13" i="3"/>
  <c r="O68" i="3"/>
  <c r="O57" i="3"/>
  <c r="O65" i="3"/>
  <c r="CK37" i="3" s="1"/>
  <c r="N40" i="3"/>
  <c r="O31" i="3"/>
  <c r="N92" i="3"/>
  <c r="CK51" i="3" s="1"/>
  <c r="CK12" i="3"/>
  <c r="N77" i="3"/>
  <c r="CI19" i="3"/>
  <c r="O25" i="3"/>
  <c r="O37" i="3"/>
  <c r="N5" i="3"/>
  <c r="CJ9" i="3" s="1"/>
  <c r="O72" i="3"/>
  <c r="CK41" i="3" s="1"/>
  <c r="CI38" i="3"/>
  <c r="O84" i="3"/>
  <c r="CI46" i="3" s="1"/>
  <c r="O87" i="3"/>
  <c r="N60" i="3"/>
  <c r="CK35" i="3" s="1"/>
  <c r="O78" i="3"/>
  <c r="O23" i="3"/>
  <c r="N94" i="3"/>
  <c r="CK52" i="3" s="1"/>
  <c r="N39" i="3"/>
  <c r="CK38" i="3"/>
  <c r="N4" i="3"/>
  <c r="CK7" i="3" s="1"/>
  <c r="CK19" i="3"/>
  <c r="N87" i="3"/>
  <c r="N25" i="3"/>
  <c r="O22" i="3"/>
  <c r="N76" i="3"/>
  <c r="CJ43" i="3" s="1"/>
  <c r="O49" i="3"/>
  <c r="CI29" i="3" s="1"/>
  <c r="N46" i="3"/>
  <c r="CJ28" i="3" s="1"/>
  <c r="N53" i="3"/>
  <c r="N85" i="3"/>
  <c r="N44" i="3"/>
  <c r="CK27" i="3" s="1"/>
  <c r="N12" i="3"/>
  <c r="O54" i="3"/>
  <c r="O89" i="3"/>
  <c r="O56" i="3"/>
  <c r="N24" i="3"/>
  <c r="O46" i="3"/>
  <c r="CI28" i="3"/>
  <c r="O21" i="3"/>
  <c r="CI16" i="3" s="1"/>
  <c r="N45" i="3"/>
  <c r="CK32" i="3"/>
  <c r="N16" i="3"/>
  <c r="CI48" i="3"/>
  <c r="CK26" i="3"/>
  <c r="CJ48" i="3"/>
  <c r="O20" i="3"/>
  <c r="CI14" i="3" s="1"/>
  <c r="N33" i="3"/>
  <c r="CK10" i="3"/>
  <c r="N69" i="3"/>
  <c r="O73" i="3"/>
  <c r="CI39" i="3" s="1"/>
  <c r="O60" i="3"/>
  <c r="CK34" i="3" s="1"/>
  <c r="O63" i="3"/>
  <c r="CI37" i="3" s="1"/>
  <c r="CI40" i="3"/>
  <c r="O70" i="3"/>
  <c r="CK17" i="3"/>
  <c r="N22" i="3"/>
  <c r="CK42" i="3"/>
  <c r="N78" i="3"/>
  <c r="CK44" i="3" s="1"/>
  <c r="O81" i="3"/>
  <c r="N14" i="3"/>
  <c r="CK11" i="3" s="1"/>
  <c r="CK13" i="3"/>
  <c r="N23" i="3"/>
  <c r="N20" i="3"/>
  <c r="CK15" i="3" s="1"/>
  <c r="O24" i="3"/>
  <c r="N17" i="3"/>
  <c r="O14" i="3"/>
  <c r="CK33" i="3"/>
  <c r="CK49" i="3"/>
  <c r="CK31" i="3"/>
  <c r="CI50" i="3" l="1"/>
  <c r="CL50" i="3" s="1"/>
  <c r="CI51" i="3"/>
  <c r="CI24" i="3"/>
  <c r="CK53" i="3"/>
  <c r="CI41" i="3"/>
  <c r="CI13" i="3"/>
  <c r="CK47" i="3"/>
  <c r="CI49" i="3"/>
  <c r="CI44" i="3"/>
  <c r="CK28" i="3"/>
  <c r="CK36" i="3"/>
  <c r="CI34" i="3"/>
  <c r="CK29" i="3"/>
  <c r="CJ18" i="3"/>
  <c r="CL18" i="3" s="1"/>
  <c r="CK24" i="3"/>
  <c r="CI22" i="3"/>
  <c r="CL22" i="3" s="1"/>
  <c r="CI20" i="3"/>
  <c r="CJ21" i="3"/>
  <c r="CL21" i="3" s="1"/>
  <c r="CI21" i="3"/>
  <c r="CK16" i="3"/>
  <c r="CI6" i="3"/>
  <c r="CK45" i="3"/>
  <c r="CK43" i="3"/>
  <c r="CI36" i="3"/>
  <c r="CL36" i="3" s="1"/>
  <c r="CK14" i="3"/>
  <c r="CK22" i="3"/>
  <c r="CI9" i="3"/>
  <c r="CL9" i="3" s="1"/>
  <c r="CI7" i="3"/>
  <c r="CJ30" i="3"/>
  <c r="CL30" i="3" s="1"/>
  <c r="CJ32" i="3"/>
  <c r="CL32" i="3" s="1"/>
  <c r="CJ52" i="3"/>
  <c r="CL52" i="3" s="1"/>
  <c r="CJ40" i="3"/>
  <c r="CL40" i="3" s="1"/>
  <c r="CJ26" i="3"/>
  <c r="CL26" i="3" s="1"/>
  <c r="CJ51" i="3"/>
  <c r="CL51" i="3" s="1"/>
  <c r="CJ45" i="3"/>
  <c r="CL45" i="3" s="1"/>
  <c r="CJ42" i="3"/>
  <c r="CL42" i="3" s="1"/>
  <c r="CL48" i="3"/>
  <c r="CJ47" i="3"/>
  <c r="CL47" i="3" s="1"/>
  <c r="CJ13" i="3"/>
  <c r="CJ44" i="3"/>
  <c r="CJ49" i="3"/>
  <c r="CL43" i="3"/>
  <c r="CJ46" i="3"/>
  <c r="CL46" i="3" s="1"/>
  <c r="CJ38" i="3"/>
  <c r="CL38" i="3" s="1"/>
  <c r="CJ33" i="3"/>
  <c r="CL33" i="3" s="1"/>
  <c r="CJ35" i="3"/>
  <c r="CL35" i="3" s="1"/>
  <c r="CJ31" i="3"/>
  <c r="CL31" i="3" s="1"/>
  <c r="CJ34" i="3"/>
  <c r="CL34" i="3" s="1"/>
  <c r="CL28" i="3"/>
  <c r="CJ17" i="3"/>
  <c r="CL17" i="3" s="1"/>
  <c r="CJ24" i="3"/>
  <c r="CJ11" i="3"/>
  <c r="CL11" i="3" s="1"/>
  <c r="CJ20" i="3"/>
  <c r="CJ15" i="3"/>
  <c r="CL15" i="3" s="1"/>
  <c r="CJ14" i="3"/>
  <c r="CL14" i="3" s="1"/>
  <c r="CL19" i="3"/>
  <c r="CJ16" i="3"/>
  <c r="CL16" i="3" s="1"/>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L24" i="3"/>
  <c r="CL49" i="3"/>
  <c r="CM51" i="3" s="1"/>
  <c r="CL44" i="3"/>
  <c r="CL13" i="3"/>
  <c r="CL20" i="3"/>
  <c r="CM35" i="3"/>
  <c r="CM36" i="3"/>
  <c r="CM52" i="3"/>
  <c r="CM41" i="3" l="1"/>
  <c r="CM39" i="3"/>
  <c r="CM42" i="3"/>
  <c r="CM26" i="3"/>
  <c r="CM24" i="3"/>
  <c r="CM37" i="3"/>
  <c r="CM47" i="3"/>
  <c r="CM25" i="3"/>
  <c r="CM13" i="3"/>
  <c r="CM10" i="3"/>
  <c r="CM8" i="3"/>
  <c r="CM9" i="3"/>
  <c r="CM27" i="3"/>
  <c r="CM11" i="3"/>
  <c r="CM12" i="3"/>
  <c r="CM48" i="3"/>
  <c r="CM29" i="3"/>
  <c r="CM23" i="3"/>
  <c r="CM6" i="3"/>
  <c r="CM19" i="3"/>
  <c r="CM14" i="3"/>
  <c r="CM7" i="3"/>
  <c r="CM32" i="3"/>
  <c r="CM20" i="3"/>
  <c r="CM28" i="3"/>
  <c r="CM33" i="3"/>
  <c r="CM38" i="3"/>
  <c r="CM46" i="3"/>
  <c r="CM49" i="3"/>
  <c r="CM44" i="3"/>
  <c r="CM31" i="3"/>
  <c r="CM34" i="3"/>
  <c r="CM15" i="3"/>
  <c r="CM21" i="3"/>
  <c r="CM30" i="3"/>
  <c r="CM43" i="3"/>
  <c r="CM16" i="3"/>
  <c r="CM22" i="3"/>
  <c r="CM40" i="3"/>
  <c r="CM53" i="3"/>
  <c r="CM50" i="3"/>
  <c r="CM17" i="3"/>
  <c r="CM45" i="3"/>
  <c r="CM18" i="3"/>
  <c r="CN11" i="3" l="1"/>
  <c r="Q17" i="3" s="1"/>
  <c r="CN52" i="3"/>
  <c r="R97" i="3" s="1"/>
  <c r="CN40" i="3"/>
  <c r="R73" i="3" s="1"/>
  <c r="CN41" i="3"/>
  <c r="Q71" i="3" s="1"/>
  <c r="CN44" i="3"/>
  <c r="Q77" i="3" s="1"/>
  <c r="CN6" i="3"/>
  <c r="Q7" i="3" s="1"/>
  <c r="CN15" i="3"/>
  <c r="Q25" i="3" s="1"/>
  <c r="CN16" i="3"/>
  <c r="R25" i="3" s="1"/>
  <c r="CN35" i="3"/>
  <c r="R63" i="3" s="1"/>
  <c r="CN53" i="3"/>
  <c r="Q95" i="3" s="1"/>
  <c r="CN42" i="3"/>
  <c r="Q76" i="3" s="1"/>
  <c r="CN23" i="3"/>
  <c r="R36" i="3" s="1"/>
  <c r="CN22" i="3"/>
  <c r="Q36" i="3" s="1"/>
  <c r="CN19" i="3"/>
  <c r="Q33" i="3" s="1"/>
  <c r="CN29" i="3"/>
  <c r="Q47" i="3" s="1"/>
  <c r="CN34" i="3"/>
  <c r="R65" i="3" s="1"/>
  <c r="CN24" i="3"/>
  <c r="Q37" i="3" s="1"/>
  <c r="CN49" i="3"/>
  <c r="Q87" i="3" s="1"/>
  <c r="CN30" i="3"/>
  <c r="R57" i="3" s="1"/>
  <c r="CN20" i="3"/>
  <c r="R33" i="3" s="1"/>
  <c r="CN27" i="3"/>
  <c r="R47" i="3" s="1"/>
  <c r="CN39" i="3"/>
  <c r="R71" i="3" s="1"/>
  <c r="CN8" i="3"/>
  <c r="Q5" i="3" s="1"/>
  <c r="CN17" i="3"/>
  <c r="Q24" i="3" s="1"/>
  <c r="CN50" i="3"/>
  <c r="Q94" i="3" s="1"/>
  <c r="CN9" i="3"/>
  <c r="Q6" i="3" s="1"/>
  <c r="CN45" i="3"/>
  <c r="Q79" i="3" s="1"/>
  <c r="CN46" i="3"/>
  <c r="Q84" i="3" s="1"/>
  <c r="CN37" i="3"/>
  <c r="R61" i="3" s="1"/>
  <c r="CN31" i="3"/>
  <c r="R52" i="3" s="1"/>
  <c r="CN12" i="3"/>
  <c r="R15" i="3" s="1"/>
  <c r="CN28" i="3"/>
  <c r="R46" i="3" s="1"/>
  <c r="CN13" i="3"/>
  <c r="R13" i="3" s="1"/>
  <c r="CN10" i="3"/>
  <c r="Q15" i="3" s="1"/>
  <c r="CN51" i="3"/>
  <c r="R92" i="3" s="1"/>
  <c r="CN38" i="3"/>
  <c r="Q70" i="3" s="1"/>
  <c r="CN47" i="3"/>
  <c r="Q89" i="3" s="1"/>
  <c r="CN43" i="3"/>
  <c r="R76" i="3" s="1"/>
  <c r="CN18" i="3"/>
  <c r="Q28" i="3" s="1"/>
  <c r="CN14" i="3"/>
  <c r="Q20" i="3" s="1"/>
  <c r="CN32" i="3"/>
  <c r="Q53" i="3" s="1"/>
  <c r="CN26" i="3"/>
  <c r="Q44" i="3" s="1"/>
  <c r="CN33" i="3"/>
  <c r="Q57" i="3" s="1"/>
  <c r="CN7" i="3"/>
  <c r="R4" i="3" s="1"/>
  <c r="CN48" i="3"/>
  <c r="Q85" i="3" s="1"/>
  <c r="CN36" i="3"/>
  <c r="R64" i="3" s="1"/>
  <c r="CN21" i="3"/>
  <c r="Q32" i="3" s="1"/>
  <c r="CN25" i="3"/>
  <c r="Q39" i="3" s="1"/>
  <c r="R12" i="3"/>
  <c r="R14" i="3"/>
  <c r="R81" i="3"/>
  <c r="Q69" i="3"/>
  <c r="R70" i="3"/>
  <c r="R69" i="3"/>
  <c r="Q78" i="3"/>
  <c r="Q93" i="3"/>
  <c r="R39" i="3"/>
  <c r="Q40" i="3"/>
  <c r="R30" i="3"/>
  <c r="Q72" i="3" l="1"/>
  <c r="CO30" i="3"/>
  <c r="Q81" i="3"/>
  <c r="Q52" i="3"/>
  <c r="CP30" i="3"/>
  <c r="R94" i="3"/>
  <c r="Q54" i="3"/>
  <c r="R80" i="3"/>
  <c r="R78" i="3"/>
  <c r="Q4" i="3"/>
  <c r="Q73" i="3"/>
  <c r="R68" i="3"/>
  <c r="R8" i="3"/>
  <c r="R28" i="3"/>
  <c r="CO18" i="3" s="1"/>
  <c r="R31" i="3"/>
  <c r="Q86" i="3"/>
  <c r="CO9" i="3"/>
  <c r="R93" i="3"/>
  <c r="R77" i="3"/>
  <c r="Q29" i="3"/>
  <c r="R85" i="3"/>
  <c r="R41" i="3"/>
  <c r="CP25" i="3" s="1"/>
  <c r="R44" i="3"/>
  <c r="Q65" i="3"/>
  <c r="R88" i="3"/>
  <c r="Q97" i="3"/>
  <c r="R23" i="3"/>
  <c r="Q38" i="3"/>
  <c r="Q63" i="3"/>
  <c r="Q48" i="3"/>
  <c r="Q88" i="3"/>
  <c r="R21" i="3"/>
  <c r="Q64" i="3"/>
  <c r="Q8" i="3"/>
  <c r="R5" i="3"/>
  <c r="CO8" i="3" s="1"/>
  <c r="Q56" i="3"/>
  <c r="Q96" i="3"/>
  <c r="R22" i="3"/>
  <c r="R79" i="3"/>
  <c r="Q49" i="3"/>
  <c r="R9" i="3"/>
  <c r="R55" i="3"/>
  <c r="R20" i="3"/>
  <c r="R45" i="3"/>
  <c r="CP43" i="3"/>
  <c r="R87" i="3"/>
  <c r="Q80" i="3"/>
  <c r="CP44" i="3" s="1"/>
  <c r="Q22" i="3"/>
  <c r="CO15" i="3" s="1"/>
  <c r="R72" i="3"/>
  <c r="CP41" i="3" s="1"/>
  <c r="Q21" i="3"/>
  <c r="Q62" i="3"/>
  <c r="Q60" i="3"/>
  <c r="R48" i="3"/>
  <c r="CO27" i="3" s="1"/>
  <c r="Q45" i="3"/>
  <c r="R38" i="3"/>
  <c r="R60" i="3"/>
  <c r="R16" i="3"/>
  <c r="CP33" i="3"/>
  <c r="Q16" i="3"/>
  <c r="CO10" i="3" s="1"/>
  <c r="R53" i="3"/>
  <c r="Q13" i="3"/>
  <c r="R95" i="3"/>
  <c r="Q23" i="3"/>
  <c r="R84" i="3"/>
  <c r="CO12" i="3"/>
  <c r="CP12" i="3"/>
  <c r="R17" i="3"/>
  <c r="R7" i="3"/>
  <c r="R40" i="3"/>
  <c r="CP23" i="3" s="1"/>
  <c r="R24" i="3"/>
  <c r="Q92" i="3"/>
  <c r="CP51" i="3" s="1"/>
  <c r="Q41" i="3"/>
  <c r="R96" i="3"/>
  <c r="Q55" i="3"/>
  <c r="Q68" i="3"/>
  <c r="CP39" i="3" s="1"/>
  <c r="Q14" i="3"/>
  <c r="Q12" i="3"/>
  <c r="Q46" i="3"/>
  <c r="R49" i="3"/>
  <c r="R54" i="3"/>
  <c r="Q30" i="3"/>
  <c r="R32" i="3"/>
  <c r="R56" i="3"/>
  <c r="R37" i="3"/>
  <c r="CO24" i="3" s="1"/>
  <c r="Q31" i="3"/>
  <c r="CO19" i="3" s="1"/>
  <c r="R29" i="3"/>
  <c r="R6" i="3"/>
  <c r="Q9" i="3"/>
  <c r="Q61" i="3"/>
  <c r="CP37" i="3" s="1"/>
  <c r="R89" i="3"/>
  <c r="R62" i="3"/>
  <c r="R86" i="3"/>
  <c r="CP42" i="3"/>
  <c r="CO43" i="3"/>
  <c r="CQ43" i="3" s="1"/>
  <c r="CO45" i="3"/>
  <c r="CP45" i="3"/>
  <c r="CO23" i="3"/>
  <c r="CQ23" i="3" s="1"/>
  <c r="CO26" i="3"/>
  <c r="CP34" i="3"/>
  <c r="CO37" i="3"/>
  <c r="CQ37" i="3" s="1"/>
  <c r="CP38" i="3"/>
  <c r="CP14" i="3"/>
  <c r="CO34" i="3"/>
  <c r="CP40" i="3"/>
  <c r="CO21" i="3"/>
  <c r="CO40" i="3"/>
  <c r="CO11" i="3"/>
  <c r="CO38" i="3"/>
  <c r="CP31" i="3"/>
  <c r="CP32" i="3"/>
  <c r="CP16" i="3"/>
  <c r="CO42" i="3"/>
  <c r="CO31" i="3"/>
  <c r="CQ30" i="3"/>
  <c r="CO32" i="3"/>
  <c r="CP17" i="3"/>
  <c r="CP26" i="3"/>
  <c r="CP9" i="3"/>
  <c r="CQ9" i="3" s="1"/>
  <c r="CP15" i="3"/>
  <c r="CQ15" i="3" s="1"/>
  <c r="CO17" i="3"/>
  <c r="CP21" i="3"/>
  <c r="CP18" i="3"/>
  <c r="CO16" i="3"/>
  <c r="CP19" i="3"/>
  <c r="CQ19" i="3" s="1"/>
  <c r="CO14" i="3"/>
  <c r="CP11" i="3"/>
  <c r="CQ12" i="3"/>
  <c r="CO7" i="3"/>
  <c r="CO6" i="3"/>
  <c r="CP6" i="3"/>
  <c r="CP8" i="3"/>
  <c r="CQ8" i="3" s="1"/>
  <c r="CP7" i="3"/>
  <c r="CP27" i="3"/>
  <c r="CQ27" i="3" s="1"/>
  <c r="CO33" i="3"/>
  <c r="CQ33" i="3" s="1"/>
  <c r="CP35" i="3" l="1"/>
  <c r="CP50" i="3"/>
  <c r="CP53" i="3"/>
  <c r="CP46" i="3"/>
  <c r="CO49" i="3"/>
  <c r="CO36" i="3"/>
  <c r="CO35" i="3"/>
  <c r="CO50" i="3"/>
  <c r="CO46" i="3"/>
  <c r="CO53" i="3"/>
  <c r="CQ53" i="3" s="1"/>
  <c r="CO41" i="3"/>
  <c r="CQ41" i="3" s="1"/>
  <c r="CP49" i="3"/>
  <c r="CP52" i="3"/>
  <c r="CP36" i="3"/>
  <c r="CQ36" i="3" s="1"/>
  <c r="CO39" i="3"/>
  <c r="CQ39" i="3" s="1"/>
  <c r="CP10" i="3"/>
  <c r="CQ10" i="3" s="1"/>
  <c r="CP24" i="3"/>
  <c r="CQ24" i="3" s="1"/>
  <c r="CO25" i="3"/>
  <c r="CQ25" i="3" s="1"/>
  <c r="CO48" i="3"/>
  <c r="CO52" i="3"/>
  <c r="CP13" i="3"/>
  <c r="CO44" i="3"/>
  <c r="CQ44" i="3" s="1"/>
  <c r="CP48" i="3"/>
  <c r="CO13" i="3"/>
  <c r="CP29" i="3"/>
  <c r="CO22" i="3"/>
  <c r="CO51" i="3"/>
  <c r="CQ51" i="3" s="1"/>
  <c r="CO29" i="3"/>
  <c r="CP22" i="3"/>
  <c r="CP20" i="3"/>
  <c r="CP28" i="3"/>
  <c r="CO20" i="3"/>
  <c r="CO28" i="3"/>
  <c r="CP47" i="3"/>
  <c r="CO47" i="3"/>
  <c r="CQ42" i="3"/>
  <c r="CQ18" i="3"/>
  <c r="CQ26" i="3"/>
  <c r="CQ45" i="3"/>
  <c r="CQ34" i="3"/>
  <c r="CQ14" i="3"/>
  <c r="CQ21" i="3"/>
  <c r="CQ16" i="3"/>
  <c r="CQ40" i="3"/>
  <c r="CQ38" i="3"/>
  <c r="CQ11" i="3"/>
  <c r="CQ31" i="3"/>
  <c r="CQ32" i="3"/>
  <c r="CQ17" i="3"/>
  <c r="CQ7" i="3"/>
  <c r="CQ6" i="3"/>
  <c r="CQ35" i="3" l="1"/>
  <c r="CQ46" i="3"/>
  <c r="CQ50" i="3"/>
  <c r="CQ49" i="3"/>
  <c r="CQ52" i="3"/>
  <c r="CR52" i="3" s="1"/>
  <c r="CQ13" i="3"/>
  <c r="CR10" i="3" s="1"/>
  <c r="CQ48" i="3"/>
  <c r="CQ29" i="3"/>
  <c r="CQ22" i="3"/>
  <c r="CQ28" i="3"/>
  <c r="CQ20" i="3"/>
  <c r="CQ47" i="3"/>
  <c r="CR24" i="3"/>
  <c r="CR25" i="3"/>
  <c r="CR40" i="3" l="1"/>
  <c r="CR51" i="3"/>
  <c r="CR12" i="3"/>
  <c r="CR34" i="3"/>
  <c r="CR13" i="3"/>
  <c r="CR37" i="3"/>
  <c r="CR44" i="3"/>
  <c r="CR6" i="3"/>
  <c r="CR9" i="3"/>
  <c r="CR21" i="3"/>
  <c r="CR7" i="3"/>
  <c r="CR18" i="3"/>
  <c r="CR15" i="3"/>
  <c r="CR27" i="3"/>
  <c r="CR8" i="3"/>
  <c r="CR19" i="3"/>
  <c r="CR20" i="3"/>
  <c r="CR23" i="3"/>
  <c r="CR32" i="3"/>
  <c r="CR22" i="3"/>
  <c r="CR49" i="3"/>
  <c r="CR11" i="3"/>
  <c r="CR46" i="3"/>
  <c r="CR50" i="3"/>
  <c r="CR16" i="3"/>
  <c r="CR35" i="3"/>
  <c r="CR26" i="3"/>
  <c r="CR14" i="3"/>
  <c r="CR42" i="3"/>
  <c r="CR17" i="3"/>
  <c r="CR30" i="3"/>
  <c r="CR29" i="3"/>
  <c r="CR31" i="3"/>
  <c r="CR43" i="3"/>
  <c r="CR53" i="3"/>
  <c r="CR39" i="3"/>
  <c r="CR45" i="3"/>
  <c r="CR33" i="3"/>
  <c r="CR41" i="3"/>
  <c r="CR36" i="3"/>
  <c r="CR38" i="3"/>
  <c r="CR28" i="3"/>
  <c r="CR47" i="3"/>
  <c r="CR48" i="3"/>
  <c r="CS24" i="3" l="1"/>
  <c r="U40" i="3" s="1"/>
  <c r="CS53" i="3"/>
  <c r="T95" i="3" s="1"/>
  <c r="CS50" i="3"/>
  <c r="T92" i="3" s="1"/>
  <c r="CS34" i="3"/>
  <c r="U65" i="3" s="1"/>
  <c r="CS27" i="3"/>
  <c r="U47" i="3" s="1"/>
  <c r="CS33" i="3"/>
  <c r="U53" i="3" s="1"/>
  <c r="CS41" i="3"/>
  <c r="T71" i="3" s="1"/>
  <c r="CS29" i="3"/>
  <c r="U45" i="3" s="1"/>
  <c r="CS52" i="3"/>
  <c r="T93" i="3" s="1"/>
  <c r="CS51" i="3"/>
  <c r="U92" i="3" s="1"/>
  <c r="CS15" i="3"/>
  <c r="U22" i="3" s="1"/>
  <c r="CS37" i="3"/>
  <c r="T63" i="3" s="1"/>
  <c r="CS7" i="3"/>
  <c r="U4" i="3" s="1"/>
  <c r="CS21" i="3"/>
  <c r="T31" i="3" s="1"/>
  <c r="CS45" i="3"/>
  <c r="T79" i="3" s="1"/>
  <c r="CS28" i="3"/>
  <c r="U48" i="3" s="1"/>
  <c r="CS14" i="3"/>
  <c r="U24" i="3" s="1"/>
  <c r="CS6" i="3"/>
  <c r="U8" i="3" s="1"/>
  <c r="CS32" i="3"/>
  <c r="U56" i="3" s="1"/>
  <c r="CS11" i="3"/>
  <c r="T17" i="3" s="1"/>
  <c r="CS13" i="3"/>
  <c r="T14" i="3" s="1"/>
  <c r="CS9" i="3"/>
  <c r="U5" i="3" s="1"/>
  <c r="CS47" i="3"/>
  <c r="U84" i="3" s="1"/>
  <c r="CS26" i="3"/>
  <c r="T46" i="3" s="1"/>
  <c r="CS38" i="3"/>
  <c r="T70" i="3" s="1"/>
  <c r="CS31" i="3"/>
  <c r="U55" i="3" s="1"/>
  <c r="CS49" i="3"/>
  <c r="U85" i="3" s="1"/>
  <c r="CS48" i="3"/>
  <c r="U89" i="3" s="1"/>
  <c r="CS19" i="3"/>
  <c r="U31" i="3" s="1"/>
  <c r="CS44" i="3"/>
  <c r="U80" i="3" s="1"/>
  <c r="CS40" i="3"/>
  <c r="U70" i="3" s="1"/>
  <c r="CS22" i="3"/>
  <c r="T38" i="3" s="1"/>
  <c r="CS10" i="3"/>
  <c r="T15" i="3" s="1"/>
  <c r="CS30" i="3"/>
  <c r="T52" i="3" s="1"/>
  <c r="CS17" i="3"/>
  <c r="T22" i="3" s="1"/>
  <c r="CS25" i="3"/>
  <c r="T39" i="3" s="1"/>
  <c r="CS12" i="3"/>
  <c r="T13" i="3" s="1"/>
  <c r="CS18" i="3"/>
  <c r="T30" i="3" s="1"/>
  <c r="CS8" i="3"/>
  <c r="U9" i="3" s="1"/>
  <c r="CS20" i="3"/>
  <c r="U30" i="3" s="1"/>
  <c r="CS16" i="3"/>
  <c r="U23" i="3" s="1"/>
  <c r="CS46" i="3"/>
  <c r="U88" i="3" s="1"/>
  <c r="CS39" i="3"/>
  <c r="U71" i="3" s="1"/>
  <c r="CS36" i="3"/>
  <c r="U62" i="3" s="1"/>
  <c r="CS43" i="3"/>
  <c r="T80" i="3" s="1"/>
  <c r="CS23" i="3"/>
  <c r="T40" i="3" s="1"/>
  <c r="CS42" i="3"/>
  <c r="T78" i="3" s="1"/>
  <c r="CS35" i="3"/>
  <c r="U63" i="3" s="1"/>
  <c r="U38" i="3"/>
  <c r="T37" i="3"/>
  <c r="CT17" i="3"/>
  <c r="T94" i="3"/>
  <c r="T96" i="3"/>
  <c r="U96" i="3"/>
  <c r="T25" i="3"/>
  <c r="CT34" i="3"/>
  <c r="T60" i="3"/>
  <c r="T62" i="3"/>
  <c r="U20" i="3"/>
  <c r="CT15" i="3"/>
  <c r="U6" i="3" l="1"/>
  <c r="T65" i="3"/>
  <c r="U54" i="3"/>
  <c r="T53" i="3"/>
  <c r="T16" i="3"/>
  <c r="U13" i="3"/>
  <c r="T9" i="3"/>
  <c r="U44" i="3"/>
  <c r="U93" i="3"/>
  <c r="T48" i="3"/>
  <c r="CT28" i="3" s="1"/>
  <c r="T55" i="3"/>
  <c r="U28" i="3"/>
  <c r="CT18" i="3" s="1"/>
  <c r="U69" i="3"/>
  <c r="T57" i="3"/>
  <c r="CT33" i="3"/>
  <c r="T32" i="3"/>
  <c r="U29" i="3"/>
  <c r="U61" i="3"/>
  <c r="U17" i="3"/>
  <c r="CT11" i="3" s="1"/>
  <c r="U49" i="3"/>
  <c r="T87" i="3"/>
  <c r="CT12" i="3"/>
  <c r="T33" i="3"/>
  <c r="U79" i="3"/>
  <c r="U15" i="3"/>
  <c r="T49" i="3"/>
  <c r="U12" i="3"/>
  <c r="U14" i="3"/>
  <c r="U95" i="3"/>
  <c r="CT53" i="3" s="1"/>
  <c r="T81" i="3"/>
  <c r="U77" i="3"/>
  <c r="CT44" i="3" s="1"/>
  <c r="T72" i="3"/>
  <c r="U87" i="3"/>
  <c r="T6" i="3"/>
  <c r="T89" i="3"/>
  <c r="U39" i="3"/>
  <c r="CT43" i="3"/>
  <c r="T24" i="3"/>
  <c r="U76" i="3"/>
  <c r="T88" i="3"/>
  <c r="U57" i="3"/>
  <c r="T4" i="3"/>
  <c r="CT7" i="3" s="1"/>
  <c r="U78" i="3"/>
  <c r="T77" i="3"/>
  <c r="U36" i="3"/>
  <c r="CT31" i="3"/>
  <c r="T97" i="3"/>
  <c r="T85" i="3"/>
  <c r="T47" i="3"/>
  <c r="T44" i="3"/>
  <c r="U41" i="3"/>
  <c r="T45" i="3"/>
  <c r="T56" i="3"/>
  <c r="CT32" i="3" s="1"/>
  <c r="T36" i="3"/>
  <c r="U60" i="3"/>
  <c r="U46" i="3"/>
  <c r="T64" i="3"/>
  <c r="CT23" i="3"/>
  <c r="T7" i="3"/>
  <c r="U21" i="3"/>
  <c r="U52" i="3"/>
  <c r="T73" i="3"/>
  <c r="T8" i="3"/>
  <c r="T23" i="3"/>
  <c r="U72" i="3"/>
  <c r="T86" i="3"/>
  <c r="CT48" i="3" s="1"/>
  <c r="T68" i="3"/>
  <c r="U97" i="3"/>
  <c r="CT51" i="3" s="1"/>
  <c r="U94" i="3"/>
  <c r="CT50" i="3" s="1"/>
  <c r="T20" i="3"/>
  <c r="U25" i="3"/>
  <c r="T54" i="3"/>
  <c r="U33" i="3"/>
  <c r="U16" i="3"/>
  <c r="U68" i="3"/>
  <c r="T61" i="3"/>
  <c r="CT37" i="3" s="1"/>
  <c r="T41" i="3"/>
  <c r="CT38" i="3"/>
  <c r="U86" i="3"/>
  <c r="T12" i="3"/>
  <c r="T21" i="3"/>
  <c r="T29" i="3"/>
  <c r="T28" i="3"/>
  <c r="T76" i="3"/>
  <c r="T5" i="3"/>
  <c r="U7" i="3"/>
  <c r="T84" i="3"/>
  <c r="U37" i="3"/>
  <c r="CT24" i="3" s="1"/>
  <c r="U81" i="3"/>
  <c r="U73" i="3"/>
  <c r="U32" i="3"/>
  <c r="T69" i="3"/>
  <c r="U64" i="3"/>
  <c r="CT35" i="3" s="1"/>
  <c r="CT40" i="3"/>
  <c r="CT19" i="3"/>
  <c r="CT21" i="3"/>
  <c r="CT6" i="3"/>
  <c r="CT14" i="3"/>
  <c r="CT45" i="3"/>
  <c r="CT30" i="3"/>
  <c r="CT26" i="3"/>
  <c r="CT16" i="3"/>
  <c r="CT27" i="3"/>
  <c r="CT9" i="3"/>
  <c r="CT8" i="3"/>
  <c r="CT46" i="3" l="1"/>
  <c r="CT41" i="3"/>
  <c r="CT49" i="3"/>
  <c r="CT39" i="3"/>
  <c r="CT36" i="3"/>
  <c r="CT52" i="3"/>
  <c r="CT10" i="3"/>
  <c r="CT13" i="3"/>
  <c r="CT20" i="3"/>
  <c r="CT29" i="3"/>
  <c r="CT47" i="3"/>
  <c r="CT22" i="3"/>
  <c r="CT42" i="3"/>
  <c r="CT25" i="3"/>
  <c r="CU26" i="3" l="1"/>
  <c r="CU20" i="3"/>
  <c r="CU48" i="3"/>
  <c r="CU52" i="3"/>
  <c r="CU35" i="3"/>
  <c r="CU37" i="3"/>
  <c r="CU36" i="3"/>
  <c r="CU8" i="3"/>
  <c r="CU39" i="3"/>
  <c r="CU14" i="3"/>
  <c r="CU15" i="3"/>
  <c r="CU32" i="3"/>
  <c r="CU27" i="3"/>
  <c r="CU49" i="3"/>
  <c r="CU6" i="3"/>
  <c r="CU16" i="3"/>
  <c r="CU19" i="3"/>
  <c r="CU21" i="3"/>
  <c r="CU30" i="3"/>
  <c r="CU40" i="3"/>
  <c r="CU7" i="3"/>
  <c r="CU12" i="3"/>
  <c r="CU11" i="3"/>
  <c r="CU43" i="3"/>
  <c r="CU33" i="3"/>
  <c r="CU9" i="3"/>
  <c r="CU17" i="3"/>
  <c r="CU31" i="3"/>
  <c r="CU53" i="3"/>
  <c r="CU23" i="3"/>
  <c r="CU34" i="3"/>
  <c r="CU10" i="3"/>
  <c r="CU46" i="3"/>
  <c r="CU38" i="3"/>
  <c r="CU18" i="3"/>
  <c r="CU51" i="3"/>
  <c r="CU24" i="3"/>
  <c r="CU50" i="3"/>
  <c r="CU41" i="3"/>
  <c r="CU28" i="3"/>
  <c r="CU45" i="3"/>
  <c r="CU13" i="3"/>
  <c r="CU22" i="3"/>
  <c r="CU29" i="3"/>
  <c r="CU47" i="3"/>
  <c r="CU25" i="3"/>
  <c r="CU44" i="3"/>
  <c r="CU42" i="3"/>
  <c r="CV29" i="3" l="1"/>
  <c r="CW29" i="3" s="1"/>
  <c r="CV20" i="3"/>
  <c r="CW20" i="3" s="1"/>
  <c r="CV27" i="3"/>
  <c r="CW27" i="3" s="1"/>
  <c r="CV38" i="3"/>
  <c r="CW38" i="3" s="1"/>
  <c r="CV34" i="3"/>
  <c r="CW34" i="3" s="1"/>
  <c r="CV11" i="3"/>
  <c r="CW11" i="3" s="1"/>
  <c r="CV53" i="3"/>
  <c r="CW53" i="3" s="1"/>
  <c r="CV36" i="3"/>
  <c r="CW36" i="3" s="1"/>
  <c r="CV50" i="3"/>
  <c r="CW50" i="3" s="1"/>
  <c r="CV18" i="3"/>
  <c r="CW18" i="3" s="1"/>
  <c r="CV23" i="3"/>
  <c r="CW23" i="3" s="1"/>
  <c r="CV40" i="3"/>
  <c r="CW40" i="3" s="1"/>
  <c r="CV15" i="3"/>
  <c r="CW15" i="3" s="1"/>
  <c r="CV12" i="3"/>
  <c r="CW12" i="3" s="1"/>
  <c r="CV49" i="3"/>
  <c r="CW49" i="3" s="1"/>
  <c r="CV14" i="3"/>
  <c r="CW14" i="3" s="1"/>
  <c r="CV6" i="3"/>
  <c r="CW6" i="3" s="1"/>
  <c r="CV21" i="3"/>
  <c r="CW21" i="3" s="1"/>
  <c r="CV22" i="3"/>
  <c r="CW22" i="3" s="1"/>
  <c r="CV52" i="3"/>
  <c r="CW52" i="3" s="1"/>
  <c r="CV33" i="3"/>
  <c r="CW33" i="3" s="1"/>
  <c r="CV45" i="3"/>
  <c r="CW45" i="3" s="1"/>
  <c r="CV48" i="3"/>
  <c r="CW48" i="3" s="1"/>
  <c r="CV44" i="3"/>
  <c r="CW44" i="3" s="1"/>
  <c r="CV17" i="3"/>
  <c r="CW17" i="3" s="1"/>
  <c r="CV26" i="3"/>
  <c r="CW26" i="3" s="1"/>
  <c r="CV46" i="3"/>
  <c r="CW46" i="3" s="1"/>
  <c r="CV16" i="3"/>
  <c r="CW16" i="3" s="1"/>
  <c r="CV51" i="3"/>
  <c r="CW51" i="3" s="1"/>
  <c r="CV24" i="3"/>
  <c r="CW24" i="3" s="1"/>
  <c r="CV43" i="3"/>
  <c r="CW43" i="3" s="1"/>
  <c r="CV39" i="3"/>
  <c r="CW39" i="3" s="1"/>
  <c r="CV10" i="3"/>
  <c r="CW10" i="3" s="1"/>
  <c r="CV31" i="3"/>
  <c r="CW31" i="3" s="1"/>
  <c r="CV32" i="3"/>
  <c r="CW32" i="3" s="1"/>
  <c r="CV37" i="3"/>
  <c r="CW37" i="3" s="1"/>
  <c r="CV30" i="3"/>
  <c r="CW30" i="3" s="1"/>
  <c r="CV42" i="3"/>
  <c r="CW42" i="3" s="1"/>
  <c r="CV19" i="3"/>
  <c r="CW19" i="3" s="1"/>
  <c r="CV41" i="3"/>
  <c r="CW41" i="3" s="1"/>
  <c r="CV7" i="3"/>
  <c r="CW7" i="3" s="1"/>
  <c r="CV47" i="3"/>
  <c r="CW47" i="3" s="1"/>
  <c r="CV25" i="3"/>
  <c r="CW25" i="3" s="1"/>
  <c r="CV9" i="3"/>
  <c r="CW9" i="3" s="1"/>
  <c r="CV13" i="3"/>
  <c r="CW13" i="3" s="1"/>
  <c r="CV8" i="3"/>
  <c r="CW8" i="3" s="1"/>
  <c r="CV28" i="3"/>
  <c r="CW28" i="3" s="1"/>
  <c r="CV35" i="3"/>
  <c r="CW35" i="3" s="1"/>
  <c r="CX10" i="3" l="1"/>
  <c r="CX12" i="3"/>
  <c r="CX23" i="3"/>
  <c r="CX24" i="3"/>
  <c r="CX9" i="3"/>
  <c r="CX25" i="3"/>
  <c r="CX43" i="3"/>
  <c r="CX13" i="3"/>
  <c r="CX53" i="3"/>
  <c r="CX40" i="3"/>
  <c r="CX29" i="3"/>
  <c r="CX16" i="3"/>
  <c r="CX48" i="3"/>
  <c r="CX6" i="3"/>
  <c r="CX7" i="3"/>
  <c r="CX41" i="3"/>
  <c r="CX18" i="3"/>
  <c r="CX26" i="3"/>
  <c r="CX34" i="3"/>
  <c r="CX21" i="3"/>
  <c r="CX35" i="3"/>
  <c r="CX28" i="3"/>
  <c r="CX8" i="3"/>
  <c r="CX19" i="3"/>
  <c r="CX15" i="3"/>
  <c r="CX37" i="3"/>
  <c r="CX38" i="3"/>
  <c r="CX11" i="3"/>
  <c r="CX49" i="3"/>
  <c r="CX39" i="3"/>
  <c r="CX36" i="3"/>
  <c r="CX27" i="3"/>
  <c r="CX46" i="3"/>
  <c r="CX17" i="3"/>
  <c r="CX45" i="3"/>
  <c r="CX30" i="3"/>
  <c r="CX32" i="3"/>
  <c r="CX51" i="3"/>
  <c r="CX20" i="3"/>
  <c r="CX42" i="3"/>
  <c r="CX47" i="3"/>
  <c r="CX22" i="3"/>
  <c r="CX52" i="3"/>
  <c r="CX14" i="3"/>
  <c r="CX50" i="3"/>
  <c r="CX31" i="3"/>
  <c r="CX33" i="3"/>
  <c r="CX44" i="3"/>
  <c r="CY7" i="3" l="1"/>
  <c r="CZ7" i="3" s="1"/>
  <c r="CY44" i="3"/>
  <c r="CZ44" i="3" s="1"/>
  <c r="CY51" i="3"/>
  <c r="CZ51" i="3" s="1"/>
  <c r="CY47" i="3"/>
  <c r="CZ47" i="3" s="1"/>
  <c r="CY52" i="3"/>
  <c r="CZ52" i="3" s="1"/>
  <c r="CY8" i="3"/>
  <c r="CZ8" i="3" s="1"/>
  <c r="CY29" i="3"/>
  <c r="CZ29" i="3" s="1"/>
  <c r="CY20" i="3"/>
  <c r="CZ20" i="3" s="1"/>
  <c r="CY14" i="3"/>
  <c r="CZ14" i="3" s="1"/>
  <c r="CY34" i="3"/>
  <c r="CZ34" i="3" s="1"/>
  <c r="CY22" i="3"/>
  <c r="CZ22" i="3" s="1"/>
  <c r="CY17" i="3"/>
  <c r="CZ17" i="3" s="1"/>
  <c r="CY36" i="3"/>
  <c r="CZ36" i="3" s="1"/>
  <c r="CY15" i="3"/>
  <c r="CZ15" i="3" s="1"/>
  <c r="CY45" i="3"/>
  <c r="CZ45" i="3" s="1"/>
  <c r="CY42" i="3"/>
  <c r="CZ42" i="3" s="1"/>
  <c r="CY19" i="3"/>
  <c r="CZ19" i="3" s="1"/>
  <c r="CY21" i="3"/>
  <c r="CZ21" i="3" s="1"/>
  <c r="CY40" i="3"/>
  <c r="CZ40" i="3" s="1"/>
  <c r="CY48" i="3"/>
  <c r="CZ48" i="3" s="1"/>
  <c r="CY31" i="3"/>
  <c r="CZ31" i="3" s="1"/>
  <c r="CY39" i="3"/>
  <c r="CZ39" i="3" s="1"/>
  <c r="CY13" i="3"/>
  <c r="CZ13" i="3" s="1"/>
  <c r="CY46" i="3"/>
  <c r="CZ46" i="3" s="1"/>
  <c r="CY23" i="3"/>
  <c r="CZ23" i="3" s="1"/>
  <c r="CY9" i="3"/>
  <c r="CZ9" i="3" s="1"/>
  <c r="CY16" i="3"/>
  <c r="CZ16" i="3" s="1"/>
  <c r="CY25" i="3"/>
  <c r="CZ25" i="3" s="1"/>
  <c r="CY27" i="3"/>
  <c r="CZ27" i="3" s="1"/>
  <c r="CY37" i="3"/>
  <c r="CZ37" i="3" s="1"/>
  <c r="CY32" i="3"/>
  <c r="CZ32" i="3" s="1"/>
  <c r="CY43" i="3"/>
  <c r="CZ43" i="3" s="1"/>
  <c r="CY28" i="3"/>
  <c r="CZ28" i="3" s="1"/>
  <c r="CY49" i="3"/>
  <c r="CZ49" i="3" s="1"/>
  <c r="CY35" i="3"/>
  <c r="CZ35" i="3" s="1"/>
  <c r="CY30" i="3"/>
  <c r="CZ30" i="3" s="1"/>
  <c r="CY11" i="3"/>
  <c r="CZ11" i="3" s="1"/>
  <c r="CY18" i="3"/>
  <c r="CZ18" i="3" s="1"/>
  <c r="CY41" i="3"/>
  <c r="CZ41" i="3" s="1"/>
  <c r="CY24" i="3"/>
  <c r="CZ24" i="3" s="1"/>
  <c r="CY38" i="3"/>
  <c r="CZ38" i="3" s="1"/>
  <c r="CY33" i="3"/>
  <c r="CZ33" i="3" s="1"/>
  <c r="CY6" i="3"/>
  <c r="CZ6" i="3" s="1"/>
  <c r="CY12" i="3"/>
  <c r="CZ12" i="3" s="1"/>
  <c r="CY50" i="3"/>
  <c r="CZ50" i="3" s="1"/>
  <c r="CY53" i="3"/>
  <c r="CZ53" i="3" s="1"/>
  <c r="CY26" i="3"/>
  <c r="CZ26" i="3" s="1"/>
  <c r="CY10" i="3"/>
  <c r="CZ10" i="3" s="1"/>
  <c r="DA51" i="3" l="1"/>
  <c r="DA30" i="3"/>
  <c r="DA23" i="3"/>
  <c r="DA34" i="3"/>
  <c r="DA39" i="3"/>
  <c r="DA20" i="3"/>
  <c r="DA53" i="3"/>
  <c r="DA43" i="3"/>
  <c r="DA28" i="3"/>
  <c r="DA49" i="3"/>
  <c r="DA19" i="3"/>
  <c r="DA21" i="3"/>
  <c r="DA44" i="3"/>
  <c r="DA10" i="3"/>
  <c r="DA9" i="3"/>
  <c r="DA36" i="3"/>
  <c r="DA13" i="3"/>
  <c r="DA50" i="3"/>
  <c r="DA22" i="3"/>
  <c r="DA16" i="3"/>
  <c r="DA52" i="3"/>
  <c r="DA45" i="3"/>
  <c r="DA7" i="3"/>
  <c r="DA6" i="3"/>
  <c r="DA14" i="3"/>
  <c r="DA12" i="3"/>
  <c r="DA41" i="3"/>
  <c r="DA11" i="3"/>
  <c r="DA29" i="3"/>
  <c r="DA48" i="3"/>
  <c r="DA32" i="3"/>
  <c r="DA46" i="3"/>
  <c r="DA40" i="3"/>
  <c r="DA47" i="3"/>
  <c r="DA17" i="3"/>
  <c r="DA26" i="3"/>
  <c r="DA18" i="3"/>
  <c r="DA42" i="3"/>
  <c r="DA27" i="3"/>
  <c r="DA24" i="3"/>
  <c r="DA33" i="3"/>
  <c r="DA35" i="3"/>
  <c r="DA8" i="3"/>
  <c r="DA38" i="3"/>
  <c r="DA37" i="3"/>
  <c r="DA25" i="3"/>
  <c r="DA15" i="3"/>
  <c r="DA31" i="3"/>
  <c r="DB21" i="3" l="1"/>
  <c r="DC21" i="3" s="1"/>
  <c r="DB37" i="3"/>
  <c r="DC37" i="3" s="1"/>
  <c r="DB12" i="3"/>
  <c r="DC12" i="3" s="1"/>
  <c r="DB40" i="3"/>
  <c r="DC40" i="3" s="1"/>
  <c r="DB38" i="3"/>
  <c r="DC38" i="3" s="1"/>
  <c r="DB44" i="3"/>
  <c r="DC44" i="3" s="1"/>
  <c r="DB28" i="3"/>
  <c r="DC28" i="3" s="1"/>
  <c r="DB48" i="3"/>
  <c r="DC48" i="3" s="1"/>
  <c r="DB27" i="3"/>
  <c r="DC27" i="3" s="1"/>
  <c r="DB30" i="3"/>
  <c r="DC30" i="3" s="1"/>
  <c r="DB49" i="3"/>
  <c r="DC49" i="3" s="1"/>
  <c r="DB34" i="3"/>
  <c r="DC34" i="3" s="1"/>
  <c r="DB6" i="3"/>
  <c r="DC6" i="3" s="1"/>
  <c r="DB35" i="3"/>
  <c r="DC35" i="3" s="1"/>
  <c r="DB42" i="3"/>
  <c r="DC42" i="3" s="1"/>
  <c r="DB25" i="3"/>
  <c r="DC25" i="3" s="1"/>
  <c r="DB23" i="3"/>
  <c r="DC23" i="3" s="1"/>
  <c r="DB36" i="3"/>
  <c r="DC36" i="3" s="1"/>
  <c r="DB15" i="3"/>
  <c r="DC15" i="3" s="1"/>
  <c r="DB32" i="3"/>
  <c r="DC32" i="3" s="1"/>
  <c r="DB53" i="3"/>
  <c r="DC53" i="3" s="1"/>
  <c r="DB13" i="3"/>
  <c r="DC13" i="3" s="1"/>
  <c r="DB20" i="3"/>
  <c r="DC20" i="3" s="1"/>
  <c r="DB17" i="3"/>
  <c r="DC17" i="3" s="1"/>
  <c r="DB52" i="3"/>
  <c r="DC52" i="3" s="1"/>
  <c r="DB8" i="3"/>
  <c r="DC8" i="3" s="1"/>
  <c r="DB18" i="3"/>
  <c r="DC18" i="3" s="1"/>
  <c r="DB26" i="3"/>
  <c r="DC26" i="3" s="1"/>
  <c r="DB19" i="3"/>
  <c r="DC19" i="3" s="1"/>
  <c r="DB11" i="3"/>
  <c r="DC11" i="3" s="1"/>
  <c r="DB51" i="3"/>
  <c r="DC51" i="3" s="1"/>
  <c r="DB29" i="3"/>
  <c r="DC29" i="3" s="1"/>
  <c r="DB33" i="3"/>
  <c r="DC33" i="3" s="1"/>
  <c r="DB14" i="3"/>
  <c r="DC14" i="3" s="1"/>
  <c r="DB22" i="3"/>
  <c r="DC22" i="3" s="1"/>
  <c r="DB10" i="3"/>
  <c r="DC10" i="3" s="1"/>
  <c r="DB16" i="3"/>
  <c r="DC16" i="3" s="1"/>
  <c r="DB9" i="3"/>
  <c r="DC9" i="3" s="1"/>
  <c r="DB45" i="3"/>
  <c r="DC45" i="3" s="1"/>
  <c r="DB24" i="3"/>
  <c r="DC24" i="3" s="1"/>
  <c r="DB39" i="3"/>
  <c r="DC39" i="3" s="1"/>
  <c r="DB46" i="3"/>
  <c r="DC46" i="3" s="1"/>
  <c r="DB43" i="3"/>
  <c r="DC43" i="3" s="1"/>
  <c r="DB7" i="3"/>
  <c r="DC7" i="3" s="1"/>
  <c r="DB41" i="3"/>
  <c r="DC41" i="3" s="1"/>
  <c r="DB47" i="3"/>
  <c r="DC47" i="3" s="1"/>
  <c r="DB31" i="3"/>
  <c r="DC31" i="3" s="1"/>
  <c r="DB50" i="3"/>
  <c r="DC50" i="3" s="1"/>
  <c r="DD47" i="3" l="1"/>
  <c r="BM47" i="3" s="1"/>
  <c r="DD16" i="3"/>
  <c r="BM16" i="3" s="1"/>
  <c r="DD44" i="3"/>
  <c r="BM44" i="3" s="1"/>
  <c r="DD48" i="3"/>
  <c r="BM48" i="3" s="1"/>
  <c r="DD23" i="3"/>
  <c r="BM23" i="3" s="1"/>
  <c r="DD14" i="3"/>
  <c r="BM14" i="3" s="1"/>
  <c r="DD27" i="3"/>
  <c r="BM27" i="3" s="1"/>
  <c r="DD36" i="3"/>
  <c r="BM36" i="3" s="1"/>
  <c r="DD18" i="3"/>
  <c r="BM18" i="3" s="1"/>
  <c r="DD21" i="3"/>
  <c r="BM21" i="3" s="1"/>
  <c r="DD33" i="3"/>
  <c r="BM33" i="3" s="1"/>
  <c r="DD7" i="3"/>
  <c r="BM7" i="3" s="1"/>
  <c r="DD34" i="3"/>
  <c r="BM34" i="3" s="1"/>
  <c r="DD40" i="3"/>
  <c r="BM40" i="3" s="1"/>
  <c r="DD26" i="3"/>
  <c r="BM26" i="3" s="1"/>
  <c r="DD42" i="3"/>
  <c r="BM42" i="3" s="1"/>
  <c r="DD50" i="3"/>
  <c r="BM50" i="3" s="1"/>
  <c r="DD49" i="3"/>
  <c r="BM49" i="3" s="1"/>
  <c r="DD38" i="3"/>
  <c r="BM38" i="3" s="1"/>
  <c r="DD20" i="3"/>
  <c r="BM20" i="3" s="1"/>
  <c r="DD15" i="3"/>
  <c r="BM15" i="3" s="1"/>
  <c r="DD24" i="3"/>
  <c r="BM24" i="3" s="1"/>
  <c r="DD10" i="3"/>
  <c r="BM10" i="3" s="1"/>
  <c r="DD29" i="3"/>
  <c r="BM29" i="3" s="1"/>
  <c r="DD39" i="3"/>
  <c r="BM39" i="3" s="1"/>
  <c r="DD6" i="3"/>
  <c r="BM6" i="3" s="1"/>
  <c r="AV6" i="3" s="1"/>
  <c r="DD51" i="3"/>
  <c r="BM51" i="3" s="1"/>
  <c r="DD46" i="3"/>
  <c r="BM46" i="3" s="1"/>
  <c r="DD22" i="3"/>
  <c r="BM22" i="3" s="1"/>
  <c r="DD52" i="3"/>
  <c r="BM52" i="3" s="1"/>
  <c r="DD11" i="3"/>
  <c r="BM11" i="3" s="1"/>
  <c r="DD30" i="3"/>
  <c r="BM30" i="3" s="1"/>
  <c r="DD13" i="3"/>
  <c r="BM13" i="3" s="1"/>
  <c r="DD31" i="3"/>
  <c r="BM31" i="3" s="1"/>
  <c r="DD45" i="3"/>
  <c r="BM45" i="3" s="1"/>
  <c r="DD25" i="3"/>
  <c r="BM25" i="3" s="1"/>
  <c r="DD19" i="3"/>
  <c r="BM19" i="3" s="1"/>
  <c r="DD41" i="3"/>
  <c r="BM41" i="3" s="1"/>
  <c r="DD43" i="3"/>
  <c r="BM43" i="3" s="1"/>
  <c r="DD32" i="3"/>
  <c r="BM32" i="3" s="1"/>
  <c r="DD37" i="3"/>
  <c r="BM37" i="3" s="1"/>
  <c r="DD17" i="3"/>
  <c r="BM17" i="3" s="1"/>
  <c r="DD28" i="3"/>
  <c r="BM28" i="3" s="1"/>
  <c r="DD35" i="3"/>
  <c r="BM35" i="3" s="1"/>
  <c r="DD8" i="3"/>
  <c r="BM8" i="3" s="1"/>
  <c r="DD9" i="3"/>
  <c r="BM9" i="3" s="1"/>
  <c r="DD12" i="3"/>
  <c r="BM12" i="3" s="1"/>
  <c r="DD53" i="3"/>
  <c r="BM53" i="3" s="1"/>
  <c r="DQ6" i="3" l="1"/>
  <c r="DJ6" i="3" s="1"/>
  <c r="DQ8" i="3"/>
  <c r="DJ8" i="3" s="1"/>
  <c r="AV8" i="3"/>
  <c r="AV78" i="3"/>
  <c r="DQ20" i="3"/>
  <c r="DJ20" i="3" s="1"/>
  <c r="DQ33" i="3"/>
  <c r="DJ33" i="3" s="1"/>
  <c r="DQ37" i="3"/>
  <c r="DJ37" i="3" s="1"/>
  <c r="DQ32" i="3"/>
  <c r="DJ32" i="3" s="1"/>
  <c r="DQ7" i="3"/>
  <c r="DJ7" i="3" s="1"/>
  <c r="DQ13" i="3"/>
  <c r="DJ13" i="3" s="1"/>
  <c r="DQ29" i="3"/>
  <c r="DJ29" i="3" s="1"/>
  <c r="AV16" i="3"/>
  <c r="AV64" i="3"/>
  <c r="DQ21" i="3"/>
  <c r="DJ21" i="3" s="1"/>
  <c r="DQ28" i="3"/>
  <c r="DJ28" i="3" s="1"/>
  <c r="AV87" i="3"/>
  <c r="AV88" i="3"/>
  <c r="AV40" i="3"/>
  <c r="DQ9" i="3"/>
  <c r="DJ9" i="3" s="1"/>
  <c r="AV94" i="3"/>
  <c r="AV81" i="3"/>
  <c r="DQ24" i="3"/>
  <c r="DJ24" i="3" s="1"/>
  <c r="AV33" i="3"/>
  <c r="DQ23" i="3"/>
  <c r="DJ23" i="3" s="1"/>
  <c r="DQ26" i="3"/>
  <c r="DJ26" i="3" s="1"/>
  <c r="DQ15" i="3"/>
  <c r="DJ15" i="3" s="1"/>
  <c r="DQ45" i="3"/>
  <c r="DJ45" i="3" s="1"/>
  <c r="DQ35" i="3"/>
  <c r="DJ35" i="3" s="1"/>
  <c r="AV62" i="3"/>
  <c r="DQ12" i="3"/>
  <c r="DJ12" i="3" s="1"/>
  <c r="AV14" i="3"/>
  <c r="DQ10" i="3"/>
  <c r="DJ10" i="3" s="1"/>
  <c r="DQ42" i="3"/>
  <c r="DJ42" i="3" s="1"/>
  <c r="AV63" i="3"/>
  <c r="DQ34" i="3"/>
  <c r="DJ34" i="3" s="1"/>
  <c r="AV55" i="3"/>
  <c r="DQ44" i="3"/>
  <c r="DJ44" i="3" s="1"/>
  <c r="DQ25" i="3"/>
  <c r="DJ25" i="3" s="1"/>
  <c r="AV72" i="3"/>
  <c r="AV79" i="3"/>
  <c r="DQ11" i="3"/>
  <c r="DJ11" i="3" s="1"/>
  <c r="DQ14" i="3"/>
  <c r="DJ14" i="3" s="1"/>
  <c r="AV49" i="3"/>
  <c r="AV24" i="3"/>
  <c r="DQ52" i="3"/>
  <c r="DJ52" i="3" s="1"/>
  <c r="AV41" i="3"/>
  <c r="DQ49" i="3"/>
  <c r="DJ49" i="3" s="1"/>
  <c r="AV95" i="3"/>
  <c r="AV96" i="3"/>
  <c r="DQ43" i="3"/>
  <c r="DJ43" i="3" s="1"/>
  <c r="AV65" i="3"/>
  <c r="DQ16" i="3"/>
  <c r="DJ16" i="3" s="1"/>
  <c r="AV57" i="3"/>
  <c r="AV89" i="3"/>
  <c r="AV25" i="3"/>
  <c r="DQ46" i="3"/>
  <c r="DJ46" i="3" s="1"/>
  <c r="AV71" i="3"/>
  <c r="DQ41" i="3"/>
  <c r="DJ41" i="3" s="1"/>
  <c r="AV17" i="3"/>
  <c r="AV70" i="3"/>
  <c r="DQ19" i="3"/>
  <c r="DJ19" i="3" s="1"/>
  <c r="AV22" i="3"/>
  <c r="DQ17" i="3"/>
  <c r="DJ17" i="3" s="1"/>
  <c r="AV73" i="3"/>
  <c r="AV9" i="3"/>
  <c r="DQ39" i="3"/>
  <c r="DJ39" i="3" s="1"/>
  <c r="DQ40" i="3"/>
  <c r="DJ40" i="3" s="1"/>
  <c r="DQ51" i="3"/>
  <c r="DJ51" i="3" s="1"/>
  <c r="AV97" i="3"/>
  <c r="AV31" i="3"/>
  <c r="DQ31" i="3"/>
  <c r="DJ31" i="3" s="1"/>
  <c r="AV38" i="3"/>
  <c r="DQ22" i="3"/>
  <c r="DJ22" i="3" s="1"/>
  <c r="AV32" i="3"/>
  <c r="DQ48" i="3"/>
  <c r="DJ48" i="3" s="1"/>
  <c r="DQ53" i="3"/>
  <c r="DJ53" i="3" s="1"/>
  <c r="DQ27" i="3"/>
  <c r="DJ27" i="3" s="1"/>
  <c r="AV46" i="3"/>
  <c r="AV80" i="3"/>
  <c r="AV48" i="3"/>
  <c r="AV47" i="3"/>
  <c r="AV23" i="3"/>
  <c r="AV30" i="3"/>
  <c r="DQ47" i="3"/>
  <c r="DJ47" i="3" s="1"/>
  <c r="DQ50" i="3"/>
  <c r="DJ50" i="3" s="1"/>
  <c r="AV7" i="3"/>
  <c r="AV39" i="3"/>
  <c r="DQ38" i="3"/>
  <c r="DJ38" i="3" s="1"/>
  <c r="AV86" i="3"/>
  <c r="DQ30" i="3"/>
  <c r="DJ30" i="3" s="1"/>
  <c r="AV56" i="3"/>
  <c r="AV15" i="3"/>
  <c r="AV54" i="3"/>
  <c r="DQ18" i="3"/>
  <c r="DJ18" i="3" s="1"/>
  <c r="DQ36" i="3"/>
  <c r="DJ36" i="3" s="1"/>
  <c r="DF7" i="3" l="1"/>
  <c r="DL9" i="3"/>
  <c r="AU9" i="3" s="1"/>
  <c r="DF8" i="3"/>
  <c r="DL29" i="3"/>
  <c r="DN29" i="3" s="1" a="1"/>
  <c r="DN29" i="3" s="1"/>
  <c r="DL19" i="3"/>
  <c r="AU31" i="3" s="1"/>
  <c r="DL44" i="3"/>
  <c r="AU80" i="3" s="1"/>
  <c r="DL6" i="3"/>
  <c r="AU6" i="3" s="1"/>
  <c r="DL36" i="3"/>
  <c r="AU64" i="3" s="1"/>
  <c r="DL34" i="3"/>
  <c r="AU62" i="3" s="1"/>
  <c r="DL24" i="3"/>
  <c r="AU40" i="3" s="1"/>
  <c r="DL47" i="3"/>
  <c r="AU87" i="3" s="1"/>
  <c r="DL53" i="3"/>
  <c r="AU97" i="3" s="1"/>
  <c r="DL45" i="3"/>
  <c r="DN45" i="3" s="1" a="1"/>
  <c r="DN45" i="3" s="1"/>
  <c r="DL39" i="3"/>
  <c r="AU71" i="3" s="1"/>
  <c r="DL17" i="3"/>
  <c r="AU25" i="3" s="1"/>
  <c r="DL51" i="3"/>
  <c r="AU95" i="3" s="1"/>
  <c r="DL11" i="3"/>
  <c r="DM11" i="3" s="1"/>
  <c r="DL22" i="3"/>
  <c r="AU38" i="3" s="1"/>
  <c r="DL37" i="3"/>
  <c r="AU65" i="3" s="1"/>
  <c r="DL12" i="3"/>
  <c r="AU16" i="3" s="1"/>
  <c r="DL32" i="3"/>
  <c r="AU56" i="3" s="1"/>
  <c r="DL21" i="3"/>
  <c r="AU33" i="3" s="1"/>
  <c r="DL18" i="3"/>
  <c r="AU30" i="3" s="1"/>
  <c r="DL14" i="3"/>
  <c r="DM14" i="3" s="1"/>
  <c r="DL35" i="3"/>
  <c r="AU63" i="3" s="1"/>
  <c r="DL52" i="3"/>
  <c r="AU96" i="3" s="1"/>
  <c r="DL10" i="3"/>
  <c r="AU14" i="3" s="1"/>
  <c r="DL42" i="3"/>
  <c r="AU78" i="3" s="1"/>
  <c r="DL41" i="3"/>
  <c r="AU73" i="3" s="1"/>
  <c r="DL40" i="3"/>
  <c r="AU72" i="3" s="1"/>
  <c r="DL8" i="3"/>
  <c r="AU8" i="3" s="1"/>
  <c r="DL13" i="3"/>
  <c r="AU17" i="3" s="1"/>
  <c r="DL25" i="3"/>
  <c r="AU41" i="3" s="1"/>
  <c r="DL23" i="3"/>
  <c r="AU39" i="3" s="1"/>
  <c r="DL20" i="3"/>
  <c r="DN20" i="3" s="1" a="1"/>
  <c r="DN20" i="3" s="1"/>
  <c r="DL7" i="3"/>
  <c r="DN7" i="3" s="1" a="1"/>
  <c r="DN7" i="3" s="1"/>
  <c r="DL50" i="3"/>
  <c r="DN50" i="3" s="1" a="1"/>
  <c r="DN50" i="3" s="1"/>
  <c r="DL27" i="3"/>
  <c r="AU47" i="3" s="1"/>
  <c r="DL30" i="3"/>
  <c r="AU54" i="3" s="1"/>
  <c r="DL48" i="3"/>
  <c r="AU88" i="3" s="1"/>
  <c r="DL31" i="3"/>
  <c r="AU55" i="3" s="1"/>
  <c r="DL43" i="3"/>
  <c r="AU79" i="3" s="1"/>
  <c r="DL38" i="3"/>
  <c r="AU70" i="3" s="1"/>
  <c r="DL15" i="3"/>
  <c r="AU23" i="3" s="1"/>
  <c r="DL49" i="3"/>
  <c r="AU89" i="3" s="1"/>
  <c r="DL33" i="3"/>
  <c r="AU57" i="3" s="1"/>
  <c r="DL26" i="3"/>
  <c r="DM26" i="3" s="1"/>
  <c r="DL28" i="3"/>
  <c r="AU48" i="3" s="1"/>
  <c r="DL16" i="3"/>
  <c r="AU24" i="3" s="1"/>
  <c r="DL46" i="3"/>
  <c r="AU86" i="3" s="1"/>
  <c r="DN37" i="3" a="1"/>
  <c r="DN37" i="3" s="1"/>
  <c r="AU49" i="3"/>
  <c r="DN47" i="3" l="1" a="1"/>
  <c r="DN47" i="3" s="1"/>
  <c r="DM44" i="3"/>
  <c r="DM47" i="3"/>
  <c r="DM19" i="3"/>
  <c r="DM20" i="3"/>
  <c r="DN41" i="3" a="1"/>
  <c r="DN41" i="3" s="1"/>
  <c r="DM41" i="3"/>
  <c r="DM29" i="3"/>
  <c r="DN9" i="3" a="1"/>
  <c r="DN9" i="3" s="1"/>
  <c r="DN19" i="3" a="1"/>
  <c r="DN19" i="3" s="1"/>
  <c r="DN17" i="3" a="1"/>
  <c r="DN17" i="3" s="1"/>
  <c r="DN12" i="3" a="1"/>
  <c r="DN12" i="3" s="1"/>
  <c r="DM32" i="3"/>
  <c r="DM39" i="3"/>
  <c r="DN44" i="3" a="1"/>
  <c r="DN44" i="3" s="1"/>
  <c r="AU46" i="3"/>
  <c r="AU45" i="3" s="1"/>
  <c r="AV44" i="3" s="1"/>
  <c r="DN38" i="3" a="1"/>
  <c r="DN38" i="3" s="1"/>
  <c r="DM45" i="3"/>
  <c r="DM22" i="3"/>
  <c r="DN10" i="3" a="1"/>
  <c r="DN10" i="3" s="1"/>
  <c r="DN51" i="3" a="1"/>
  <c r="DN51" i="3" s="1"/>
  <c r="AU32" i="3"/>
  <c r="AU29" i="3" s="1"/>
  <c r="AV28" i="3" s="1"/>
  <c r="DN13" i="3" a="1"/>
  <c r="DN13" i="3" s="1"/>
  <c r="AU22" i="3"/>
  <c r="AU21" i="3" s="1"/>
  <c r="AV20" i="3" s="1"/>
  <c r="DN36" i="3" a="1"/>
  <c r="DN36" i="3" s="1"/>
  <c r="DN34" i="3" a="1"/>
  <c r="DN34" i="3" s="1"/>
  <c r="DM36" i="3"/>
  <c r="DM51" i="3"/>
  <c r="DN35" i="3" a="1"/>
  <c r="DN35" i="3" s="1"/>
  <c r="DN22" i="3" a="1"/>
  <c r="DN22" i="3" s="1"/>
  <c r="AU15" i="3"/>
  <c r="AU13" i="3" s="1"/>
  <c r="AV12" i="3" s="1"/>
  <c r="DF10" i="3" s="1"/>
  <c r="DM25" i="3"/>
  <c r="DN32" i="3" a="1"/>
  <c r="DN32" i="3" s="1"/>
  <c r="DN16" i="3" a="1"/>
  <c r="DN16" i="3" s="1"/>
  <c r="DM17" i="3"/>
  <c r="AU61" i="3"/>
  <c r="AV60" i="3" s="1"/>
  <c r="DN8" i="3" a="1"/>
  <c r="DN8" i="3" s="1"/>
  <c r="DN6" i="3" a="1"/>
  <c r="DN6" i="3" s="1"/>
  <c r="DN18" i="3" a="1"/>
  <c r="DN18" i="3" s="1"/>
  <c r="DM6" i="3"/>
  <c r="DM8" i="3"/>
  <c r="DN24" i="3" a="1"/>
  <c r="DN24" i="3" s="1"/>
  <c r="DM35" i="3"/>
  <c r="DN11" i="3" a="1"/>
  <c r="DN11" i="3" s="1"/>
  <c r="DM9" i="3"/>
  <c r="DM24" i="3"/>
  <c r="DM52" i="3"/>
  <c r="AU53" i="3"/>
  <c r="AV52" i="3" s="1"/>
  <c r="DN53" i="3" a="1"/>
  <c r="DN53" i="3" s="1"/>
  <c r="DM53" i="3"/>
  <c r="DM34" i="3"/>
  <c r="DM23" i="3"/>
  <c r="DN42" i="3" a="1"/>
  <c r="DN42" i="3" s="1"/>
  <c r="DN43" i="3" a="1"/>
  <c r="DN43" i="3" s="1"/>
  <c r="AU37" i="3"/>
  <c r="AV36" i="3" s="1"/>
  <c r="DN21" i="3" a="1"/>
  <c r="DN21" i="3" s="1"/>
  <c r="DN52" i="3" a="1"/>
  <c r="DN52" i="3" s="1"/>
  <c r="AU69" i="3"/>
  <c r="AV68" i="3" s="1"/>
  <c r="DM43" i="3"/>
  <c r="DN23" i="3" a="1"/>
  <c r="DN23" i="3" s="1"/>
  <c r="DN49" i="3" a="1"/>
  <c r="DN49" i="3" s="1"/>
  <c r="AU81" i="3"/>
  <c r="AU77" i="3" s="1"/>
  <c r="AV76" i="3" s="1"/>
  <c r="DM21" i="3"/>
  <c r="DM16" i="3"/>
  <c r="DN27" i="3" a="1"/>
  <c r="DN27" i="3" s="1"/>
  <c r="DM37" i="3"/>
  <c r="DN25" i="3" a="1"/>
  <c r="DN25" i="3" s="1"/>
  <c r="DN33" i="3" a="1"/>
  <c r="DN33" i="3" s="1"/>
  <c r="DM27" i="3"/>
  <c r="DM50" i="3"/>
  <c r="DM30" i="3"/>
  <c r="DN31" i="3" a="1"/>
  <c r="DN31" i="3" s="1"/>
  <c r="DM18" i="3"/>
  <c r="AU94" i="3"/>
  <c r="AU93" i="3" s="1"/>
  <c r="AV92" i="3" s="1"/>
  <c r="DN39" i="3" a="1"/>
  <c r="DN39" i="3" s="1"/>
  <c r="DM40" i="3"/>
  <c r="DM31" i="3"/>
  <c r="DM49" i="3"/>
  <c r="DN26" i="3" a="1"/>
  <c r="DN26" i="3" s="1"/>
  <c r="DM38" i="3"/>
  <c r="DN40" i="3" a="1"/>
  <c r="DN40" i="3" s="1"/>
  <c r="DM10" i="3"/>
  <c r="DN30" i="3" a="1"/>
  <c r="DN30" i="3" s="1"/>
  <c r="AU85" i="3"/>
  <c r="AV84" i="3" s="1"/>
  <c r="DM12" i="3"/>
  <c r="DN48" i="3" a="1"/>
  <c r="DN48" i="3" s="1"/>
  <c r="DM46" i="3"/>
  <c r="DN46" i="3" a="1"/>
  <c r="DN46" i="3" s="1"/>
  <c r="DM7" i="3"/>
  <c r="DM48" i="3"/>
  <c r="DN14" i="3" a="1"/>
  <c r="DN14" i="3" s="1"/>
  <c r="DM42" i="3"/>
  <c r="AU7" i="3"/>
  <c r="AU5" i="3" s="1"/>
  <c r="AV4" i="3" s="1"/>
  <c r="DM13" i="3"/>
  <c r="DN28" i="3" a="1"/>
  <c r="DN28" i="3" s="1"/>
  <c r="DM33" i="3"/>
  <c r="DN15" i="3" a="1"/>
  <c r="DN15" i="3" s="1"/>
  <c r="DM15" i="3"/>
  <c r="DM28" i="3"/>
  <c r="DF9" i="3"/>
  <c r="DF21" i="3" l="1"/>
  <c r="DF14" i="3"/>
  <c r="DF37" i="3"/>
  <c r="DF12" i="3"/>
  <c r="DF16" i="3"/>
  <c r="DF25" i="3"/>
  <c r="DF24" i="3"/>
  <c r="DF19" i="3"/>
  <c r="DF23" i="3"/>
  <c r="DF22" i="3"/>
  <c r="DF18"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C228" i="31"/>
  <c r="AM14" i="45"/>
  <c r="C229" i="31"/>
  <c r="AM38" i="45" a="1"/>
  <c r="AM38" i="45" s="1"/>
  <c r="M138" i="3"/>
  <c r="AA138" i="3" s="1"/>
  <c r="B102" i="46" s="1"/>
  <c r="AG131" i="3"/>
  <c r="D138" i="3" l="1"/>
  <c r="M147" i="3" s="1"/>
  <c r="AA147" i="3"/>
  <c r="B105" i="46" s="1"/>
  <c r="AM37" i="45"/>
  <c r="C233" i="31"/>
  <c r="H139" i="3"/>
  <c r="AF143" i="3"/>
  <c r="C104" i="46" s="1"/>
  <c r="C227" i="31"/>
  <c r="B233" i="31"/>
  <c r="D147" i="3"/>
  <c r="AG147" i="3" s="1"/>
  <c r="N147" i="3"/>
  <c r="AG139" i="3"/>
  <c r="N143" i="3"/>
  <c r="AU26" i="45"/>
  <c r="C241" i="31"/>
  <c r="H138" i="3"/>
  <c r="AA143" i="3"/>
  <c r="B104" i="46" s="1"/>
  <c r="C232" i="31"/>
  <c r="AM13" i="45"/>
  <c r="B232" i="31"/>
  <c r="C226" i="31"/>
  <c r="AA150" i="3" l="1"/>
  <c r="BA21" i="45" s="1"/>
  <c r="AU25" i="45"/>
  <c r="AA151" i="3"/>
  <c r="BB23" i="45" s="1"/>
  <c r="H147" i="3"/>
  <c r="M143" i="3"/>
  <c r="AG138" i="3"/>
  <c r="C247" i="31"/>
  <c r="B247" i="31"/>
  <c r="C240" i="31"/>
  <c r="AQ32" i="45"/>
  <c r="D143" i="3"/>
  <c r="AG143" i="3" s="1"/>
  <c r="AA152" i="3"/>
  <c r="AZ25" i="45" s="1"/>
  <c r="C237" i="31"/>
  <c r="AQ31" i="45"/>
  <c r="C244" i="31"/>
  <c r="C236" i="31"/>
  <c r="B244" i="31"/>
  <c r="C250" i="31" l="1"/>
  <c r="AG150" i="3"/>
  <c r="C251" i="31"/>
  <c r="BN42" i="45" s="1"/>
  <c r="AG151" i="3"/>
  <c r="C252" i="31"/>
  <c r="BM44" i="45" s="1"/>
  <c r="AG152" i="3"/>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N26" i="45" l="1"/>
  <c r="BN18" i="45"/>
  <c r="BN44" i="45"/>
  <c r="BN24" i="45"/>
  <c r="BN21" i="45"/>
  <c r="BN32" i="45"/>
  <c r="BN47" i="45"/>
  <c r="BN11" i="45"/>
  <c r="BN8" i="45"/>
  <c r="BN35" i="45"/>
  <c r="BN41" i="45"/>
  <c r="BN43" i="45"/>
  <c r="BN45" i="45"/>
  <c r="BN10" i="45"/>
  <c r="BN14" i="45"/>
  <c r="BN30" i="45"/>
  <c r="BN13" i="45"/>
  <c r="BN46" i="45"/>
  <c r="BN40" i="45"/>
  <c r="BN20" i="45"/>
  <c r="BN17" i="45"/>
  <c r="BN38" i="45"/>
  <c r="BN25" i="45"/>
  <c r="BN23" i="45"/>
  <c r="AJ155" i="3"/>
  <c r="BN4" i="45"/>
  <c r="BN27" i="45"/>
  <c r="BN5" i="45"/>
  <c r="BN51" i="45"/>
  <c r="BN15" i="45"/>
  <c r="BN36" i="45"/>
  <c r="BN28" i="45"/>
  <c r="BN22" i="45"/>
  <c r="BN29" i="45"/>
  <c r="BN12" i="45"/>
  <c r="BN48" i="45"/>
  <c r="BN49" i="45"/>
  <c r="BN31" i="45"/>
  <c r="BN50" i="45"/>
  <c r="BN33" i="45"/>
  <c r="BN9" i="45"/>
  <c r="BN7" i="45"/>
  <c r="BN37" i="45"/>
  <c r="BN39" i="45"/>
  <c r="BN16" i="45"/>
  <c r="BN34" i="45"/>
  <c r="BN6" i="45"/>
  <c r="BN19" i="45"/>
  <c r="BM36" i="45"/>
  <c r="BM47" i="45"/>
  <c r="BM17" i="45"/>
  <c r="BM10" i="45"/>
  <c r="BM35" i="45"/>
  <c r="BM24" i="45"/>
  <c r="BM29" i="45"/>
  <c r="BM46" i="45"/>
  <c r="BM4" i="45"/>
  <c r="BM21" i="45"/>
  <c r="BM45" i="45"/>
  <c r="BM7" i="45"/>
  <c r="BM13" i="45"/>
  <c r="BM16" i="45"/>
  <c r="BM38" i="45"/>
  <c r="BM43" i="45"/>
  <c r="BM34" i="45"/>
  <c r="BM22" i="45"/>
  <c r="BM30" i="45"/>
  <c r="BM26" i="45"/>
  <c r="BM25" i="45"/>
  <c r="BM19" i="45"/>
  <c r="BM20" i="45"/>
  <c r="BM32" i="45"/>
  <c r="BM42" i="45"/>
  <c r="BL42" i="45" s="1"/>
  <c r="BK42" i="45" s="1"/>
  <c r="BJ42" i="45" s="1"/>
  <c r="BI42" i="45" s="1"/>
  <c r="BH42" i="45" s="1"/>
  <c r="BM15" i="45"/>
  <c r="BM9" i="45"/>
  <c r="BM39" i="45"/>
  <c r="BL39" i="45" s="1"/>
  <c r="BK39" i="45" s="1"/>
  <c r="BJ39" i="45" s="1"/>
  <c r="BI39" i="45" s="1"/>
  <c r="BH39" i="45" s="1"/>
  <c r="BM50" i="45"/>
  <c r="BM41" i="45"/>
  <c r="BM5" i="45"/>
  <c r="BM33" i="45"/>
  <c r="BL33" i="45" s="1"/>
  <c r="BK33" i="45" s="1"/>
  <c r="BJ33" i="45" s="1"/>
  <c r="BI33" i="45" s="1"/>
  <c r="BH33" i="45" s="1"/>
  <c r="BM51" i="45"/>
  <c r="BM49" i="45"/>
  <c r="BM6" i="45"/>
  <c r="BM14" i="45"/>
  <c r="BM48" i="45"/>
  <c r="AJ151" i="3"/>
  <c r="BM28" i="45"/>
  <c r="BM31" i="45"/>
  <c r="BM18" i="45"/>
  <c r="BM23" i="45"/>
  <c r="BM37" i="45"/>
  <c r="BL37" i="45" s="1"/>
  <c r="BK37" i="45" s="1"/>
  <c r="BJ37" i="45" s="1"/>
  <c r="BI37" i="45" s="1"/>
  <c r="BH37" i="45" s="1"/>
  <c r="BM27" i="45"/>
  <c r="BL27" i="45" s="1"/>
  <c r="BK27" i="45" s="1"/>
  <c r="BJ27" i="45" s="1"/>
  <c r="BI27" i="45" s="1"/>
  <c r="BH27" i="45" s="1"/>
  <c r="BM11" i="45"/>
  <c r="BM40" i="45"/>
  <c r="BL40" i="45" s="1"/>
  <c r="BK40" i="45" s="1"/>
  <c r="BJ40" i="45" s="1"/>
  <c r="BI40" i="45" s="1"/>
  <c r="BH40" i="45" s="1"/>
  <c r="BM12" i="45"/>
  <c r="BM8" i="45"/>
  <c r="BL44" i="45"/>
  <c r="BK44" i="45" s="1"/>
  <c r="BJ44" i="45" s="1"/>
  <c r="BI44" i="45" s="1"/>
  <c r="BH44" i="45" s="1"/>
  <c r="BL41" i="45" l="1"/>
  <c r="BK41" i="45" s="1"/>
  <c r="BJ41" i="45" s="1"/>
  <c r="BI41" i="45" s="1"/>
  <c r="BH41" i="45" s="1"/>
  <c r="BL5" i="45"/>
  <c r="BK5" i="45" s="1"/>
  <c r="BJ5" i="45" s="1"/>
  <c r="BI5" i="45" s="1"/>
  <c r="BH5" i="45" s="1"/>
  <c r="BL35" i="45"/>
  <c r="BK35" i="45" s="1"/>
  <c r="BJ35" i="45" s="1"/>
  <c r="BI35" i="45" s="1"/>
  <c r="BH35" i="45" s="1"/>
  <c r="BL8" i="45"/>
  <c r="BK8" i="45" s="1"/>
  <c r="BJ8" i="45" s="1"/>
  <c r="BI8" i="45" s="1"/>
  <c r="BH8" i="45" s="1"/>
  <c r="BL51" i="45"/>
  <c r="BK51" i="45" s="1"/>
  <c r="BJ51" i="45" s="1"/>
  <c r="BI51" i="45" s="1"/>
  <c r="BH51" i="45" s="1"/>
  <c r="BL49" i="45"/>
  <c r="BK49" i="45" s="1"/>
  <c r="BJ49" i="45" s="1"/>
  <c r="BI49" i="45" s="1"/>
  <c r="BH49" i="45" s="1"/>
  <c r="BL21" i="45"/>
  <c r="BK21" i="45" s="1"/>
  <c r="BJ21" i="45" s="1"/>
  <c r="BI21" i="45" s="1"/>
  <c r="BH21" i="45" s="1"/>
  <c r="BL18" i="45"/>
  <c r="BK18" i="45" s="1"/>
  <c r="BJ18" i="45" s="1"/>
  <c r="BI18" i="45" s="1"/>
  <c r="BH18" i="45" s="1"/>
  <c r="BL31" i="45"/>
  <c r="BK31" i="45" s="1"/>
  <c r="BJ31" i="45" s="1"/>
  <c r="BI31" i="45" s="1"/>
  <c r="BH31" i="45" s="1"/>
  <c r="BL38" i="45"/>
  <c r="BK38" i="45" s="1"/>
  <c r="BJ38" i="45" s="1"/>
  <c r="BI38" i="45" s="1"/>
  <c r="BH38" i="45" s="1"/>
  <c r="BL43" i="45"/>
  <c r="BK43" i="45" s="1"/>
  <c r="BJ43" i="45" s="1"/>
  <c r="BI43" i="45" s="1"/>
  <c r="BH43" i="45" s="1"/>
  <c r="BL20" i="45"/>
  <c r="BK20" i="45" s="1"/>
  <c r="BJ20" i="45" s="1"/>
  <c r="BI20" i="45" s="1"/>
  <c r="BH20" i="45" s="1"/>
  <c r="BL24" i="45"/>
  <c r="BK24" i="45" s="1"/>
  <c r="BJ24" i="45" s="1"/>
  <c r="BI24" i="45" s="1"/>
  <c r="BH24" i="45" s="1"/>
  <c r="BL48" i="45"/>
  <c r="BK48" i="45" s="1"/>
  <c r="BJ48" i="45" s="1"/>
  <c r="BI48" i="45" s="1"/>
  <c r="BH48" i="45" s="1"/>
  <c r="BL45" i="45"/>
  <c r="BK45" i="45" s="1"/>
  <c r="BJ45" i="45" s="1"/>
  <c r="BI45" i="45" s="1"/>
  <c r="BH45" i="45" s="1"/>
  <c r="BL11" i="45"/>
  <c r="BK11" i="45" s="1"/>
  <c r="BJ11" i="45" s="1"/>
  <c r="BI11" i="45" s="1"/>
  <c r="BH11" i="45" s="1"/>
  <c r="BL13" i="45"/>
  <c r="BK13" i="45" s="1"/>
  <c r="BJ13" i="45" s="1"/>
  <c r="BI13" i="45" s="1"/>
  <c r="BH13" i="45" s="1"/>
  <c r="BL26" i="45"/>
  <c r="BK26" i="45" s="1"/>
  <c r="BJ26" i="45" s="1"/>
  <c r="BI26" i="45" s="1"/>
  <c r="BH26" i="45" s="1"/>
  <c r="BL9" i="45"/>
  <c r="BK9" i="45" s="1"/>
  <c r="BJ9" i="45" s="1"/>
  <c r="BI9" i="45" s="1"/>
  <c r="BH9" i="45" s="1"/>
  <c r="BL30" i="45"/>
  <c r="BK30" i="45" s="1"/>
  <c r="BJ30" i="45" s="1"/>
  <c r="BI30" i="45" s="1"/>
  <c r="BH30" i="45" s="1"/>
  <c r="BL32" i="45"/>
  <c r="BK32" i="45" s="1"/>
  <c r="BJ32" i="45" s="1"/>
  <c r="BI32" i="45" s="1"/>
  <c r="BH32" i="45" s="1"/>
  <c r="BL14" i="45"/>
  <c r="BK14" i="45" s="1"/>
  <c r="BJ14" i="45" s="1"/>
  <c r="BI14" i="45" s="1"/>
  <c r="BH14" i="45" s="1"/>
  <c r="BL10" i="45"/>
  <c r="BK10" i="45" s="1"/>
  <c r="BJ10" i="45" s="1"/>
  <c r="BI10" i="45" s="1"/>
  <c r="BH10" i="45" s="1"/>
  <c r="BL47" i="45"/>
  <c r="BK47" i="45" s="1"/>
  <c r="BJ47" i="45" s="1"/>
  <c r="BI47" i="45" s="1"/>
  <c r="BH47" i="45" s="1"/>
  <c r="BL4" i="45"/>
  <c r="BK4" i="45" s="1"/>
  <c r="BJ4" i="45" s="1"/>
  <c r="BI4" i="45" s="1"/>
  <c r="BH4" i="45" s="1"/>
  <c r="BL46" i="45"/>
  <c r="BK46" i="45" s="1"/>
  <c r="BJ46" i="45" s="1"/>
  <c r="BI46" i="45" s="1"/>
  <c r="BH46" i="45" s="1"/>
  <c r="BL15" i="45"/>
  <c r="BK15" i="45" s="1"/>
  <c r="BJ15" i="45" s="1"/>
  <c r="BI15" i="45" s="1"/>
  <c r="BH15" i="45" s="1"/>
  <c r="BL50" i="45"/>
  <c r="BK50" i="45" s="1"/>
  <c r="BJ50" i="45" s="1"/>
  <c r="BI50" i="45" s="1"/>
  <c r="BH50" i="45" s="1"/>
  <c r="BL25" i="45"/>
  <c r="BK25" i="45" s="1"/>
  <c r="BJ25" i="45" s="1"/>
  <c r="BI25" i="45" s="1"/>
  <c r="BH25" i="45" s="1"/>
  <c r="BL6" i="45"/>
  <c r="BK6" i="45" s="1"/>
  <c r="BJ6" i="45" s="1"/>
  <c r="BI6" i="45" s="1"/>
  <c r="BH6" i="45" s="1"/>
  <c r="BL23" i="45"/>
  <c r="BK23" i="45" s="1"/>
  <c r="BJ23" i="45" s="1"/>
  <c r="BI23" i="45" s="1"/>
  <c r="BH23" i="45" s="1"/>
  <c r="BL28" i="45"/>
  <c r="BK28" i="45" s="1"/>
  <c r="BJ28" i="45" s="1"/>
  <c r="BI28" i="45" s="1"/>
  <c r="BH28" i="45" s="1"/>
  <c r="BL19" i="45"/>
  <c r="BK19" i="45" s="1"/>
  <c r="BJ19" i="45" s="1"/>
  <c r="BI19" i="45" s="1"/>
  <c r="BH19" i="45" s="1"/>
  <c r="BL16" i="45"/>
  <c r="BK16" i="45" s="1"/>
  <c r="BJ16" i="45" s="1"/>
  <c r="BI16" i="45" s="1"/>
  <c r="BH16" i="45" s="1"/>
  <c r="BL17" i="45"/>
  <c r="BK17" i="45" s="1"/>
  <c r="BJ17" i="45" s="1"/>
  <c r="BI17" i="45" s="1"/>
  <c r="BH17" i="45" s="1"/>
  <c r="BL22" i="45"/>
  <c r="BK22" i="45" s="1"/>
  <c r="BJ22" i="45" s="1"/>
  <c r="BI22" i="45" s="1"/>
  <c r="BH22" i="45" s="1"/>
  <c r="BL29" i="45"/>
  <c r="BK29" i="45" s="1"/>
  <c r="BJ29" i="45" s="1"/>
  <c r="BI29" i="45" s="1"/>
  <c r="BH29" i="45" s="1"/>
  <c r="BL7" i="45"/>
  <c r="BK7" i="45" s="1"/>
  <c r="BJ7" i="45" s="1"/>
  <c r="BI7" i="45" s="1"/>
  <c r="BH7" i="45" s="1"/>
  <c r="BL12" i="45"/>
  <c r="BK12" i="45" s="1"/>
  <c r="BJ12" i="45" s="1"/>
  <c r="BI12" i="45" s="1"/>
  <c r="BH12" i="45" s="1"/>
  <c r="BL34" i="45"/>
  <c r="BK34" i="45" s="1"/>
  <c r="BJ34" i="45" s="1"/>
  <c r="BI34" i="45" s="1"/>
  <c r="BH34" i="45" s="1"/>
  <c r="BL36" i="45"/>
  <c r="BK36" i="45" s="1"/>
  <c r="BJ36" i="45" s="1"/>
  <c r="BI36" i="45" s="1"/>
  <c r="BH36"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<sst xmlns="http://schemas.openxmlformats.org/spreadsheetml/2006/main" count="6814" uniqueCount="1536">
  <si>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</si>
  <si>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</si>
  <si>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</si>
  <si>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</si>
  <si>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</si>
  <si>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</si>
  <si>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</si>
  <si>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</si>
  <si>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</si>
  <si>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</si>
  <si>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</si>
  <si>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</si>
  <si>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</si>
  <si>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</si>
  <si>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</si>
  <si>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</si>
  <si>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</si>
  <si>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</si>
  <si>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</si>
  <si>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</si>
  <si>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</si>
  <si>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</si>
  <si>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</si>
  <si>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</si>
  <si>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</si>
  <si>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</si>
  <si>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</si>
  <si>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</si>
  <si>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</si>
  <si>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</si>
  <si>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</si>
  <si>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</si>
  <si>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</si>
  <si>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</si>
  <si>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</si>
  <si>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</si>
  <si>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</si>
  <si>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</si>
  <si>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</si>
  <si>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</si>
  <si>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</si>
  <si>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</si>
  <si>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</si>
  <si>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</si>
  <si>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</si>
  <si>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</si>
  <si>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</si>
  <si>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</si>
  <si>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</si>
  <si>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</si>
  <si>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</si>
  <si>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</si>
  <si>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</si>
  <si>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</si>
  <si>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</si>
  <si>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</si>
  <si>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</si>
  <si>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</si>
  <si>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</si>
  <si>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</si>
  <si>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</si>
  <si>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</si>
  <si>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</si>
  <si>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</si>
  <si>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</si>
  <si>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</si>
  <si>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</si>
  <si>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</si>
  <si>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</si>
  <si>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</si>
  <si>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</si>
  <si>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</si>
  <si>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</si>
  <si>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</si>
  <si>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</si>
  <si>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</si>
  <si>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</si>
  <si>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</si>
  <si>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</si>
  <si>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</si>
  <si>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</si>
  <si>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</si>
  <si>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</si>
  <si>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</si>
  <si>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</si>
  <si>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</si>
  <si>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</si>
  <si>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</si>
  <si>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</si>
  <si>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</si>
  <si>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</si>
  <si>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</si>
  <si>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</si>
  <si>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</si>
  <si>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</si>
  <si>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</si>
  <si>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</si>
  <si>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</si>
  <si>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</si>
  <si>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</si>
  <si>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</si>
  <si>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</si>
  <si>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</si>
  <si>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</si>
  <si>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</si>
  <si>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</si>
  <si>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</si>
  <si>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</si>
  <si>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</si>
  <si>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</si>
  <si>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</si>
  <si>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</si>
  <si>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</si>
  <si>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</si>
  <si>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</si>
  <si>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</si>
  <si>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</si>
  <si>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</si>
  <si>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</si>
  <si>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</si>
  <si>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</si>
  <si>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</si>
  <si>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</si>
  <si>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</si>
  <si>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</si>
  <si>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</si>
  <si>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</si>
  <si>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</si>
  <si>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</si>
  <si>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</si>
  <si>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</si>
  <si>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</si>
  <si>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</si>
  <si>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</si>
  <si>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</si>
  <si>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</si>
  <si>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</si>
  <si>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</si>
  <si>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</si>
  <si>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</si>
  <si>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</si>
  <si>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</si>
  <si>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</si>
  <si>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</si>
  <si>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</si>
  <si>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</si>
  <si>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</si>
  <si>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</si>
  <si>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</si>
  <si>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</si>
  <si>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</si>
  <si>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</si>
  <si>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</si>
  <si>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</si>
  <si>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</si>
  <si>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</si>
  <si>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</si>
  <si>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</si>
  <si>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</si>
  <si>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</si>
  <si>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</si>
  <si>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</si>
  <si>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</si>
  <si>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</si>
  <si>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</si>
  <si>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</si>
  <si>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</si>
  <si>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</si>
  <si>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</si>
  <si>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</si>
  <si>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</si>
  <si>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</si>
  <si>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</si>
  <si>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</si>
  <si>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</si>
  <si>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</si>
  <si>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</si>
  <si>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</si>
  <si>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</si>
  <si>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</si>
  <si>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</si>
  <si>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</si>
  <si>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</si>
  <si>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</si>
  <si>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</si>
  <si>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</si>
  <si>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</si>
  <si>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</si>
  <si>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</si>
  <si>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</si>
  <si>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</si>
  <si>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</si>
  <si>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</si>
  <si>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</si>
  <si>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</si>
  <si>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</si>
  <si>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</si>
  <si>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</si>
  <si>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</si>
  <si>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</si>
  <si>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</si>
  <si>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</si>
  <si>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</si>
  <si>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</si>
  <si>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</si>
  <si>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</si>
  <si>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</si>
  <si>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</si>
  <si>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</si>
  <si>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</si>
  <si>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</si>
  <si>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</si>
  <si>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</si>
  <si>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</si>
  <si>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</si>
  <si>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</si>
  <si>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</si>
  <si>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</si>
  <si>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</si>
  <si>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</si>
  <si>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</si>
  <si>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</si>
  <si>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</si>
  <si>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</si>
  <si>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</si>
  <si>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</si>
  <si>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</si>
  <si>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</si>
  <si>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</si>
  <si>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</si>
  <si>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</si>
  <si>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</si>
  <si>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</si>
  <si>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</si>
  <si>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</si>
  <si>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</si>
  <si>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</si>
  <si>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</si>
  <si>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</si>
  <si>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</si>
  <si>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</si>
  <si>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</si>
  <si>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</si>
  <si>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</si>
  <si>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</si>
  <si>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</si>
  <si>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</si>
  <si>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</si>
  <si>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</si>
  <si>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</si>
  <si>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</si>
  <si>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</si>
  <si>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</si>
  <si>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</si>
  <si>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</si>
  <si>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</si>
  <si>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</si>
  <si>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</si>
  <si>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</si>
  <si>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</si>
  <si>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</si>
  <si>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</si>
  <si>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</si>
  <si>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</si>
  <si>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</si>
  <si>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</si>
  <si>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</si>
  <si>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</si>
  <si>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</si>
  <si>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</si>
  <si>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</si>
  <si>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</si>
  <si>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</si>
  <si>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</si>
  <si>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</si>
  <si>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</si>
  <si>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</si>
  <si>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</si>
  <si>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</si>
  <si>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</si>
  <si>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</si>
  <si>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</si>
  <si>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</si>
  <si>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</si>
  <si>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</si>
  <si>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</si>
  <si>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</si>
  <si>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</si>
  <si>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</si>
  <si>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</si>
  <si>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</si>
  <si>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</si>
  <si>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</si>
  <si>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</si>
  <si>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</si>
  <si>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</si>
  <si>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</si>
  <si>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</si>
  <si>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</si>
  <si>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</si>
  <si>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</si>
  <si>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</si>
  <si>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</si>
  <si>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</si>
  <si>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</si>
  <si>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</si>
  <si>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</si>
  <si>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</si>
  <si>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</si>
  <si>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</si>
  <si>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</si>
  <si>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</si>
  <si>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</si>
  <si>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</si>
  <si>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</si>
  <si>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</si>
  <si>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</si>
  <si>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</si>
  <si>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</si>
  <si>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</si>
  <si>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</si>
  <si>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</si>
  <si>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</si>
  <si>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</si>
  <si>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</si>
  <si>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</si>
  <si>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</si>
  <si>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</si>
  <si>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</si>
  <si>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</si>
  <si>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</si>
  <si>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</si>
  <si>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</si>
  <si>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</si>
  <si>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</si>
  <si>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</si>
  <si>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</si>
  <si>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</si>
  <si>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</si>
  <si>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</si>
  <si>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</si>
  <si>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</si>
  <si>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</si>
  <si>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</si>
  <si>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</si>
  <si>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</si>
  <si>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</si>
  <si>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</si>
  <si>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</si>
  <si>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</si>
  <si>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</si>
  <si>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</si>
  <si>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</si>
  <si>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</si>
  <si>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</si>
  <si>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</si>
  <si>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</si>
  <si>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</si>
  <si>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</si>
  <si>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</si>
  <si>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</si>
  <si>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</si>
  <si>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</si>
  <si>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</si>
  <si>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</si>
  <si>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</si>
  <si>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</si>
  <si>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</si>
  <si>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</si>
  <si>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</si>
  <si>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</si>
  <si>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</si>
  <si>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</si>
  <si>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</si>
  <si>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</si>
  <si>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</si>
  <si>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</si>
  <si>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</si>
  <si>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</si>
  <si>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</si>
  <si>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</si>
  <si>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</si>
  <si>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</si>
  <si>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</si>
  <si>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</si>
  <si>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</si>
  <si>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</si>
  <si>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</si>
  <si>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</si>
  <si>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</si>
  <si>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</si>
  <si>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</si>
  <si>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</si>
  <si>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</si>
  <si>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</si>
  <si>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</si>
  <si>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</si>
  <si>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</si>
  <si>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</si>
  <si>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</si>
  <si>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</si>
  <si>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</si>
  <si>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</si>
  <si>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</si>
  <si>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</si>
  <si>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</si>
  <si>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</si>
  <si>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</si>
  <si>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</si>
  <si>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</si>
  <si>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</si>
  <si>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</si>
  <si>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</si>
  <si>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</si>
  <si>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</si>
  <si>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</si>
  <si>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</si>
  <si>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</si>
  <si>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</si>
  <si>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</si>
  <si>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</si>
  <si>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</si>
  <si>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</si>
  <si>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</si>
  <si>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</si>
  <si>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</si>
  <si>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</si>
  <si>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</si>
  <si>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</si>
  <si>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</si>
  <si>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</si>
  <si>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</si>
  <si>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</si>
  <si>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</si>
  <si>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</si>
  <si>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</si>
  <si>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</si>
  <si>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</si>
  <si>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</si>
  <si>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</si>
  <si>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</si>
  <si>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</si>
  <si>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</si>
  <si>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</si>
  <si>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</si>
  <si>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</si>
  <si>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</si>
  <si>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</si>
  <si>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</si>
  <si>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</si>
  <si>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</si>
  <si>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</si>
  <si>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</si>
  <si>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</si>
  <si>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</si>
  <si>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</si>
  <si>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</si>
  <si>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</si>
  <si>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</si>
  <si>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</si>
  <si>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</si>
  <si>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</si>
  <si>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</si>
  <si>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</si>
  <si>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</si>
  <si>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</si>
  <si>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</si>
  <si>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</si>
  <si>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</si>
  <si>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</si>
  <si>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</si>
  <si>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</si>
  <si>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</si>
  <si>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</si>
  <si>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</si>
  <si>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</si>
  <si>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</si>
  <si>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</si>
  <si>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</si>
  <si>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</si>
  <si>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</si>
  <si>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</si>
  <si>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</si>
  <si>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</si>
  <si>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</si>
  <si>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</si>
  <si>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</si>
  <si>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</si>
  <si>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</si>
  <si>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</si>
  <si>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</si>
  <si>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</si>
  <si>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</si>
  <si>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</si>
  <si>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</si>
  <si>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</si>
  <si>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</si>
  <si>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</si>
  <si>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</si>
  <si>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</si>
  <si>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</si>
  <si>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</si>
  <si>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</si>
  <si>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</si>
  <si>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</si>
  <si>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</si>
  <si>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</si>
  <si>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</si>
  <si>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</si>
  <si>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</si>
  <si>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</si>
  <si>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</si>
  <si>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</si>
  <si>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</si>
  <si>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</si>
  <si>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</si>
  <si>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</si>
  <si>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</si>
  <si>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</si>
  <si>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</si>
  <si>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</si>
  <si>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</si>
  <si>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</si>
  <si>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</si>
  <si>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</si>
  <si>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</si>
  <si>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</si>
  <si>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</si>
  <si>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</si>
  <si>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</si>
  <si>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</si>
  <si>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</si>
  <si>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</si>
  <si>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</si>
  <si>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</si>
  <si>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</si>
  <si>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</si>
  <si>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</si>
  <si>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</si>
  <si>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</si>
  <si>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</si>
  <si>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</si>
  <si>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</si>
  <si>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</si>
  <si>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</si>
  <si>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</si>
  <si>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</si>
  <si>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</si>
  <si>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</si>
  <si>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</si>
  <si>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</si>
  <si>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</si>
  <si>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</si>
  <si>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</si>
  <si>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</si>
  <si>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</si>
  <si>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</si>
  <si>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</si>
  <si>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</si>
  <si>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</si>
  <si>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</si>
  <si>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</si>
  <si>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</si>
  <si>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</si>
  <si>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</si>
  <si>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</si>
  <si>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</si>
  <si>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</si>
  <si>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</si>
  <si>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</si>
  <si>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</si>
  <si>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</si>
  <si>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</si>
  <si>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</si>
  <si>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</si>
  <si>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</si>
  <si>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</si>
  <si>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</si>
  <si>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</si>
  <si>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</si>
  <si>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</si>
  <si>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</si>
  <si>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</si>
  <si>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</si>
  <si>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</si>
  <si>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</si>
  <si>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</si>
  <si>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</si>
  <si>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</si>
  <si>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</si>
  <si>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</si>
  <si>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</si>
  <si>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</si>
  <si>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</si>
  <si>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</si>
  <si>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</si>
  <si>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</si>
  <si>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</si>
  <si>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</si>
  <si>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</si>
  <si>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</si>
  <si>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</si>
  <si>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</si>
  <si>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</si>
  <si>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</si>
  <si>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</si>
  <si>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</si>
  <si>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</si>
  <si>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</si>
  <si>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</si>
  <si>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</si>
  <si>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</si>
  <si>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</si>
  <si>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</si>
  <si>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</si>
  <si>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</si>
  <si>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</si>
  <si>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</si>
  <si>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</si>
  <si>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</si>
  <si>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</si>
  <si>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</si>
  <si>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</si>
  <si>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</si>
  <si>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</si>
  <si>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</si>
  <si>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</si>
  <si>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</si>
  <si>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</si>
  <si>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</si>
  <si>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</si>
  <si>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</si>
  <si>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</si>
  <si>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</si>
  <si>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</si>
  <si>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</si>
  <si>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</si>
  <si>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</si>
  <si>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</si>
  <si>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</si>
  <si>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</si>
  <si>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</si>
  <si>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</si>
  <si>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</si>
  <si>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</si>
  <si>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</si>
  <si>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</si>
  <si>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</si>
  <si>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</si>
  <si>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</si>
  <si>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</si>
  <si>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</si>
  <si>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</si>
  <si>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</si>
  <si>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</si>
  <si>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</si>
  <si>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</si>
  <si>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</si>
  <si>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</si>
  <si>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</si>
  <si>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</si>
  <si>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</si>
  <si>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</si>
  <si>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</si>
  <si>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</si>
  <si>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</si>
  <si>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</si>
  <si>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</si>
  <si>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</si>
  <si>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</si>
  <si>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</si>
  <si>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</si>
  <si>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</si>
  <si>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</si>
  <si>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</si>
  <si>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</si>
  <si>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</si>
  <si>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</si>
  <si>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</si>
  <si>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</si>
  <si>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</si>
  <si>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</si>
  <si>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</si>
  <si>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</si>
  <si>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</si>
  <si>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</si>
  <si>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</si>
  <si>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</si>
  <si>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</si>
  <si>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</si>
  <si>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</si>
  <si>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</si>
  <si>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</si>
  <si>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</si>
  <si>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</si>
  <si>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</si>
  <si>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</si>
  <si>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</si>
  <si>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</si>
  <si>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</si>
  <si>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</si>
  <si>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</si>
  <si>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</si>
  <si>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</si>
  <si>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</si>
  <si>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</si>
  <si>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</si>
  <si>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</si>
  <si>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</si>
  <si>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</si>
  <si>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</si>
  <si>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</si>
  <si>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</si>
  <si>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</si>
  <si>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</si>
  <si>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</si>
  <si>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</si>
  <si>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</si>
  <si>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</si>
  <si>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</si>
  <si>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</si>
  <si>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</si>
  <si>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</si>
  <si>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</si>
  <si>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</si>
  <si>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</si>
  <si>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</si>
  <si>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</si>
  <si>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</si>
  <si>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</si>
  <si>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</si>
  <si>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</si>
  <si>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</si>
  <si>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</si>
  <si>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</si>
  <si>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</si>
  <si>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</si>
  <si>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</si>
  <si>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</si>
  <si>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</si>
  <si>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</si>
  <si>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</si>
  <si>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</si>
  <si>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</si>
  <si>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</si>
  <si>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</si>
  <si>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</si>
  <si>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</si>
  <si>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</si>
  <si>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</si>
  <si>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</si>
  <si>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</si>
  <si>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</si>
  <si>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</si>
  <si>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</si>
  <si>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</si>
  <si>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</si>
  <si>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</si>
  <si>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</si>
  <si>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</si>
  <si>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</si>
  <si>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</si>
  <si>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</si>
  <si>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</si>
  <si>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</si>
  <si>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</si>
  <si>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</si>
  <si>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</si>
  <si>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</si>
  <si>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</si>
  <si>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</si>
  <si>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</si>
  <si>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</si>
  <si>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</si>
  <si>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</si>
  <si>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</si>
  <si>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</si>
  <si>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</si>
  <si>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</si>
  <si>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</si>
  <si>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</si>
  <si>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</si>
  <si>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</si>
  <si>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</si>
  <si>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</si>
  <si>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</si>
  <si>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</si>
  <si>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</si>
  <si>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</si>
  <si>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</si>
  <si>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</si>
  <si>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</si>
  <si>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</si>
  <si>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</si>
  <si>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</si>
  <si>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</si>
  <si>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</si>
  <si>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</si>
  <si>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</si>
  <si>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</si>
  <si>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</si>
  <si>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</si>
  <si>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</si>
  <si>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</si>
  <si>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</si>
  <si>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</si>
  <si>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</si>
  <si>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</si>
  <si>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</si>
  <si>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</si>
  <si>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</si>
  <si>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</si>
  <si>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</si>
  <si>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</si>
  <si>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</si>
  <si>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</si>
  <si>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</si>
  <si>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</si>
  <si>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</si>
  <si>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</si>
  <si>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</si>
  <si>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</si>
  <si>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</si>
  <si>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</si>
  <si>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</si>
  <si>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</si>
  <si>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</si>
  <si>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</si>
  <si>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</si>
  <si>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</si>
  <si>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</si>
  <si>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</si>
  <si>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</si>
  <si>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</si>
  <si>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</si>
  <si>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</si>
  <si>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</si>
  <si>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</si>
  <si>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</si>
  <si>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</si>
  <si>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</si>
  <si>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</si>
  <si>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</si>
  <si>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</si>
  <si>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</si>
  <si>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</si>
  <si>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</si>
  <si>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</si>
  <si>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</si>
  <si>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</si>
  <si>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</si>
  <si>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</si>
  <si>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</si>
  <si>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</si>
  <si>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</si>
  <si>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</si>
  <si>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</si>
  <si>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</si>
  <si>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</si>
  <si>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</si>
  <si>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</si>
  <si>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</si>
  <si>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</si>
  <si>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</si>
  <si>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</si>
  <si>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</si>
  <si>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</si>
  <si>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</si>
  <si>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</si>
  <si>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</si>
  <si>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</si>
  <si>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</si>
  <si>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</si>
  <si>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</si>
  <si>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</si>
  <si>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</si>
  <si>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</si>
  <si>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</si>
  <si>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</si>
  <si>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</si>
  <si>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</si>
  <si>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</si>
  <si>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</si>
  <si>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</si>
  <si>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</si>
  <si>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</si>
  <si>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</si>
  <si>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</si>
  <si>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</si>
  <si>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</si>
  <si>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</si>
  <si>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</si>
  <si>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</si>
  <si>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</si>
  <si>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</si>
  <si>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</si>
  <si>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</si>
  <si>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</si>
  <si>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</si>
  <si>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</si>
  <si>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</si>
  <si>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</si>
  <si>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</si>
  <si>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</si>
  <si>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</si>
  <si>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</si>
  <si>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</si>
  <si>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</si>
  <si>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</si>
  <si>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</si>
  <si>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</si>
  <si>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</si>
  <si>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</si>
  <si>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</si>
  <si>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</si>
  <si>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</si>
  <si>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</si>
  <si>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</si>
  <si>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</si>
  <si>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</si>
  <si>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</si>
  <si>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</si>
  <si>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</si>
  <si>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</si>
  <si>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</si>
  <si>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</si>
  <si>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</si>
  <si>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</si>
  <si>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</si>
  <si>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</si>
  <si>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</si>
  <si>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</si>
  <si>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</si>
  <si>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</si>
  <si>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</si>
  <si>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</si>
  <si>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</si>
  <si>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</si>
  <si>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</si>
  <si>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</si>
  <si>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</si>
  <si>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</si>
  <si>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</si>
  <si>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</si>
  <si>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</si>
  <si>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</si>
  <si>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</si>
  <si>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</si>
  <si>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</si>
  <si>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</si>
  <si>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</si>
  <si>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</si>
  <si>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</si>
  <si>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</si>
  <si>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</si>
  <si>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</si>
  <si>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</si>
  <si>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</si>
  <si>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</si>
  <si>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</si>
  <si>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</si>
  <si>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</si>
  <si>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</si>
  <si>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</si>
  <si>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</si>
  <si>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</si>
  <si>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</si>
  <si>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</si>
  <si>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</si>
  <si>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</si>
  <si>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</si>
  <si>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</si>
  <si>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</si>
  <si>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</si>
  <si>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</si>
  <si>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</si>
  <si>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</si>
  <si>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</si>
  <si>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</si>
  <si>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</si>
  <si>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</si>
  <si>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</si>
  <si>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</si>
  <si>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</si>
  <si>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</si>
  <si>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</si>
  <si>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</si>
  <si>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</si>
  <si>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</si>
  <si>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</si>
  <si>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</si>
  <si>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</si>
  <si>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</si>
  <si>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</si>
  <si>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</si>
  <si>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</si>
  <si>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</si>
  <si>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</si>
  <si>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</si>
  <si>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</si>
  <si>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</si>
  <si>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</si>
  <si>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</si>
  <si>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</si>
  <si>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</si>
  <si>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</si>
  <si>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</si>
  <si>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</si>
  <si>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</si>
  <si>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</si>
  <si>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</si>
  <si>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</si>
  <si>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</si>
  <si>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</si>
  <si>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</si>
  <si>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</si>
  <si>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</si>
  <si>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</si>
  <si>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</si>
  <si>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</si>
  <si>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</si>
  <si>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</si>
  <si>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</si>
  <si>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</si>
  <si>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</si>
  <si>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</si>
  <si>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</si>
  <si>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</si>
  <si>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</si>
  <si>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</si>
  <si>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</si>
  <si>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</si>
  <si>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</si>
  <si>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</si>
  <si>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</si>
  <si>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</si>
  <si>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</si>
  <si>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</si>
  <si>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</si>
  <si>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</si>
  <si>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</si>
  <si>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</si>
  <si>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</si>
  <si>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</si>
  <si>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</si>
  <si>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</si>
  <si>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</si>
  <si>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</si>
  <si>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</si>
  <si>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</si>
  <si>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</si>
  <si>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</si>
  <si>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</si>
  <si>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</si>
  <si>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</si>
  <si>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</si>
  <si>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</si>
  <si>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</si>
  <si>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</si>
  <si>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</si>
  <si>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</si>
  <si>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</si>
  <si>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</si>
  <si>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</si>
  <si>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</si>
  <si>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</si>
  <si>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</si>
  <si>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</si>
  <si>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</si>
  <si>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</si>
  <si>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</si>
  <si>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</si>
  <si>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</si>
  <si>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</si>
  <si>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</si>
  <si>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</si>
  <si>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</si>
  <si>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</si>
  <si>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</si>
  <si>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</si>
  <si>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</si>
  <si>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</si>
  <si>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</si>
  <si>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</si>
  <si>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</si>
  <si>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</si>
  <si>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</si>
  <si>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</si>
  <si>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</si>
  <si>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</si>
  <si>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</si>
  <si>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</si>
  <si>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</si>
  <si>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</si>
  <si>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</si>
  <si>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</si>
  <si>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</si>
  <si>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</si>
  <si>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</si>
  <si>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</si>
  <si>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</si>
  <si>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</si>
  <si>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</si>
  <si>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</si>
  <si>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</si>
  <si>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</si>
  <si>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</si>
  <si>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</si>
  <si>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</si>
  <si>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</si>
  <si>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</si>
  <si>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</si>
  <si>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</si>
  <si>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</si>
  <si>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</si>
  <si>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</si>
  <si>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</si>
  <si>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</si>
  <si>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</si>
  <si>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</si>
  <si>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</si>
  <si>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</si>
  <si>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</si>
  <si>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</si>
  <si>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</si>
  <si>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</si>
  <si>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</si>
  <si>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</si>
  <si>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</si>
  <si>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</si>
  <si>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</si>
  <si>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</si>
  <si>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</si>
  <si>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</si>
  <si>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</si>
  <si>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</si>
  <si>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</si>
  <si>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</si>
  <si>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</si>
  <si>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</si>
  <si>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</si>
  <si>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</si>
  <si>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</si>
  <si>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</si>
  <si>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</si>
  <si>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</si>
  <si>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</si>
  <si>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</si>
  <si>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</si>
  <si>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</si>
  <si>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</si>
  <si>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</si>
  <si>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</si>
  <si>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</si>
  <si>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</si>
  <si>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</si>
  <si>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</si>
  <si>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</si>
  <si>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</si>
  <si>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</si>
  <si>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</si>
  <si>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</si>
  <si>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</si>
  <si>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</si>
  <si>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</si>
  <si>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</si>
  <si>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</si>
  <si>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</si>
  <si>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</si>
  <si>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</si>
  <si>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</si>
  <si>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</si>
  <si>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</si>
  <si>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</si>
  <si>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</si>
  <si>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</si>
  <si>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</si>
  <si>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</si>
  <si>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</si>
  <si>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</si>
  <si>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</si>
  <si>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</si>
  <si>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</si>
  <si>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</si>
  <si>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</si>
  <si>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</si>
  <si>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</si>
  <si>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</si>
  <si>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</si>
  <si>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</si>
  <si>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</si>
  <si>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</si>
  <si>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</si>
  <si>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</si>
  <si>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</si>
  <si>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</si>
  <si>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</si>
  <si>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</si>
  <si>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</si>
  <si>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</si>
  <si>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</si>
  <si>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</si>
  <si>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</si>
  <si>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</si>
  <si>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</si>
  <si>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</si>
  <si>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</si>
  <si>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</si>
  <si>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</si>
  <si>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</si>
  <si>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</si>
  <si>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</si>
  <si>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</si>
  <si>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</si>
  <si>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</si>
  <si>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</si>
  <si>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</si>
  <si>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</si>
  <si>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</si>
  <si>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</si>
  <si>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</si>
  <si>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</si>
  <si>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</si>
  <si>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</si>
  <si>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</si>
  <si>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</si>
  <si>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</si>
  <si>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</si>
  <si>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</si>
  <si>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</si>
  <si>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</si>
  <si>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</si>
  <si>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</si>
  <si>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</si>
  <si>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</si>
  <si>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</si>
  <si>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</si>
  <si>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</si>
  <si>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</si>
  <si>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</si>
  <si>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</si>
  <si>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</si>
  <si>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</si>
  <si>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</si>
  <si>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</si>
  <si>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</si>
  <si>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</si>
  <si>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</si>
  <si>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</si>
  <si>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</si>
  <si>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</si>
  <si>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</si>
  <si>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</si>
  <si>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</si>
  <si>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</si>
  <si>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</si>
  <si>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</si>
  <si>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</si>
  <si>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</si>
  <si>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</si>
  <si>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</si>
  <si>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</si>
  <si>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</si>
  <si>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</si>
  <si>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</si>
  <si>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</si>
  <si>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</si>
  <si>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</si>
  <si>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</si>
  <si>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</si>
  <si>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</si>
  <si>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</si>
  <si>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</si>
  <si>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</si>
  <si>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</si>
  <si>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</si>
  <si>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</si>
  <si>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</si>
  <si>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</si>
  <si>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</si>
  <si>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</si>
  <si>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</si>
  <si>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</si>
  <si>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</si>
  <si>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</si>
  <si>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</si>
  <si>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</si>
  <si>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</si>
  <si>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</si>
  <si>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</si>
  <si>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</si>
  <si>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</si>
  <si>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</si>
  <si>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</si>
  <si>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</si>
  <si>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</si>
  <si>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</si>
  <si>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</si>
  <si>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</si>
  <si>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</si>
  <si>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</si>
  <si>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</si>
  <si>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</si>
  <si>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</si>
  <si>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</si>
  <si>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</si>
  <si>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</si>
  <si>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</si>
  <si>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</si>
  <si>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</si>
  <si>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</si>
  <si>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</si>
  <si>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</si>
  <si>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</si>
  <si>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</si>
  <si>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</si>
  <si>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</si>
  <si>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</si>
  <si>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</si>
  <si>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</si>
  <si>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</si>
  <si>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</si>
  <si>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</si>
  <si>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</si>
  <si>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</si>
  <si>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</si>
  <si>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</si>
  <si>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</si>
  <si>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</si>
  <si>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</si>
  <si>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</si>
  <si>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</si>
  <si>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</si>
  <si>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</si>
  <si>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</si>
  <si>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</si>
  <si>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</si>
  <si>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</si>
  <si>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</si>
  <si>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</si>
  <si>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</si>
  <si>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</si>
  <si>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</si>
  <si>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</si>
  <si>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</si>
  <si>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</si>
  <si>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</si>
  <si>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</si>
  <si>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</si>
  <si>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</si>
  <si>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</si>
  <si>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</si>
  <si>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</si>
  <si>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</si>
  <si>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</si>
  <si>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</si>
  <si>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</si>
  <si>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</si>
  <si>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</si>
  <si>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</si>
  <si>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</si>
  <si>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</si>
  <si>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</si>
  <si>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</si>
  <si>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</si>
  <si>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</si>
  <si>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</si>
  <si>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</si>
  <si>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</si>
  <si>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</si>
  <si>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</si>
  <si>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</si>
  <si>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</si>
  <si>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</si>
  <si>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</si>
  <si>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</si>
  <si>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</si>
  <si>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</si>
  <si>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</si>
  <si>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</si>
  <si>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</si>
  <si>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</si>
  <si>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</si>
  <si>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</si>
  <si>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</si>
  <si>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</si>
  <si>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</si>
  <si>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</si>
  <si>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</si>
  <si>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</si>
  <si>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</si>
  <si>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</si>
  <si>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</si>
  <si>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</si>
  <si>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</si>
  <si>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</si>
  <si>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</si>
  <si>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</si>
  <si>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</si>
  <si>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</si>
  <si>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</si>
  <si>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</si>
  <si>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</si>
  <si>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</si>
  <si>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</si>
  <si>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</si>
  <si>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</si>
  <si>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</si>
  <si>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</si>
  <si>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</si>
  <si>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</si>
  <si>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</si>
  <si>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</si>
  <si>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</si>
  <si>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</si>
  <si>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</si>
  <si>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</si>
  <si>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</si>
  <si>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</si>
  <si>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</si>
  <si>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</si>
  <si>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</si>
  <si>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</si>
  <si>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</si>
  <si>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</si>
  <si>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</si>
  <si>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</si>
  <si>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</si>
  <si>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</si>
  <si>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</si>
  <si>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</si>
  <si>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</si>
  <si>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</si>
  <si>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</si>
  <si>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</si>
  <si>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</si>
  <si>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</si>
  <si>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</si>
  <si>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</si>
  <si>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</si>
  <si>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</si>
  <si>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</si>
  <si>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</si>
  <si>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</si>
  <si>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</si>
  <si>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</si>
  <si>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</si>
  <si>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</si>
  <si>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</si>
  <si>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</si>
  <si>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</si>
  <si>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</si>
  <si>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</si>
  <si>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</si>
  <si>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</si>
  <si>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</si>
  <si>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</si>
  <si>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</si>
  <si>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</si>
  <si>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</si>
  <si>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</si>
  <si>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</si>
  <si>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</si>
  <si>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</si>
  <si>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</si>
  <si>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</si>
  <si>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</si>
  <si>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</si>
  <si>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</si>
  <si>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</si>
  <si>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</si>
  <si>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</si>
  <si>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</si>
  <si>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</si>
  <si>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</si>
  <si>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</si>
  <si>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</si>
  <si>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</si>
  <si>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</si>
  <si>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</si>
  <si>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</si>
  <si>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</si>
  <si>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</si>
  <si>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</si>
  <si>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</si>
  <si>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</si>
  <si>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</si>
  <si>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</si>
  <si>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</si>
  <si>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</si>
  <si>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</si>
  <si>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</si>
  <si>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</si>
  <si>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</si>
  <si>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</si>
  <si>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</si>
  <si>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</si>
  <si>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</si>
  <si>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</si>
  <si>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</si>
  <si>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</si>
  <si>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</si>
  <si>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</si>
  <si>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</si>
  <si>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</si>
  <si>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</si>
  <si>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</si>
  <si>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</si>
  <si>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</si>
  <si>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</si>
  <si>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</si>
  <si>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</si>
  <si>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</si>
  <si>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</si>
  <si>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</si>
  <si>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</si>
  <si>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</si>
  <si>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</si>
  <si>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</si>
  <si>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</si>
  <si>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</si>
  <si>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</si>
  <si>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</si>
  <si>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</si>
  <si>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</si>
  <si>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</si>
  <si>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</si>
  <si>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</si>
  <si>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</si>
  <si>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</si>
  <si>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</si>
  <si>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</si>
  <si>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</si>
  <si>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&lt;</t>
  </si>
  <si>
    <t>Mbappe</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</si>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</sst>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1B4066"/>
      <name val="SimSun"/>
    </font>
  </fonts>
  <fills count="4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
      <patternFill patternType="solid">
        <fgColor rgb="FFF2F2F2"/>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rgb="FFFFFFFF"/>
      </left>
      <right style="medium">
        <color rgb="FFBFBFBF"/>
      </right>
      <top/>
      <bottom style="medium">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3">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8" xfId="0" applyFont="1" applyFill="1" applyBorder="1" applyAlignment="1">
      <alignment horizontal="left" vertical="top"/>
    </xf>
    <xf numFmtId="0" fontId="7" fillId="0" borderId="0" xfId="0" applyFont="1" applyProtection="1">
      <protection hidden="1"/>
    </xf>
    <xf numFmtId="0" fontId="18" fillId="13" borderId="39" xfId="0" applyFont="1" applyFill="1" applyBorder="1" applyAlignment="1" applyProtection="1">
      <alignment horizontal="centerContinuous" vertical="center"/>
      <protection hidden="1"/>
    </xf>
    <xf numFmtId="0" fontId="8" fillId="13" borderId="39"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1" xfId="27" applyFont="1" applyFill="1" applyBorder="1" applyAlignment="1" applyProtection="1">
      <alignment horizontal="center" vertical="center"/>
      <protection hidden="1"/>
    </xf>
    <xf numFmtId="0" fontId="43" fillId="38" borderId="91" xfId="27" applyFont="1" applyFill="1" applyBorder="1" applyAlignment="1" applyProtection="1">
      <alignment horizontal="center" vertical="center"/>
      <protection hidden="1"/>
    </xf>
    <xf numFmtId="0" fontId="43" fillId="39" borderId="91" xfId="27" applyFont="1" applyFill="1" applyBorder="1" applyAlignment="1" applyProtection="1">
      <alignment horizontal="center" vertical="center"/>
      <protection hidden="1"/>
    </xf>
    <xf numFmtId="0" fontId="43" fillId="40" borderId="91"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4" xfId="0" applyNumberFormat="1" applyFont="1" applyFill="1" applyBorder="1" applyAlignment="1" applyProtection="1">
      <alignment horizontal="center" vertical="center"/>
      <protection hidden="1"/>
    </xf>
    <xf numFmtId="164" fontId="48" fillId="4" borderId="44" xfId="0" applyNumberFormat="1" applyFont="1" applyFill="1" applyBorder="1" applyAlignment="1" applyProtection="1">
      <alignment horizontal="center" vertical="center"/>
      <protection hidden="1"/>
    </xf>
    <xf numFmtId="14" fontId="48" fillId="4" borderId="45" xfId="0" applyNumberFormat="1" applyFont="1" applyFill="1" applyBorder="1" applyAlignment="1" applyProtection="1">
      <alignment horizontal="center" vertical="center"/>
      <protection hidden="1"/>
    </xf>
    <xf numFmtId="0" fontId="49" fillId="4" borderId="44" xfId="0" applyFont="1" applyFill="1" applyBorder="1" applyAlignment="1" applyProtection="1">
      <alignment horizontal="right"/>
      <protection hidden="1"/>
    </xf>
    <xf numFmtId="0" fontId="49" fillId="4" borderId="42" xfId="0" applyFont="1" applyFill="1" applyBorder="1" applyAlignment="1" applyProtection="1">
      <alignment horizontal="left"/>
      <protection hidden="1"/>
    </xf>
    <xf numFmtId="0" fontId="49" fillId="4" borderId="47"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1" xfId="0" applyFont="1" applyFill="1" applyBorder="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left" vertical="center"/>
      <protection hidden="1"/>
    </xf>
    <xf numFmtId="0" fontId="50" fillId="4" borderId="44"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5" xfId="0" applyFont="1" applyFill="1" applyBorder="1" applyAlignment="1" applyProtection="1">
      <alignment horizontal="right" wrapText="1"/>
      <protection hidden="1"/>
    </xf>
    <xf numFmtId="0" fontId="51" fillId="13" borderId="39" xfId="0" applyFont="1" applyFill="1" applyBorder="1" applyAlignment="1">
      <alignment horizontal="center"/>
    </xf>
    <xf numFmtId="0" fontId="51" fillId="13" borderId="39" xfId="0" applyFont="1" applyFill="1" applyBorder="1" applyAlignment="1">
      <alignment horizontal="left"/>
    </xf>
    <xf numFmtId="0" fontId="51" fillId="13" borderId="39" xfId="0" applyFont="1" applyFill="1" applyBorder="1" applyAlignment="1">
      <alignment horizontal="right"/>
    </xf>
    <xf numFmtId="0" fontId="51" fillId="13" borderId="40" xfId="0" applyFont="1" applyFill="1" applyBorder="1" applyAlignment="1">
      <alignment horizontal="left"/>
    </xf>
    <xf numFmtId="0" fontId="51" fillId="13" borderId="38" xfId="0" applyFont="1" applyFill="1" applyBorder="1" applyAlignment="1" applyProtection="1">
      <alignment horizontal="centerContinuous"/>
      <protection hidden="1"/>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9"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0" xfId="0" applyFont="1" applyFill="1" applyBorder="1" applyAlignment="1" applyProtection="1">
      <alignment horizontal="center" vertical="center"/>
      <protection hidden="1"/>
    </xf>
    <xf numFmtId="0" fontId="51" fillId="13" borderId="38" xfId="0" applyFont="1" applyFill="1" applyBorder="1" applyAlignment="1" applyProtection="1">
      <alignment horizontal="centerContinuous" vertical="center"/>
      <protection hidden="1"/>
    </xf>
    <xf numFmtId="0" fontId="51" fillId="13" borderId="39" xfId="0" applyFont="1" applyFill="1" applyBorder="1" applyAlignment="1">
      <alignment horizontal="left" vertical="top"/>
    </xf>
    <xf numFmtId="0" fontId="51" fillId="13" borderId="39" xfId="0" applyFont="1" applyFill="1" applyBorder="1" applyAlignment="1">
      <alignment horizontal="right" vertical="top"/>
    </xf>
    <xf numFmtId="0" fontId="51" fillId="13" borderId="39" xfId="0" applyFont="1" applyFill="1" applyBorder="1" applyAlignment="1">
      <alignment horizontal="center" vertical="top"/>
    </xf>
    <xf numFmtId="0" fontId="51" fillId="13" borderId="40"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9" xfId="0" applyFont="1" applyFill="1" applyBorder="1" applyAlignment="1" applyProtection="1">
      <alignment horizontal="left" vertical="center"/>
      <protection hidden="1"/>
    </xf>
    <xf numFmtId="0" fontId="49" fillId="4" borderId="39" xfId="0" applyFont="1" applyFill="1" applyBorder="1" applyAlignment="1" applyProtection="1">
      <alignment horizontal="center" vertical="center"/>
      <protection hidden="1"/>
    </xf>
    <xf numFmtId="0" fontId="49" fillId="4" borderId="39" xfId="0" quotePrefix="1"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2" xfId="0" applyFont="1" applyFill="1" applyBorder="1" applyAlignment="1">
      <alignment horizontal="left" vertical="center"/>
    </xf>
    <xf numFmtId="0" fontId="49" fillId="4" borderId="44" xfId="0" applyFont="1" applyFill="1" applyBorder="1" applyAlignment="1" applyProtection="1">
      <alignment horizontal="right" vertical="center"/>
      <protection hidden="1"/>
    </xf>
    <xf numFmtId="0" fontId="49" fillId="4" borderId="44" xfId="0" applyFont="1" applyFill="1" applyBorder="1" applyAlignment="1" applyProtection="1">
      <alignment horizontal="center"/>
      <protection locked="0" hidden="1"/>
    </xf>
    <xf numFmtId="0" fontId="49" fillId="4" borderId="47"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5" xfId="0" applyFont="1" applyFill="1" applyBorder="1" applyAlignment="1">
      <alignment horizontal="left" vertical="top"/>
    </xf>
    <xf numFmtId="0" fontId="0" fillId="4" borderId="96" xfId="0" applyFill="1" applyBorder="1" applyAlignment="1">
      <alignment vertical="center"/>
    </xf>
    <xf numFmtId="0" fontId="49" fillId="4" borderId="93" xfId="0" applyFont="1" applyFill="1" applyBorder="1" applyAlignment="1" applyProtection="1">
      <alignment horizontal="right" vertical="center"/>
      <protection hidden="1"/>
    </xf>
    <xf numFmtId="0" fontId="49" fillId="4" borderId="94" xfId="0" applyFont="1" applyFill="1" applyBorder="1" applyAlignment="1" applyProtection="1">
      <alignment horizontal="center" vertical="center"/>
      <protection locked="0"/>
    </xf>
    <xf numFmtId="0" fontId="49" fillId="4" borderId="96" xfId="0" applyFont="1" applyFill="1" applyBorder="1" applyAlignment="1">
      <alignment vertical="center"/>
    </xf>
    <xf numFmtId="0" fontId="0" fillId="4" borderId="97" xfId="0" applyFill="1" applyBorder="1" applyAlignment="1">
      <alignment vertical="center"/>
    </xf>
    <xf numFmtId="0" fontId="54" fillId="13" borderId="92" xfId="0" applyFont="1" applyFill="1" applyBorder="1" applyAlignment="1" applyProtection="1">
      <alignment horizontal="left" vertical="center"/>
      <protection hidden="1"/>
    </xf>
    <xf numFmtId="0" fontId="28" fillId="13" borderId="92" xfId="0" applyFont="1" applyFill="1" applyBorder="1" applyAlignment="1" applyProtection="1">
      <alignment horizontal="left" vertical="center"/>
      <protection hidden="1"/>
    </xf>
    <xf numFmtId="0" fontId="0" fillId="4" borderId="92"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7" xfId="0" applyFont="1" applyFill="1" applyBorder="1" applyAlignment="1">
      <alignment horizontal="left" vertical="center"/>
    </xf>
    <xf numFmtId="0" fontId="49" fillId="4" borderId="98" xfId="0" applyFont="1" applyFill="1" applyBorder="1" applyAlignment="1">
      <alignment horizontal="left" vertical="center"/>
    </xf>
    <xf numFmtId="0" fontId="51" fillId="13" borderId="99" xfId="0" applyFont="1" applyFill="1" applyBorder="1" applyAlignment="1" applyProtection="1">
      <alignment horizontal="centerContinuous" vertical="center"/>
      <protection hidden="1"/>
    </xf>
    <xf numFmtId="0" fontId="18" fillId="13" borderId="100" xfId="0" applyFont="1" applyFill="1" applyBorder="1" applyAlignment="1" applyProtection="1">
      <alignment horizontal="centerContinuous" vertical="center"/>
      <protection hidden="1"/>
    </xf>
    <xf numFmtId="0" fontId="8" fillId="13" borderId="100"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28" fillId="13" borderId="102" xfId="0" applyFont="1" applyFill="1" applyBorder="1" applyAlignment="1">
      <alignment horizontal="left" vertical="top"/>
    </xf>
    <xf numFmtId="14" fontId="48" fillId="4" borderId="92" xfId="0" applyNumberFormat="1" applyFont="1" applyFill="1" applyBorder="1" applyAlignment="1" applyProtection="1">
      <alignment horizontal="center" vertical="center"/>
      <protection hidden="1"/>
    </xf>
    <xf numFmtId="164" fontId="48" fillId="4" borderId="92" xfId="0" applyNumberFormat="1" applyFont="1" applyFill="1" applyBorder="1" applyAlignment="1" applyProtection="1">
      <alignment horizontal="center" vertical="center"/>
      <protection hidden="1"/>
    </xf>
    <xf numFmtId="0" fontId="51" fillId="13" borderId="99" xfId="0" applyFont="1" applyFill="1" applyBorder="1" applyAlignment="1" applyProtection="1">
      <alignment horizontal="left" vertical="center"/>
      <protection hidden="1"/>
    </xf>
    <xf numFmtId="0" fontId="28" fillId="13" borderId="100" xfId="0" applyFont="1" applyFill="1" applyBorder="1" applyAlignment="1">
      <alignment horizontal="center"/>
    </xf>
    <xf numFmtId="0" fontId="28" fillId="13" borderId="100" xfId="0" applyFont="1" applyFill="1" applyBorder="1" applyAlignment="1">
      <alignment horizontal="left"/>
    </xf>
    <xf numFmtId="0" fontId="51" fillId="13" borderId="100" xfId="0" applyFont="1" applyFill="1" applyBorder="1" applyAlignment="1">
      <alignment horizontal="right"/>
    </xf>
    <xf numFmtId="0" fontId="28" fillId="13" borderId="101" xfId="0" applyFont="1" applyFill="1" applyBorder="1" applyAlignment="1">
      <alignment horizontal="left"/>
    </xf>
    <xf numFmtId="0" fontId="55" fillId="13" borderId="104" xfId="0" applyFont="1" applyFill="1" applyBorder="1" applyAlignment="1" applyProtection="1">
      <alignment horizontal="left" vertical="center"/>
      <protection hidden="1"/>
    </xf>
    <xf numFmtId="0" fontId="55" fillId="13" borderId="103" xfId="0" applyFont="1" applyFill="1" applyBorder="1" applyAlignment="1" applyProtection="1">
      <alignment horizontal="left" vertical="center"/>
      <protection hidden="1"/>
    </xf>
    <xf numFmtId="0" fontId="0" fillId="4" borderId="100" xfId="0" applyFill="1" applyBorder="1" applyAlignment="1">
      <alignment vertical="center"/>
    </xf>
    <xf numFmtId="0" fontId="0" fillId="4" borderId="101" xfId="0" applyFill="1" applyBorder="1" applyAlignment="1">
      <alignment vertical="center"/>
    </xf>
    <xf numFmtId="0" fontId="55" fillId="13" borderId="99" xfId="0" applyFont="1" applyFill="1" applyBorder="1" applyAlignment="1" applyProtection="1">
      <alignment horizontal="left" vertical="center"/>
      <protection hidden="1"/>
    </xf>
    <xf numFmtId="0" fontId="28"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56" fillId="13" borderId="100" xfId="0" applyFont="1" applyFill="1" applyBorder="1" applyAlignment="1" applyProtection="1">
      <alignment horizontal="centerContinuous" vertical="center"/>
      <protection hidden="1"/>
    </xf>
    <xf numFmtId="0" fontId="3" fillId="13" borderId="102" xfId="0" applyFont="1" applyFill="1" applyBorder="1" applyAlignment="1">
      <alignment horizontal="left" vertical="top"/>
    </xf>
    <xf numFmtId="0" fontId="49" fillId="4" borderId="92" xfId="0" applyFont="1" applyFill="1" applyBorder="1" applyAlignment="1" applyProtection="1">
      <alignment horizontal="right" vertical="center"/>
      <protection hidden="1"/>
    </xf>
    <xf numFmtId="0" fontId="49" fillId="4" borderId="92" xfId="0" applyFont="1" applyFill="1" applyBorder="1" applyAlignment="1" applyProtection="1">
      <alignment horizontal="center"/>
      <protection locked="0" hidden="1"/>
    </xf>
    <xf numFmtId="0" fontId="49" fillId="4" borderId="96" xfId="0" applyFont="1" applyFill="1" applyBorder="1" applyAlignment="1">
      <alignment horizontal="left" vertical="center"/>
    </xf>
    <xf numFmtId="14" fontId="22" fillId="35" borderId="108" xfId="0" quotePrefix="1" applyNumberFormat="1" applyFont="1" applyFill="1" applyBorder="1" applyAlignment="1" applyProtection="1">
      <alignment horizontal="center" vertical="center"/>
      <protection hidden="1"/>
    </xf>
    <xf numFmtId="14" fontId="34" fillId="35" borderId="108"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79" xfId="0" applyFont="1" applyBorder="1" applyAlignment="1" applyProtection="1">
      <alignment horizontal="left" vertical="center"/>
      <protection hidden="1"/>
    </xf>
    <xf numFmtId="0" fontId="49" fillId="0" borderId="80" xfId="0" applyFont="1" applyBorder="1" applyAlignment="1" applyProtection="1">
      <alignment horizontal="center" vertical="center"/>
      <protection locked="0" hidden="1"/>
    </xf>
    <xf numFmtId="0" fontId="49" fillId="32" borderId="79" xfId="0" applyFont="1" applyFill="1" applyBorder="1" applyAlignment="1" applyProtection="1">
      <alignment horizontal="left" vertical="center"/>
      <protection hidden="1"/>
    </xf>
    <xf numFmtId="0" fontId="49" fillId="32" borderId="80" xfId="0" applyFont="1" applyFill="1" applyBorder="1" applyAlignment="1" applyProtection="1">
      <alignment horizontal="center" vertical="center"/>
      <protection locked="0" hidden="1"/>
    </xf>
    <xf numFmtId="0" fontId="49" fillId="32" borderId="81" xfId="0" applyFont="1" applyFill="1" applyBorder="1" applyAlignment="1" applyProtection="1">
      <alignment horizontal="left" vertical="center"/>
      <protection hidden="1"/>
    </xf>
    <xf numFmtId="0" fontId="49" fillId="32" borderId="82" xfId="0" applyFont="1" applyFill="1" applyBorder="1" applyAlignment="1" applyProtection="1">
      <alignment horizontal="center" vertical="center"/>
      <protection locked="0" hidden="1"/>
    </xf>
    <xf numFmtId="0" fontId="55" fillId="13" borderId="77" xfId="0" applyFont="1" applyFill="1" applyBorder="1" applyAlignment="1" applyProtection="1">
      <alignment horizontal="left" vertical="center"/>
      <protection hidden="1"/>
    </xf>
    <xf numFmtId="0" fontId="55" fillId="13" borderId="78"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2" xfId="0" applyFont="1" applyFill="1" applyBorder="1" applyAlignment="1" applyProtection="1">
      <alignment horizontal="center" vertical="center"/>
      <protection locked="0"/>
    </xf>
    <xf numFmtId="0" fontId="49" fillId="4" borderId="99" xfId="0" applyFont="1" applyFill="1" applyBorder="1" applyAlignment="1">
      <alignment vertical="center"/>
    </xf>
    <xf numFmtId="0" fontId="49" fillId="4" borderId="104" xfId="0" applyFont="1" applyFill="1" applyBorder="1" applyAlignment="1">
      <alignment vertical="center"/>
    </xf>
    <xf numFmtId="0" fontId="49" fillId="4" borderId="103" xfId="0" applyFont="1" applyFill="1" applyBorder="1" applyAlignment="1">
      <alignment vertical="center"/>
    </xf>
    <xf numFmtId="0" fontId="49" fillId="4" borderId="100"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8" xfId="90" applyFill="1" applyBorder="1"/>
    <xf numFmtId="0" fontId="23" fillId="42" borderId="119" xfId="90" applyFill="1" applyBorder="1"/>
    <xf numFmtId="0" fontId="23" fillId="42" borderId="120"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2"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2" xfId="90" applyFont="1" applyFill="1" applyBorder="1"/>
    <xf numFmtId="0" fontId="49" fillId="42" borderId="123" xfId="90" applyFont="1" applyFill="1" applyBorder="1" applyProtection="1">
      <protection hidden="1"/>
    </xf>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18" xfId="90" applyFont="1" applyFill="1" applyBorder="1" applyAlignment="1" applyProtection="1">
      <alignment horizontal="right"/>
      <protection hidden="1"/>
    </xf>
    <xf numFmtId="0" fontId="49" fillId="42" borderId="119" xfId="90" applyFont="1" applyFill="1" applyBorder="1" applyAlignment="1" applyProtection="1">
      <alignment horizontal="left"/>
      <protection hidden="1"/>
    </xf>
    <xf numFmtId="0" fontId="49" fillId="42" borderId="119" xfId="90" applyFont="1" applyFill="1" applyBorder="1" applyAlignment="1" applyProtection="1">
      <alignment horizontal="right"/>
      <protection hidden="1"/>
    </xf>
    <xf numFmtId="0" fontId="49" fillId="42" borderId="119" xfId="90" applyFont="1" applyFill="1" applyBorder="1"/>
    <xf numFmtId="0" fontId="49" fillId="42" borderId="120" xfId="90" applyFont="1" applyFill="1" applyBorder="1"/>
    <xf numFmtId="0" fontId="49" fillId="42" borderId="0" xfId="90" applyFont="1" applyFill="1"/>
    <xf numFmtId="0" fontId="49" fillId="42" borderId="123" xfId="90" applyFont="1" applyFill="1" applyBorder="1"/>
    <xf numFmtId="0" fontId="49" fillId="42" borderId="124" xfId="90" applyFont="1" applyFill="1" applyBorder="1"/>
    <xf numFmtId="0" fontId="49" fillId="42" borderId="125" xfId="90" applyFont="1" applyFill="1" applyBorder="1"/>
    <xf numFmtId="0" fontId="23" fillId="42" borderId="121" xfId="90" applyFill="1" applyBorder="1"/>
    <xf numFmtId="0" fontId="49" fillId="0" borderId="0" xfId="90" applyFont="1" applyAlignment="1">
      <alignment vertical="center"/>
    </xf>
    <xf numFmtId="0" fontId="23" fillId="42" borderId="121" xfId="90" applyFill="1" applyBorder="1" applyAlignment="1">
      <alignment vertical="center"/>
    </xf>
    <xf numFmtId="0" fontId="49" fillId="42" borderId="0" xfId="90" applyFont="1" applyFill="1" applyAlignment="1">
      <alignment vertical="center"/>
    </xf>
    <xf numFmtId="0" fontId="49" fillId="42" borderId="122"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3"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1" xfId="90" applyFont="1" applyFill="1" applyBorder="1" applyAlignment="1" applyProtection="1">
      <alignment horizontal="right" vertical="center"/>
      <protection hidden="1"/>
    </xf>
    <xf numFmtId="0" fontId="51" fillId="42" borderId="121"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3" xfId="27" applyFill="1" applyBorder="1" applyAlignment="1" applyProtection="1">
      <alignment horizontal="center" vertical="center"/>
      <protection hidden="1"/>
    </xf>
    <xf numFmtId="0" fontId="62" fillId="0" borderId="53" xfId="27" applyFont="1" applyFill="1" applyBorder="1" applyAlignment="1" applyProtection="1">
      <alignment horizontal="center" vertical="center"/>
      <protection hidden="1"/>
    </xf>
    <xf numFmtId="0" fontId="49" fillId="0" borderId="53" xfId="90" applyFont="1" applyBorder="1" applyAlignment="1" applyProtection="1">
      <alignment horizontal="center" vertical="center"/>
      <protection hidden="1"/>
    </xf>
    <xf numFmtId="0" fontId="49" fillId="42" borderId="126"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5" xfId="0" applyFont="1" applyFill="1" applyBorder="1" applyAlignment="1" applyProtection="1">
      <alignment horizontal="center" vertical="center"/>
      <protection hidden="1"/>
    </xf>
    <xf numFmtId="0" fontId="48" fillId="4" borderId="5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107" xfId="0" applyFont="1" applyFill="1" applyBorder="1" applyAlignment="1" applyProtection="1">
      <alignment horizontal="center" vertical="center"/>
      <protection hidden="1"/>
    </xf>
    <xf numFmtId="0" fontId="48" fillId="4" borderId="92"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2" xfId="0" applyFont="1" applyFill="1" applyBorder="1" applyAlignment="1">
      <alignment horizontal="center" vertical="center"/>
    </xf>
    <xf numFmtId="0" fontId="47" fillId="2" borderId="131"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2" xfId="0" applyFont="1" applyFill="1" applyBorder="1" applyAlignment="1" applyProtection="1">
      <alignment horizontal="center" vertical="center" wrapText="1"/>
      <protection locked="0" hidden="1"/>
    </xf>
    <xf numFmtId="0" fontId="64" fillId="42" borderId="117" xfId="27" applyFont="1" applyFill="1" applyBorder="1" applyAlignment="1" applyProtection="1">
      <alignment vertical="center"/>
      <protection hidden="1"/>
    </xf>
    <xf numFmtId="0" fontId="71" fillId="45" borderId="129"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0"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8" xfId="0" applyFont="1" applyFill="1" applyBorder="1" applyAlignment="1" applyProtection="1">
      <alignment horizontal="center" vertical="center"/>
      <protection hidden="1"/>
    </xf>
    <xf numFmtId="0" fontId="67" fillId="3" borderId="132"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1"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19"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1" xfId="90" applyFont="1" applyFill="1" applyBorder="1" applyAlignment="1" applyProtection="1">
      <alignment vertical="center"/>
      <protection hidden="1"/>
    </xf>
    <xf numFmtId="0" fontId="49" fillId="42" borderId="118"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2"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51" fillId="0" borderId="0" xfId="90" applyFont="1" applyProtection="1">
      <protection hidden="1"/>
    </xf>
    <xf numFmtId="0" fontId="49" fillId="0" borderId="144" xfId="0" applyFont="1" applyBorder="1" applyProtection="1">
      <protection locked="0" hidden="1"/>
    </xf>
    <xf numFmtId="0" fontId="49" fillId="0" borderId="48" xfId="0" applyFont="1" applyBorder="1" applyProtection="1">
      <protection locked="0" hidden="1"/>
    </xf>
    <xf numFmtId="0" fontId="49" fillId="0" borderId="60" xfId="0" applyFont="1" applyBorder="1" applyProtection="1">
      <protection locked="0" hidden="1"/>
    </xf>
    <xf numFmtId="0" fontId="49" fillId="0" borderId="59" xfId="0" applyFont="1" applyBorder="1" applyProtection="1">
      <protection locked="0" hidden="1"/>
    </xf>
    <xf numFmtId="0" fontId="49" fillId="0" borderId="0" xfId="0" applyFont="1" applyProtection="1">
      <protection locked="0" hidden="1"/>
    </xf>
    <xf numFmtId="0" fontId="49" fillId="0" borderId="59"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59" xfId="0" applyFont="1" applyBorder="1" applyProtection="1">
      <protection hidden="1"/>
    </xf>
    <xf numFmtId="0" fontId="49" fillId="0" borderId="59"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3" xfId="90" applyFill="1" applyBorder="1" applyAlignment="1">
      <alignment vertical="center"/>
    </xf>
    <xf numFmtId="0" fontId="23" fillId="42" borderId="124" xfId="90" applyFill="1" applyBorder="1" applyAlignment="1">
      <alignment vertical="center"/>
    </xf>
    <xf numFmtId="0" fontId="90" fillId="2" borderId="131"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8" xfId="0" applyFont="1" applyFill="1" applyBorder="1" applyAlignment="1" applyProtection="1">
      <alignment horizontal="center" vertical="center"/>
      <protection hidden="1"/>
    </xf>
    <xf numFmtId="0" fontId="49" fillId="4" borderId="58" xfId="0" applyFont="1" applyFill="1" applyBorder="1" applyAlignment="1" applyProtection="1">
      <alignment horizontal="left"/>
      <protection hidden="1"/>
    </xf>
    <xf numFmtId="0" fontId="49" fillId="4" borderId="58" xfId="0" applyFont="1" applyFill="1" applyBorder="1" applyAlignment="1" applyProtection="1">
      <alignment horizontal="center"/>
      <protection hidden="1"/>
    </xf>
    <xf numFmtId="0" fontId="49" fillId="4" borderId="58" xfId="0" applyFont="1" applyFill="1" applyBorder="1" applyProtection="1">
      <protection hidden="1"/>
    </xf>
    <xf numFmtId="0" fontId="50" fillId="3" borderId="61" xfId="0" applyFont="1" applyFill="1" applyBorder="1" applyAlignment="1" applyProtection="1">
      <alignment horizontal="left" vertical="center"/>
      <protection hidden="1"/>
    </xf>
    <xf numFmtId="0" fontId="50" fillId="3" borderId="113" xfId="0" applyFont="1" applyFill="1" applyBorder="1" applyAlignment="1" applyProtection="1">
      <alignment horizontal="left" vertical="center"/>
      <protection hidden="1"/>
    </xf>
    <xf numFmtId="0" fontId="50" fillId="3" borderId="113" xfId="0" applyFont="1" applyFill="1" applyBorder="1" applyAlignment="1" applyProtection="1">
      <alignment horizontal="center" vertical="center"/>
      <protection hidden="1"/>
    </xf>
    <xf numFmtId="0" fontId="50" fillId="3" borderId="114" xfId="0" applyFont="1" applyFill="1" applyBorder="1" applyAlignment="1" applyProtection="1">
      <alignment horizontal="center" vertical="center"/>
      <protection hidden="1"/>
    </xf>
    <xf numFmtId="0" fontId="8" fillId="23" borderId="38"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2" xfId="0" applyFont="1" applyFill="1" applyBorder="1" applyAlignment="1" applyProtection="1">
      <alignment horizontal="center" vertical="center"/>
      <protection hidden="1"/>
    </xf>
    <xf numFmtId="0" fontId="49" fillId="10" borderId="62"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6" xfId="0" applyBorder="1" applyAlignment="1" applyProtection="1">
      <alignment horizontal="right"/>
      <protection hidden="1"/>
    </xf>
    <xf numFmtId="0" fontId="3" fillId="46" borderId="137" xfId="0" applyFont="1" applyFill="1" applyBorder="1" applyAlignment="1" applyProtection="1">
      <alignment horizontal="center"/>
      <protection hidden="1"/>
    </xf>
    <xf numFmtId="0" fontId="3" fillId="10" borderId="137" xfId="0" quotePrefix="1" applyFont="1" applyFill="1" applyBorder="1" applyAlignment="1" applyProtection="1">
      <alignment horizontal="center"/>
      <protection hidden="1"/>
    </xf>
    <xf numFmtId="0" fontId="3" fillId="15" borderId="137" xfId="0" quotePrefix="1" applyFont="1" applyFill="1" applyBorder="1" applyAlignment="1" applyProtection="1">
      <alignment horizontal="center"/>
      <protection hidden="1"/>
    </xf>
    <xf numFmtId="0" fontId="3" fillId="11" borderId="137" xfId="0" quotePrefix="1" applyFont="1" applyFill="1" applyBorder="1" applyAlignment="1" applyProtection="1">
      <alignment horizontal="center"/>
      <protection hidden="1"/>
    </xf>
    <xf numFmtId="0" fontId="3" fillId="14" borderId="137" xfId="0" quotePrefix="1" applyFont="1" applyFill="1" applyBorder="1" applyAlignment="1" applyProtection="1">
      <alignment horizontal="center"/>
      <protection hidden="1"/>
    </xf>
    <xf numFmtId="0" fontId="3" fillId="31" borderId="137" xfId="0" applyFont="1" applyFill="1" applyBorder="1" applyAlignment="1" applyProtection="1">
      <alignment horizontal="center"/>
      <protection hidden="1"/>
    </xf>
    <xf numFmtId="0" fontId="3" fillId="30" borderId="137" xfId="0" applyFont="1" applyFill="1" applyBorder="1" applyAlignment="1" applyProtection="1">
      <alignment horizontal="center"/>
      <protection hidden="1"/>
    </xf>
    <xf numFmtId="0" fontId="3" fillId="29" borderId="138" xfId="0" applyFont="1" applyFill="1" applyBorder="1" applyAlignment="1" applyProtection="1">
      <alignment horizontal="center"/>
      <protection hidden="1"/>
    </xf>
    <xf numFmtId="0" fontId="8" fillId="17" borderId="41" xfId="0" applyFont="1" applyFill="1" applyBorder="1" applyAlignment="1" applyProtection="1">
      <alignment horizontal="center" vertical="center"/>
      <protection hidden="1"/>
    </xf>
    <xf numFmtId="0" fontId="49" fillId="4" borderId="53" xfId="0" applyFont="1" applyFill="1" applyBorder="1" applyAlignment="1" applyProtection="1">
      <alignment horizontal="left"/>
      <protection hidden="1"/>
    </xf>
    <xf numFmtId="0" fontId="49" fillId="4" borderId="53" xfId="0" applyFont="1" applyFill="1" applyBorder="1" applyAlignment="1" applyProtection="1">
      <alignment horizontal="center"/>
      <protection hidden="1"/>
    </xf>
    <xf numFmtId="0" fontId="49" fillId="4" borderId="53" xfId="0" applyFont="1" applyFill="1" applyBorder="1" applyProtection="1">
      <protection hidden="1"/>
    </xf>
    <xf numFmtId="0" fontId="49" fillId="4" borderId="109" xfId="0" applyFont="1" applyFill="1" applyBorder="1" applyProtection="1">
      <protection hidden="1"/>
    </xf>
    <xf numFmtId="0" fontId="50" fillId="4" borderId="111" xfId="0" applyFont="1" applyFill="1" applyBorder="1" applyAlignment="1" applyProtection="1">
      <alignment horizontal="left"/>
      <protection hidden="1"/>
    </xf>
    <xf numFmtId="0" fontId="50" fillId="4" borderId="111" xfId="0" applyFont="1" applyFill="1" applyBorder="1" applyAlignment="1" applyProtection="1">
      <alignment horizontal="center" vertical="center"/>
      <protection hidden="1"/>
    </xf>
    <xf numFmtId="0" fontId="49" fillId="4" borderId="111" xfId="0" applyFont="1" applyFill="1" applyBorder="1" applyAlignment="1" applyProtection="1">
      <alignment horizontal="center" vertical="center"/>
      <protection hidden="1"/>
    </xf>
    <xf numFmtId="0" fontId="49" fillId="4" borderId="115"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center"/>
      <protection hidden="1"/>
    </xf>
    <xf numFmtId="0" fontId="58" fillId="42" borderId="71" xfId="0" applyFont="1" applyFill="1" applyBorder="1" applyAlignment="1" applyProtection="1">
      <alignment horizontal="right" vertical="center"/>
      <protection hidden="1"/>
    </xf>
    <xf numFmtId="0" fontId="50" fillId="15" borderId="62" xfId="0" applyFont="1" applyFill="1" applyBorder="1" applyAlignment="1" applyProtection="1">
      <alignment horizontal="center" vertical="center"/>
      <protection hidden="1"/>
    </xf>
    <xf numFmtId="0" fontId="49" fillId="15" borderId="62" xfId="0" applyFont="1" applyFill="1" applyBorder="1" applyAlignment="1" applyProtection="1">
      <alignment horizontal="center" vertical="center"/>
      <protection hidden="1"/>
    </xf>
    <xf numFmtId="0" fontId="49" fillId="15" borderId="67"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39" xfId="0" applyBorder="1" applyAlignment="1" applyProtection="1">
      <alignment horizontal="right"/>
      <protection hidden="1"/>
    </xf>
    <xf numFmtId="165" fontId="0" fillId="0" borderId="127" xfId="0" applyNumberFormat="1" applyBorder="1" applyProtection="1">
      <protection hidden="1"/>
    </xf>
    <xf numFmtId="165" fontId="58" fillId="0" borderId="127" xfId="0" applyNumberFormat="1" applyFont="1" applyBorder="1" applyProtection="1">
      <protection hidden="1"/>
    </xf>
    <xf numFmtId="165" fontId="7" fillId="0" borderId="127" xfId="0" applyNumberFormat="1" applyFont="1" applyBorder="1" applyProtection="1">
      <protection hidden="1"/>
    </xf>
    <xf numFmtId="165" fontId="0" fillId="0" borderId="140" xfId="0" applyNumberFormat="1" applyBorder="1" applyProtection="1">
      <protection hidden="1"/>
    </xf>
    <xf numFmtId="0" fontId="49" fillId="4" borderId="110" xfId="0" applyFont="1" applyFill="1" applyBorder="1" applyProtection="1">
      <protection hidden="1"/>
    </xf>
    <xf numFmtId="0" fontId="50" fillId="4" borderId="0" xfId="0" applyFont="1" applyFill="1" applyAlignment="1" applyProtection="1">
      <alignment horizontal="left"/>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69" xfId="0" applyFont="1" applyFill="1" applyBorder="1" applyAlignment="1" applyProtection="1">
      <alignment horizontal="center" vertical="center"/>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50" fillId="10" borderId="63" xfId="0" applyFont="1" applyFill="1" applyBorder="1" applyAlignment="1" applyProtection="1">
      <alignment horizontal="center" vertical="center"/>
      <protection hidden="1"/>
    </xf>
    <xf numFmtId="0" fontId="49" fillId="10" borderId="65"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2" xfId="0" applyFont="1" applyFill="1" applyBorder="1" applyAlignment="1" applyProtection="1">
      <alignment horizontal="center" vertical="center"/>
      <protection hidden="1"/>
    </xf>
    <xf numFmtId="0" fontId="49" fillId="11" borderId="62" xfId="0" applyFont="1" applyFill="1" applyBorder="1" applyAlignment="1" applyProtection="1">
      <alignment horizontal="center" vertical="center"/>
      <protection hidden="1"/>
    </xf>
    <xf numFmtId="0" fontId="49" fillId="11" borderId="67" xfId="0" applyFont="1" applyFill="1" applyBorder="1" applyAlignment="1" applyProtection="1">
      <alignment horizontal="center" vertical="center"/>
      <protection hidden="1"/>
    </xf>
    <xf numFmtId="0" fontId="8" fillId="17" borderId="43" xfId="0" applyFont="1" applyFill="1" applyBorder="1" applyAlignment="1" applyProtection="1">
      <alignment horizontal="center" vertical="center"/>
      <protection hidden="1"/>
    </xf>
    <xf numFmtId="0" fontId="49" fillId="4" borderId="46" xfId="0" applyFont="1" applyFill="1" applyBorder="1" applyAlignment="1" applyProtection="1">
      <alignment horizontal="left"/>
      <protection hidden="1"/>
    </xf>
    <xf numFmtId="0" fontId="49" fillId="4" borderId="46" xfId="0" applyFont="1" applyFill="1" applyBorder="1" applyAlignment="1" applyProtection="1">
      <alignment horizontal="center"/>
      <protection hidden="1"/>
    </xf>
    <xf numFmtId="0" fontId="49" fillId="4" borderId="46" xfId="0" applyFont="1" applyFill="1" applyBorder="1" applyProtection="1">
      <protection hidden="1"/>
    </xf>
    <xf numFmtId="0" fontId="49" fillId="3" borderId="44" xfId="0" applyFont="1" applyFill="1" applyBorder="1" applyAlignment="1" applyProtection="1">
      <alignment horizontal="left"/>
      <protection hidden="1"/>
    </xf>
    <xf numFmtId="0" fontId="49" fillId="3" borderId="44" xfId="0" applyFont="1" applyFill="1" applyBorder="1" applyProtection="1">
      <protection hidden="1"/>
    </xf>
    <xf numFmtId="0" fontId="49" fillId="3" borderId="47" xfId="0" applyFont="1" applyFill="1" applyBorder="1" applyProtection="1">
      <protection hidden="1"/>
    </xf>
    <xf numFmtId="0" fontId="8" fillId="23" borderId="43"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8"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7" xfId="0" applyFont="1" applyFill="1" applyBorder="1" applyAlignment="1" applyProtection="1">
      <alignment horizontal="center" vertical="center"/>
      <protection hidden="1"/>
    </xf>
    <xf numFmtId="0" fontId="49" fillId="11"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49" fillId="15" borderId="70" xfId="0" applyFont="1" applyFill="1" applyBorder="1" applyAlignment="1" applyProtection="1">
      <alignment horizontal="center" vertical="center"/>
      <protection hidden="1"/>
    </xf>
    <xf numFmtId="0" fontId="8" fillId="19" borderId="38" xfId="0" applyFont="1" applyFill="1" applyBorder="1" applyAlignment="1" applyProtection="1">
      <alignment horizontal="center" vertical="center"/>
      <protection hidden="1"/>
    </xf>
    <xf numFmtId="0" fontId="8" fillId="24" borderId="38"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2" xfId="0" applyFont="1" applyFill="1" applyBorder="1" applyAlignment="1" applyProtection="1">
      <alignment horizontal="center" vertical="center"/>
      <protection hidden="1"/>
    </xf>
    <xf numFmtId="0" fontId="49" fillId="14" borderId="62" xfId="0" applyFont="1" applyFill="1" applyBorder="1" applyAlignment="1" applyProtection="1">
      <alignment horizontal="center" vertical="center"/>
      <protection hidden="1"/>
    </xf>
    <xf numFmtId="0" fontId="49" fillId="14" borderId="67"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8" fillId="19" borderId="43" xfId="0" applyFont="1" applyFill="1" applyBorder="1" applyAlignment="1" applyProtection="1">
      <alignment horizontal="center" vertical="center"/>
      <protection hidden="1"/>
    </xf>
    <xf numFmtId="0" fontId="8" fillId="24" borderId="43" xfId="0" applyFont="1" applyFill="1" applyBorder="1" applyAlignment="1" applyProtection="1">
      <alignment horizontal="center" vertical="center"/>
      <protection hidden="1"/>
    </xf>
    <xf numFmtId="0" fontId="49" fillId="15" borderId="76"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8" xfId="0" applyFont="1" applyFill="1" applyBorder="1" applyAlignment="1" applyProtection="1">
      <alignment horizontal="center" vertical="center"/>
      <protection hidden="1"/>
    </xf>
    <xf numFmtId="0" fontId="8" fillId="25" borderId="3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3" xfId="0" applyFill="1" applyBorder="1" applyAlignment="1" applyProtection="1">
      <alignment horizont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7"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3" xfId="0" applyFont="1" applyFill="1" applyBorder="1" applyAlignment="1" applyProtection="1">
      <alignment horizontal="center" vertical="center"/>
      <protection hidden="1"/>
    </xf>
    <xf numFmtId="0" fontId="8" fillId="25" borderId="43"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4" xfId="0" applyFont="1" applyFill="1" applyBorder="1" applyProtection="1">
      <protection hidden="1"/>
    </xf>
    <xf numFmtId="0" fontId="49" fillId="16" borderId="75" xfId="0" applyFont="1" applyFill="1" applyBorder="1" applyAlignment="1" applyProtection="1">
      <alignment horizontal="center" vertical="center"/>
      <protection hidden="1"/>
    </xf>
    <xf numFmtId="0" fontId="58" fillId="42" borderId="72" xfId="0" applyFont="1" applyFill="1" applyBorder="1" applyProtection="1">
      <protection hidden="1"/>
    </xf>
    <xf numFmtId="0" fontId="50" fillId="3" borderId="62" xfId="0" applyFont="1" applyFill="1" applyBorder="1" applyAlignment="1" applyProtection="1">
      <alignment horizontal="center" vertical="center"/>
      <protection hidden="1"/>
    </xf>
    <xf numFmtId="0" fontId="49" fillId="3" borderId="62" xfId="0" applyFont="1" applyFill="1" applyBorder="1" applyAlignment="1" applyProtection="1">
      <alignment horizontal="center" vertical="center"/>
      <protection hidden="1"/>
    </xf>
    <xf numFmtId="0" fontId="49" fillId="3" borderId="67" xfId="0" applyFont="1" applyFill="1" applyBorder="1" applyAlignment="1" applyProtection="1">
      <alignment horizontal="center" vertical="center"/>
      <protection hidden="1"/>
    </xf>
    <xf numFmtId="0" fontId="58" fillId="42" borderId="75" xfId="0" applyFont="1" applyFill="1" applyBorder="1" applyProtection="1">
      <protection hidden="1"/>
    </xf>
    <xf numFmtId="0" fontId="49" fillId="31" borderId="0" xfId="0" applyFont="1" applyFill="1" applyAlignment="1" applyProtection="1">
      <alignment horizontal="center"/>
      <protection hidden="1"/>
    </xf>
    <xf numFmtId="0" fontId="8" fillId="20" borderId="38" xfId="0" applyFont="1" applyFill="1" applyBorder="1" applyAlignment="1" applyProtection="1">
      <alignment horizontal="center" vertical="center"/>
      <protection hidden="1"/>
    </xf>
    <xf numFmtId="0" fontId="8" fillId="26" borderId="38" xfId="0" applyFont="1" applyFill="1" applyBorder="1" applyAlignment="1" applyProtection="1">
      <alignment horizontal="center" vertic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58" fillId="42" borderId="71" xfId="0" applyFont="1" applyFill="1" applyBorder="1" applyAlignment="1" applyProtection="1">
      <alignment horizontal="center" vertical="center"/>
      <protection hidden="1"/>
    </xf>
    <xf numFmtId="0" fontId="50" fillId="16" borderId="62" xfId="0" applyFont="1" applyFill="1" applyBorder="1" applyAlignment="1" applyProtection="1">
      <alignment horizontal="center" vertical="center"/>
      <protection hidden="1"/>
    </xf>
    <xf numFmtId="0" fontId="49" fillId="16" borderId="62" xfId="0" applyFont="1" applyFill="1" applyBorder="1" applyAlignment="1" applyProtection="1">
      <alignment horizontal="center" vertical="center"/>
      <protection hidden="1"/>
    </xf>
    <xf numFmtId="0" fontId="49" fillId="16" borderId="67" xfId="0" applyFont="1" applyFill="1" applyBorder="1" applyAlignment="1" applyProtection="1">
      <alignment horizontal="center" vertical="center"/>
      <protection hidden="1"/>
    </xf>
    <xf numFmtId="0" fontId="58" fillId="42" borderId="89" xfId="0" applyFont="1" applyFill="1" applyBorder="1" applyProtection="1">
      <protection hidden="1"/>
    </xf>
    <xf numFmtId="0" fontId="49" fillId="3" borderId="89" xfId="0" applyFont="1" applyFill="1" applyBorder="1" applyAlignment="1" applyProtection="1">
      <alignment horizontal="center" vertic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8" fillId="20" borderId="43" xfId="0" applyFont="1" applyFill="1" applyBorder="1" applyAlignment="1" applyProtection="1">
      <alignment horizontal="center" vertical="center"/>
      <protection hidden="1"/>
    </xf>
    <xf numFmtId="0" fontId="8" fillId="26" borderId="43" xfId="0" applyFont="1" applyFill="1" applyBorder="1" applyAlignment="1" applyProtection="1">
      <alignment horizontal="center" vertical="center"/>
      <protection hidden="1"/>
    </xf>
    <xf numFmtId="0" fontId="8" fillId="21" borderId="38" xfId="0" applyFont="1" applyFill="1" applyBorder="1" applyAlignment="1" applyProtection="1">
      <alignment horizontal="center" vertical="center"/>
      <protection hidden="1"/>
    </xf>
    <xf numFmtId="0" fontId="8" fillId="27" borderId="38"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21" borderId="43" xfId="0" applyFont="1" applyFill="1" applyBorder="1" applyAlignment="1" applyProtection="1">
      <alignment horizontal="center" vertical="center"/>
      <protection hidden="1"/>
    </xf>
    <xf numFmtId="0" fontId="8" fillId="27" borderId="43" xfId="0" applyFont="1" applyFill="1" applyBorder="1" applyAlignment="1" applyProtection="1">
      <alignment horizontal="center" vertical="center"/>
      <protection hidden="1"/>
    </xf>
    <xf numFmtId="0" fontId="8" fillId="22" borderId="38" xfId="0" applyFont="1" applyFill="1" applyBorder="1" applyAlignment="1" applyProtection="1">
      <alignment horizontal="center" vertical="center"/>
      <protection hidden="1"/>
    </xf>
    <xf numFmtId="0" fontId="8" fillId="28" borderId="38"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3" xfId="0" applyFont="1" applyFill="1" applyBorder="1" applyAlignment="1" applyProtection="1">
      <alignment horizontal="center" vertical="center"/>
      <protection hidden="1"/>
    </xf>
    <xf numFmtId="0" fontId="8" fillId="28" borderId="43"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1" xfId="0" applyBorder="1" applyAlignment="1" applyProtection="1">
      <alignment horizontal="right"/>
      <protection hidden="1"/>
    </xf>
    <xf numFmtId="165" fontId="0" fillId="0" borderId="142" xfId="0" applyNumberFormat="1" applyBorder="1" applyProtection="1">
      <protection hidden="1"/>
    </xf>
    <xf numFmtId="165" fontId="58" fillId="0" borderId="142" xfId="0" applyNumberFormat="1" applyFont="1" applyBorder="1" applyProtection="1">
      <protection hidden="1"/>
    </xf>
    <xf numFmtId="165" fontId="7" fillId="0" borderId="142" xfId="0" applyNumberFormat="1" applyFont="1" applyBorder="1" applyProtection="1">
      <protection hidden="1"/>
    </xf>
    <xf numFmtId="165" fontId="0" fillId="0" borderId="143"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39"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4"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4"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4"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4" xfId="0" applyFont="1" applyFill="1" applyBorder="1" applyAlignment="1" applyProtection="1">
      <alignment vertical="center"/>
      <protection hidden="1"/>
    </xf>
    <xf numFmtId="0" fontId="11" fillId="4" borderId="39"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1" xfId="0" applyNumberFormat="1" applyFont="1" applyFill="1" applyBorder="1" applyAlignment="1" applyProtection="1">
      <alignment horizontal="center" vertical="center" textRotation="2"/>
      <protection hidden="1"/>
    </xf>
    <xf numFmtId="14" fontId="17" fillId="22" borderId="43" xfId="0" applyNumberFormat="1" applyFont="1" applyFill="1" applyBorder="1" applyAlignment="1" applyProtection="1">
      <alignment horizontal="center" vertical="center" textRotation="2"/>
      <protection hidden="1"/>
    </xf>
    <xf numFmtId="14" fontId="17" fillId="24" borderId="41" xfId="0" applyNumberFormat="1" applyFont="1" applyFill="1" applyBorder="1" applyAlignment="1" applyProtection="1">
      <alignment horizontal="center" vertical="center" textRotation="2"/>
      <protection hidden="1"/>
    </xf>
    <xf numFmtId="14" fontId="17" fillId="24" borderId="43" xfId="0" applyNumberFormat="1" applyFont="1" applyFill="1" applyBorder="1" applyAlignment="1" applyProtection="1">
      <alignment horizontal="center" vertical="center" textRotation="2"/>
      <protection hidden="1"/>
    </xf>
    <xf numFmtId="14" fontId="17" fillId="26" borderId="41" xfId="0" applyNumberFormat="1" applyFont="1" applyFill="1" applyBorder="1" applyAlignment="1" applyProtection="1">
      <alignment horizontal="center" vertical="center" textRotation="2"/>
      <protection hidden="1"/>
    </xf>
    <xf numFmtId="14" fontId="17" fillId="26" borderId="43" xfId="0" applyNumberFormat="1" applyFont="1" applyFill="1" applyBorder="1" applyAlignment="1" applyProtection="1">
      <alignment horizontal="center" vertical="center" textRotation="2"/>
      <protection hidden="1"/>
    </xf>
    <xf numFmtId="14" fontId="17" fillId="28" borderId="41" xfId="0" applyNumberFormat="1" applyFont="1" applyFill="1" applyBorder="1" applyAlignment="1" applyProtection="1">
      <alignment horizontal="center" vertical="center" textRotation="2"/>
      <protection hidden="1"/>
    </xf>
    <xf numFmtId="14" fontId="17" fillId="28" borderId="43" xfId="0" applyNumberFormat="1" applyFont="1" applyFill="1" applyBorder="1" applyAlignment="1" applyProtection="1">
      <alignment horizontal="center" vertical="center" textRotation="2"/>
      <protection hidden="1"/>
    </xf>
    <xf numFmtId="14" fontId="17" fillId="25" borderId="41" xfId="0" applyNumberFormat="1" applyFont="1" applyFill="1" applyBorder="1" applyAlignment="1" applyProtection="1">
      <alignment horizontal="center" vertical="center" textRotation="2"/>
      <protection hidden="1"/>
    </xf>
    <xf numFmtId="14" fontId="17" fillId="25" borderId="43" xfId="0" applyNumberFormat="1" applyFont="1" applyFill="1" applyBorder="1" applyAlignment="1" applyProtection="1">
      <alignment horizontal="center" vertical="center" textRotation="2"/>
      <protection hidden="1"/>
    </xf>
    <xf numFmtId="14" fontId="17" fillId="27" borderId="41" xfId="0" applyNumberFormat="1" applyFont="1" applyFill="1" applyBorder="1" applyAlignment="1" applyProtection="1">
      <alignment horizontal="center" vertical="center" textRotation="2"/>
      <protection hidden="1"/>
    </xf>
    <xf numFmtId="14" fontId="17" fillId="27" borderId="43" xfId="0" applyNumberFormat="1" applyFont="1" applyFill="1" applyBorder="1" applyAlignment="1" applyProtection="1">
      <alignment horizontal="center" vertical="center" textRotation="2"/>
      <protection hidden="1"/>
    </xf>
    <xf numFmtId="14" fontId="32" fillId="35" borderId="41" xfId="0" applyNumberFormat="1" applyFont="1" applyFill="1" applyBorder="1" applyAlignment="1" applyProtection="1">
      <alignment horizontal="center" vertical="center" textRotation="2"/>
      <protection hidden="1"/>
    </xf>
    <xf numFmtId="14" fontId="32" fillId="35" borderId="43" xfId="0" applyNumberFormat="1" applyFont="1" applyFill="1" applyBorder="1" applyAlignment="1" applyProtection="1">
      <alignment horizontal="center" vertical="center" textRotation="2"/>
      <protection hidden="1"/>
    </xf>
    <xf numFmtId="14" fontId="33" fillId="36" borderId="55" xfId="0" quotePrefix="1" applyNumberFormat="1" applyFont="1" applyFill="1" applyBorder="1" applyAlignment="1" applyProtection="1">
      <alignment horizontal="center" vertical="center"/>
      <protection hidden="1"/>
    </xf>
    <xf numFmtId="14" fontId="33" fillId="36" borderId="54"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3" fillId="35" borderId="54" xfId="0" quotePrefix="1" applyNumberFormat="1" applyFont="1" applyFill="1" applyBorder="1" applyAlignment="1" applyProtection="1">
      <alignment horizontal="center" vertical="center"/>
      <protection hidden="1"/>
    </xf>
    <xf numFmtId="14" fontId="34" fillId="36" borderId="10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17" fillId="23" borderId="41" xfId="0" applyNumberFormat="1" applyFont="1" applyFill="1" applyBorder="1" applyAlignment="1" applyProtection="1">
      <alignment horizontal="center" vertical="center" textRotation="2"/>
      <protection hidden="1"/>
    </xf>
    <xf numFmtId="14" fontId="17" fillId="23" borderId="43" xfId="0" applyNumberFormat="1" applyFont="1" applyFill="1" applyBorder="1" applyAlignment="1" applyProtection="1">
      <alignment horizontal="center" vertical="center" textRotation="2"/>
      <protection hidden="1"/>
    </xf>
    <xf numFmtId="14" fontId="17" fillId="33" borderId="41" xfId="0" applyNumberFormat="1" applyFont="1" applyFill="1" applyBorder="1" applyAlignment="1" applyProtection="1">
      <alignment horizontal="center" vertical="center" textRotation="2"/>
      <protection hidden="1"/>
    </xf>
    <xf numFmtId="14" fontId="17" fillId="33" borderId="43" xfId="0" applyNumberFormat="1" applyFont="1" applyFill="1" applyBorder="1" applyAlignment="1" applyProtection="1">
      <alignment horizontal="center" vertical="center" textRotation="2"/>
      <protection hidden="1"/>
    </xf>
    <xf numFmtId="14" fontId="17" fillId="19" borderId="41" xfId="0" applyNumberFormat="1" applyFont="1" applyFill="1" applyBorder="1" applyAlignment="1" applyProtection="1">
      <alignment horizontal="center" vertical="center" textRotation="2"/>
      <protection hidden="1"/>
    </xf>
    <xf numFmtId="14" fontId="17" fillId="19" borderId="43"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1" xfId="0" applyNumberFormat="1" applyFont="1" applyFill="1" applyBorder="1" applyAlignment="1" applyProtection="1">
      <alignment horizontal="center" vertical="center" textRotation="2"/>
      <protection hidden="1"/>
    </xf>
    <xf numFmtId="14" fontId="17" fillId="34" borderId="43" xfId="0" applyNumberFormat="1" applyFont="1" applyFill="1" applyBorder="1" applyAlignment="1" applyProtection="1">
      <alignment horizontal="center" vertical="center" textRotation="2"/>
      <protection hidden="1"/>
    </xf>
    <xf numFmtId="14" fontId="17" fillId="20" borderId="41" xfId="0" applyNumberFormat="1" applyFont="1" applyFill="1" applyBorder="1" applyAlignment="1" applyProtection="1">
      <alignment horizontal="center" vertical="center" textRotation="2"/>
      <protection hidden="1"/>
    </xf>
    <xf numFmtId="14" fontId="17" fillId="20" borderId="43" xfId="0" applyNumberFormat="1" applyFont="1" applyFill="1" applyBorder="1" applyAlignment="1" applyProtection="1">
      <alignment horizontal="center" vertical="center" textRotation="2"/>
      <protection hidden="1"/>
    </xf>
    <xf numFmtId="14" fontId="17" fillId="21" borderId="41" xfId="0" applyNumberFormat="1" applyFont="1" applyFill="1" applyBorder="1" applyAlignment="1" applyProtection="1">
      <alignment horizontal="center" vertical="center" textRotation="2"/>
      <protection hidden="1"/>
    </xf>
    <xf numFmtId="14" fontId="17" fillId="21" borderId="43" xfId="0" applyNumberFormat="1" applyFont="1" applyFill="1" applyBorder="1" applyAlignment="1" applyProtection="1">
      <alignment horizontal="center" vertical="center" textRotation="2"/>
      <protection hidden="1"/>
    </xf>
    <xf numFmtId="0" fontId="45" fillId="44" borderId="133" xfId="27" applyFont="1" applyFill="1" applyBorder="1" applyAlignment="1" applyProtection="1">
      <alignment horizontal="center" vertical="center"/>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8" xfId="90" applyFont="1" applyFill="1" applyBorder="1" applyAlignment="1" applyProtection="1">
      <alignment horizontal="left" vertical="center" wrapText="1"/>
      <protection hidden="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75" fillId="44" borderId="133" xfId="0" applyFont="1" applyFill="1" applyBorder="1" applyAlignment="1">
      <alignment horizontal="center" vertical="center"/>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 fillId="0" borderId="0" xfId="0" applyFont="1" applyAlignment="1" applyProtection="1">
      <alignment horizontal="left" vertical="center" wrapText="1"/>
      <protection hidden="1"/>
    </xf>
    <xf numFmtId="0" fontId="97" fillId="48" borderId="108" xfId="0" applyFont="1" applyFill="1" applyBorder="1" applyAlignment="1">
      <alignment horizontal="center" wrapText="1"/>
    </xf>
    <xf numFmtId="0" fontId="97" fillId="48" borderId="96" xfId="0" applyFont="1" applyFill="1" applyBorder="1" applyAlignment="1">
      <alignment horizontal="center" wrapText="1"/>
    </xf>
    <xf numFmtId="0" fontId="97" fillId="48" borderId="145" xfId="0" applyFont="1" applyFill="1" applyBorder="1" applyAlignment="1">
      <alignment horizontal="center" wrapText="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1">
    <v>0</v>
    <v>8</v>
    <v>1</v>
    <v>1</v>
  </rv>
  <rv s="0">
    <v>20</v>
    <v>4</v>
  </rv>
  <rv s="0">
    <v>21</v>
    <v>4</v>
  </rv>
  <rv s="0">
    <v>22</v>
    <v>4</v>
  </rv>
  <rv s="0">
    <v>23</v>
    <v>4</v>
  </rv>
  <rv s="0">
    <v>24</v>
    <v>4</v>
  </rv>
  <rv s="0">
    <v>25</v>
    <v>4</v>
  </rv>
  <rv s="0">
    <v>26</v>
    <v>4</v>
  </rv>
  <rv s="0">
    <v>27</v>
    <v>4</v>
  </rv>
  <rv s="1">
    <v>0</v>
    <v>8</v>
    <v>2</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80" customWidth="1"/>
    <col min="2" max="2" width="15.81640625" style="280" customWidth="1"/>
    <col min="3" max="3" width="26.81640625" style="280" customWidth="1"/>
    <col min="4" max="4" width="5.81640625" style="280" customWidth="1"/>
    <col min="5" max="9" width="11.36328125" style="300" customWidth="1"/>
    <col min="10" max="10" width="5.81640625" style="300" customWidth="1"/>
    <col min="11" max="11" width="26.81640625" style="300" customWidth="1"/>
    <col min="12" max="12" width="15.81640625" style="280" customWidth="1"/>
    <col min="13" max="13" width="10.453125" style="280" customWidth="1"/>
    <col min="14" max="15" width="10.81640625" style="280" customWidth="1"/>
    <col min="16" max="16" width="12.08984375" style="280" customWidth="1"/>
    <col min="17" max="17" width="6.08984375" style="280" customWidth="1"/>
    <col min="18" max="31" width="10.81640625" style="280" customWidth="1"/>
    <col min="32" max="16384" width="10.81640625" hidden="1"/>
  </cols>
  <sheetData>
    <row r="1" spans="1:31">
      <c r="A1" s="279"/>
      <c r="B1" s="279"/>
      <c r="C1" s="279"/>
      <c r="D1" s="279"/>
      <c r="E1" s="279"/>
      <c r="F1" s="279"/>
      <c r="G1" s="279"/>
      <c r="H1" s="279"/>
      <c r="I1" s="279"/>
      <c r="J1" s="279"/>
      <c r="K1" s="279"/>
      <c r="L1" s="279"/>
      <c r="M1" s="279"/>
      <c r="N1" s="279"/>
      <c r="O1" s="279"/>
      <c r="P1" s="279"/>
      <c r="Q1" s="279"/>
      <c r="R1" s="279"/>
      <c r="S1" s="279"/>
      <c r="T1" s="279"/>
      <c r="U1" s="279"/>
      <c r="V1" s="279"/>
      <c r="W1" s="279"/>
      <c r="X1" s="279"/>
      <c r="Y1" s="279"/>
      <c r="Z1" s="279"/>
      <c r="AA1" s="279"/>
      <c r="AB1" s="279"/>
      <c r="AC1" s="279"/>
      <c r="AD1" s="279"/>
      <c r="AE1" s="279"/>
    </row>
    <row r="2" spans="1:31">
      <c r="A2" s="279"/>
      <c r="B2" s="279"/>
      <c r="C2" s="281"/>
      <c r="D2" s="279"/>
      <c r="E2" s="282"/>
      <c r="F2" s="282"/>
      <c r="G2" s="282"/>
      <c r="H2" s="282"/>
      <c r="I2" s="282"/>
      <c r="J2" s="282"/>
      <c r="K2" s="282"/>
      <c r="L2" s="279"/>
      <c r="M2" s="279"/>
      <c r="N2" s="279"/>
      <c r="O2" s="279"/>
      <c r="P2" s="279"/>
      <c r="Q2" s="279"/>
      <c r="R2" s="279"/>
      <c r="S2" s="279"/>
      <c r="T2" s="279"/>
      <c r="U2" s="279"/>
      <c r="V2" s="279"/>
      <c r="W2" s="279"/>
      <c r="X2" s="279"/>
      <c r="Y2" s="279"/>
      <c r="Z2" s="279"/>
      <c r="AA2" s="279"/>
      <c r="AB2" s="279"/>
      <c r="AC2" s="279"/>
      <c r="AD2" s="279"/>
      <c r="AE2" s="279"/>
    </row>
    <row r="3" spans="1:31" ht="35" customHeight="1">
      <c r="A3" s="279"/>
      <c r="B3" s="657" t="str">
        <f>Idiomas!D8</f>
        <v>XXIII Mundial USA/MEX/CAN 2026</v>
      </c>
      <c r="C3" s="657"/>
      <c r="D3" s="657"/>
      <c r="E3" s="657"/>
      <c r="F3" s="657"/>
      <c r="G3" s="657"/>
      <c r="H3" s="657"/>
      <c r="I3" s="657"/>
      <c r="J3" s="657"/>
      <c r="K3" s="657"/>
      <c r="L3" s="657"/>
      <c r="M3" s="279"/>
      <c r="N3" s="279"/>
      <c r="O3" s="279"/>
      <c r="P3" s="279"/>
      <c r="Q3" s="279"/>
      <c r="R3" s="279"/>
      <c r="S3" s="279"/>
      <c r="T3" s="279"/>
      <c r="U3" s="279"/>
      <c r="V3" s="279"/>
      <c r="W3" s="279"/>
      <c r="X3" s="279"/>
      <c r="Y3" s="279"/>
      <c r="Z3" s="279"/>
      <c r="AA3" s="279"/>
      <c r="AB3" s="279"/>
      <c r="AC3" s="279"/>
      <c r="AD3" s="279"/>
      <c r="AE3" s="279"/>
    </row>
    <row r="4" spans="1:31" ht="15" customHeight="1">
      <c r="A4" s="279"/>
      <c r="B4" s="279"/>
      <c r="C4" s="279"/>
      <c r="D4" s="279"/>
      <c r="E4" s="282"/>
      <c r="F4" s="282"/>
      <c r="G4" s="282"/>
      <c r="H4" s="282"/>
      <c r="I4" s="282"/>
      <c r="J4" s="282"/>
      <c r="K4" s="282"/>
      <c r="L4" s="283"/>
      <c r="M4" s="279"/>
      <c r="N4" s="279"/>
      <c r="O4" s="279"/>
      <c r="P4" s="279"/>
      <c r="Q4" s="279"/>
      <c r="R4" s="279"/>
      <c r="S4" s="279"/>
      <c r="T4" s="279"/>
      <c r="U4" s="279"/>
      <c r="V4" s="279"/>
      <c r="W4" s="279"/>
      <c r="X4" s="279"/>
      <c r="Y4" s="279"/>
      <c r="Z4" s="279"/>
      <c r="AA4" s="279"/>
      <c r="AB4" s="279"/>
      <c r="AC4" s="279"/>
      <c r="AD4" s="279"/>
      <c r="AE4" s="279"/>
    </row>
    <row r="5" spans="1:31" ht="20" customHeight="1" thickBot="1">
      <c r="A5" s="279"/>
      <c r="B5" s="279"/>
      <c r="C5" s="284" t="str">
        <f>"📋 "&amp;Idiomas!D7</f>
        <v>📋 Selecciona idioma</v>
      </c>
      <c r="D5" s="279"/>
      <c r="E5" s="285"/>
      <c r="F5" s="285"/>
      <c r="G5" s="285"/>
      <c r="H5" s="285"/>
      <c r="I5" s="285"/>
      <c r="J5" s="285"/>
      <c r="K5" s="285"/>
      <c r="L5" s="286"/>
      <c r="M5" s="287"/>
      <c r="N5" s="287"/>
      <c r="O5" s="287"/>
      <c r="P5" s="279"/>
      <c r="Q5" s="279"/>
      <c r="R5" s="279"/>
      <c r="S5" s="279"/>
      <c r="T5" s="279"/>
      <c r="U5" s="279"/>
      <c r="V5" s="279"/>
      <c r="W5" s="279"/>
      <c r="X5" s="279"/>
      <c r="Y5" s="279"/>
      <c r="Z5" s="279"/>
      <c r="AA5" s="279"/>
      <c r="AB5" s="279"/>
      <c r="AC5" s="279"/>
      <c r="AD5" s="279"/>
      <c r="AE5" s="279"/>
    </row>
    <row r="6" spans="1:31" ht="25" customHeight="1" thickBot="1">
      <c r="A6" s="279"/>
      <c r="B6" s="19"/>
      <c r="C6" s="271" t="s">
        <v>223</v>
      </c>
      <c r="D6" s="279"/>
      <c r="E6" s="282"/>
      <c r="F6" s="282"/>
      <c r="G6" s="282"/>
      <c r="H6" s="282"/>
      <c r="I6" s="282"/>
      <c r="J6" s="282"/>
      <c r="K6" s="288" t="str">
        <f>Idiomas!D4</f>
        <v>Introducir resultados</v>
      </c>
      <c r="L6" s="279"/>
      <c r="M6" s="279"/>
      <c r="N6" s="279"/>
      <c r="O6" s="279"/>
      <c r="P6" s="279"/>
      <c r="Q6" s="279"/>
      <c r="R6" s="279"/>
      <c r="S6" s="279"/>
      <c r="T6" s="279"/>
      <c r="U6" s="279"/>
      <c r="V6" s="279"/>
      <c r="W6" s="279"/>
      <c r="X6" s="279"/>
      <c r="Y6" s="279"/>
      <c r="Z6" s="279"/>
      <c r="AA6" s="279"/>
      <c r="AB6" s="279"/>
      <c r="AC6" s="279"/>
      <c r="AD6" s="279"/>
      <c r="AE6" s="279"/>
    </row>
    <row r="7" spans="1:31" ht="20" customHeight="1" thickBot="1">
      <c r="A7" s="279"/>
      <c r="B7" s="289"/>
      <c r="C7" s="284" t="str">
        <f>"🕒 "&amp;Idiomas!D15</f>
        <v>🕒 Selecciona horario</v>
      </c>
      <c r="D7" s="279"/>
      <c r="E7" s="282"/>
      <c r="F7" s="282"/>
      <c r="G7" s="282"/>
      <c r="H7" s="282"/>
      <c r="I7" s="282"/>
      <c r="J7" s="282"/>
      <c r="K7" s="282"/>
      <c r="L7" s="279"/>
      <c r="M7" s="279"/>
      <c r="N7" s="279"/>
      <c r="O7" s="279"/>
      <c r="P7" s="279"/>
      <c r="Q7" s="279"/>
      <c r="R7" s="279"/>
      <c r="S7" s="279"/>
      <c r="T7" s="279"/>
      <c r="U7" s="279"/>
      <c r="V7" s="279"/>
      <c r="W7" s="279"/>
      <c r="X7" s="279"/>
      <c r="Y7" s="279"/>
      <c r="Z7" s="279"/>
      <c r="AA7" s="279"/>
      <c r="AB7" s="279"/>
      <c r="AC7" s="279"/>
      <c r="AD7" s="279"/>
      <c r="AE7" s="279"/>
    </row>
    <row r="8" spans="1:31" ht="25" customHeight="1" thickBot="1">
      <c r="A8" s="279"/>
      <c r="B8" s="19"/>
      <c r="C8" s="271" t="s">
        <v>40</v>
      </c>
      <c r="D8" s="279"/>
      <c r="E8" s="282"/>
      <c r="F8" s="282"/>
      <c r="G8" s="282"/>
      <c r="H8" s="282"/>
      <c r="I8" s="282"/>
      <c r="J8" s="282"/>
      <c r="K8" s="288" t="s">
        <v>1313</v>
      </c>
      <c r="L8" s="279"/>
      <c r="M8" s="279"/>
      <c r="N8" s="279"/>
      <c r="O8" s="279"/>
      <c r="P8" s="279"/>
      <c r="Q8" s="279"/>
      <c r="R8" s="279"/>
      <c r="S8" s="279"/>
      <c r="T8" s="279"/>
      <c r="U8" s="279"/>
      <c r="V8" s="279"/>
      <c r="W8" s="279"/>
      <c r="X8" s="279"/>
      <c r="Y8" s="279"/>
      <c r="Z8" s="279"/>
      <c r="AA8" s="279"/>
      <c r="AB8" s="279"/>
      <c r="AC8" s="279"/>
      <c r="AD8" s="279"/>
      <c r="AE8" s="279"/>
    </row>
    <row r="9" spans="1:31" ht="20" customHeight="1" thickBot="1">
      <c r="A9" s="279"/>
      <c r="B9" s="289"/>
      <c r="C9" s="284" t="str">
        <f>"✍️ "&amp;Idiomas!D46</f>
        <v>✍️ Escribe tu nombre</v>
      </c>
      <c r="D9" s="279"/>
      <c r="E9" s="282"/>
      <c r="F9" s="282"/>
      <c r="G9" s="282"/>
      <c r="H9" s="282"/>
      <c r="I9" s="282"/>
      <c r="J9" s="282"/>
      <c r="K9" s="282"/>
      <c r="L9" s="279"/>
      <c r="M9" s="279"/>
      <c r="N9" s="279"/>
      <c r="O9" s="279"/>
      <c r="P9" s="279"/>
      <c r="Q9" s="279"/>
      <c r="R9" s="279"/>
      <c r="S9" s="279"/>
      <c r="T9" s="279"/>
      <c r="U9" s="279"/>
      <c r="V9" s="279"/>
      <c r="W9" s="279"/>
      <c r="X9" s="279"/>
      <c r="Y9" s="279"/>
      <c r="Z9" s="279"/>
      <c r="AA9" s="279"/>
      <c r="AB9" s="279"/>
      <c r="AC9" s="279"/>
      <c r="AD9" s="279"/>
      <c r="AE9" s="279"/>
    </row>
    <row r="10" spans="1:31" ht="25" customHeight="1" thickBot="1">
      <c r="A10" s="279"/>
      <c r="B10" s="19"/>
      <c r="C10" s="271" t="str">
        <f>Idiomas!D45</f>
        <v>Nombre</v>
      </c>
      <c r="D10" s="279"/>
      <c r="E10" s="282"/>
      <c r="F10" s="282"/>
      <c r="G10" s="282"/>
      <c r="H10" s="282"/>
      <c r="I10" s="282"/>
      <c r="J10" s="282"/>
      <c r="K10" s="288" t="s">
        <v>1324</v>
      </c>
      <c r="L10" s="279"/>
      <c r="M10" s="279"/>
      <c r="N10" s="279"/>
      <c r="O10" s="279"/>
      <c r="P10" s="279"/>
      <c r="Q10" s="279"/>
      <c r="R10" s="279"/>
      <c r="S10" s="279"/>
      <c r="T10" s="279"/>
      <c r="U10" s="279"/>
      <c r="V10" s="279"/>
      <c r="W10" s="279"/>
      <c r="X10" s="279"/>
      <c r="Y10" s="279"/>
      <c r="Z10" s="279"/>
      <c r="AA10" s="279"/>
      <c r="AB10" s="279"/>
      <c r="AC10" s="279"/>
      <c r="AD10" s="279"/>
      <c r="AE10" s="279"/>
    </row>
    <row r="11" spans="1:31" ht="20" customHeight="1">
      <c r="A11" s="279"/>
      <c r="B11" s="279"/>
      <c r="C11" s="279"/>
      <c r="D11" s="279"/>
      <c r="E11" s="282"/>
      <c r="F11" s="282"/>
      <c r="G11" s="282"/>
      <c r="H11" s="282"/>
      <c r="I11" s="282"/>
      <c r="J11" s="282"/>
      <c r="K11" s="282"/>
      <c r="L11" s="279"/>
      <c r="M11" s="279"/>
      <c r="N11" s="279"/>
      <c r="O11" s="279"/>
      <c r="P11" s="279"/>
      <c r="Q11" s="279"/>
      <c r="R11" s="279"/>
      <c r="S11" s="279"/>
      <c r="T11" s="279"/>
      <c r="U11" s="279"/>
      <c r="V11" s="279"/>
      <c r="W11" s="279"/>
      <c r="X11" s="279"/>
      <c r="Y11" s="279"/>
      <c r="Z11" s="279"/>
      <c r="AA11" s="279"/>
      <c r="AB11" s="279"/>
      <c r="AC11" s="279"/>
      <c r="AD11" s="279"/>
      <c r="AE11" s="279"/>
    </row>
    <row r="12" spans="1:31" ht="25" customHeight="1">
      <c r="A12" s="279"/>
      <c r="B12" s="279"/>
      <c r="C12" s="279"/>
      <c r="D12" s="279"/>
      <c r="E12" s="282"/>
      <c r="F12" s="282"/>
      <c r="G12" s="282"/>
      <c r="H12" s="282"/>
      <c r="I12" s="282"/>
      <c r="J12" s="282"/>
      <c r="K12" s="282"/>
      <c r="L12" s="290"/>
      <c r="M12" s="279"/>
      <c r="N12" s="279"/>
      <c r="O12" s="279"/>
      <c r="P12" s="279"/>
      <c r="Q12" s="279"/>
      <c r="R12" s="279"/>
      <c r="S12" s="279"/>
      <c r="T12" s="279"/>
      <c r="U12" s="279"/>
      <c r="V12" s="279"/>
      <c r="W12" s="279"/>
      <c r="X12" s="279"/>
      <c r="Y12" s="279"/>
      <c r="Z12" s="279"/>
      <c r="AA12" s="279"/>
      <c r="AB12" s="279"/>
      <c r="AC12" s="279"/>
      <c r="AD12" s="279"/>
      <c r="AE12" s="279"/>
    </row>
    <row r="13" spans="1:31" ht="16" customHeight="1">
      <c r="A13" s="279"/>
      <c r="B13" s="279"/>
      <c r="C13" s="260"/>
      <c r="D13" s="279"/>
      <c r="E13" s="282"/>
      <c r="F13" s="282"/>
      <c r="G13" s="282"/>
      <c r="H13" s="282"/>
      <c r="I13" s="282"/>
      <c r="J13" s="282"/>
      <c r="K13" s="282"/>
      <c r="L13" s="279"/>
      <c r="M13" s="279"/>
      <c r="N13" s="279"/>
      <c r="O13" s="279"/>
      <c r="P13" s="279"/>
      <c r="Q13" s="279"/>
      <c r="R13" s="279"/>
      <c r="S13" s="279"/>
      <c r="T13" s="279"/>
      <c r="U13" s="279"/>
      <c r="V13" s="279"/>
      <c r="W13" s="279"/>
      <c r="X13" s="279"/>
      <c r="Y13" s="279"/>
      <c r="Z13" s="279"/>
      <c r="AA13" s="279"/>
      <c r="AB13" s="279"/>
      <c r="AC13" s="279"/>
      <c r="AD13" s="279"/>
      <c r="AE13" s="279"/>
    </row>
    <row r="14" spans="1:31" ht="15" customHeight="1">
      <c r="A14" s="279"/>
      <c r="B14" s="18"/>
      <c r="C14" s="18"/>
      <c r="D14" s="279"/>
      <c r="E14" s="282"/>
      <c r="F14" s="282"/>
      <c r="G14" s="282"/>
      <c r="H14" s="282"/>
      <c r="I14" s="282"/>
      <c r="J14" s="282"/>
      <c r="K14" s="282"/>
      <c r="L14" s="291"/>
      <c r="M14" s="279"/>
      <c r="N14" s="279"/>
      <c r="O14" s="279"/>
      <c r="P14" s="279"/>
      <c r="Q14" s="279"/>
      <c r="R14" s="279"/>
      <c r="S14" s="279"/>
      <c r="T14" s="279"/>
      <c r="U14" s="279"/>
      <c r="V14" s="279"/>
      <c r="W14" s="279"/>
      <c r="X14" s="279"/>
      <c r="Y14" s="279"/>
      <c r="Z14" s="279"/>
      <c r="AA14" s="279"/>
      <c r="AB14" s="279"/>
      <c r="AC14" s="279"/>
      <c r="AD14" s="279"/>
      <c r="AE14" s="279"/>
    </row>
    <row r="15" spans="1:31" ht="15" customHeight="1">
      <c r="A15" s="279"/>
      <c r="B15" s="18"/>
      <c r="C15" s="18"/>
      <c r="D15" s="279"/>
      <c r="E15" s="282"/>
      <c r="F15" s="282"/>
      <c r="G15" s="282"/>
      <c r="H15" s="282"/>
      <c r="I15" s="282"/>
      <c r="J15" s="282"/>
      <c r="K15" s="282"/>
      <c r="L15" s="290"/>
      <c r="M15" s="279"/>
      <c r="N15" s="279"/>
      <c r="O15" s="279"/>
      <c r="P15" s="279"/>
      <c r="Q15" s="279"/>
      <c r="R15" s="279"/>
      <c r="S15" s="279"/>
      <c r="T15" s="279"/>
      <c r="U15" s="279"/>
      <c r="V15" s="279"/>
      <c r="W15" s="279"/>
      <c r="X15" s="279"/>
      <c r="Y15" s="279"/>
      <c r="Z15" s="279"/>
      <c r="AA15" s="279"/>
      <c r="AB15" s="279"/>
      <c r="AC15" s="279"/>
      <c r="AD15" s="279"/>
      <c r="AE15" s="279"/>
    </row>
    <row r="16" spans="1:31" ht="40" customHeight="1" thickBot="1">
      <c r="A16" s="279"/>
      <c r="B16" s="279"/>
      <c r="C16" s="279"/>
      <c r="D16" s="279"/>
      <c r="E16" s="655" t="str">
        <f>HYPERLINK(Idiomas!D10,Idiomas!D5)</f>
        <v>Si quieres organizar una porra (quiniela) con tu grupo puedes descargar el archivo de adminsitrador desde el enlace de abajo</v>
      </c>
      <c r="F16" s="656"/>
      <c r="G16" s="656"/>
      <c r="H16" s="656"/>
      <c r="I16" s="656"/>
      <c r="J16" s="282"/>
      <c r="K16" s="292"/>
      <c r="L16" s="279"/>
      <c r="M16" s="279"/>
      <c r="N16" s="279"/>
      <c r="O16" s="279"/>
      <c r="P16" s="279"/>
      <c r="Q16" s="279"/>
      <c r="R16" s="279"/>
      <c r="S16" s="279"/>
      <c r="T16" s="279"/>
      <c r="U16" s="279"/>
      <c r="V16" s="279"/>
      <c r="W16" s="279"/>
      <c r="X16" s="279"/>
      <c r="Y16" s="279"/>
      <c r="Z16" s="279"/>
      <c r="AA16" s="279"/>
      <c r="AB16" s="279"/>
      <c r="AC16" s="279"/>
      <c r="AD16" s="279"/>
      <c r="AE16" s="279"/>
    </row>
    <row r="17" spans="1:31" ht="40" customHeight="1" thickBot="1">
      <c r="A17" s="279"/>
      <c r="B17" s="279"/>
      <c r="C17" s="279"/>
      <c r="D17" s="279"/>
      <c r="E17" s="652" t="str">
        <f>HYPERLINK(Idiomas!D10,Idiomas!D9)</f>
        <v>▼ Descargar Excel Administrador Porra ▼</v>
      </c>
      <c r="F17" s="653"/>
      <c r="G17" s="653"/>
      <c r="H17" s="653"/>
      <c r="I17" s="654"/>
      <c r="J17" s="282"/>
      <c r="K17" s="293" t="s">
        <v>1351</v>
      </c>
      <c r="L17" s="294"/>
      <c r="M17" s="279"/>
      <c r="N17" s="295"/>
      <c r="O17" s="296"/>
      <c r="P17" s="279"/>
      <c r="Q17" s="279"/>
      <c r="R17" s="279"/>
      <c r="S17" s="279"/>
      <c r="T17" s="279"/>
      <c r="U17" s="279"/>
      <c r="V17" s="279"/>
      <c r="W17" s="279"/>
      <c r="X17" s="279"/>
      <c r="Y17" s="279"/>
      <c r="Z17" s="279"/>
      <c r="AA17" s="279"/>
      <c r="AB17" s="279"/>
      <c r="AC17" s="279"/>
      <c r="AD17" s="279"/>
      <c r="AE17" s="279"/>
    </row>
    <row r="18" spans="1:31" ht="15" customHeight="1">
      <c r="A18" s="279"/>
      <c r="B18" s="279"/>
      <c r="C18" s="279"/>
      <c r="D18" s="279"/>
      <c r="E18" s="282"/>
      <c r="F18" s="282"/>
      <c r="G18" s="282"/>
      <c r="H18" s="282"/>
      <c r="I18" s="282"/>
      <c r="J18" s="282"/>
      <c r="K18" s="282"/>
      <c r="L18" s="279"/>
      <c r="M18" s="279"/>
      <c r="N18" s="279"/>
      <c r="O18" s="279"/>
      <c r="P18" s="279"/>
      <c r="Q18" s="279"/>
      <c r="R18" s="279"/>
      <c r="S18" s="279"/>
      <c r="T18" s="279"/>
      <c r="U18" s="279"/>
      <c r="V18" s="279"/>
      <c r="W18" s="279"/>
      <c r="X18" s="279"/>
      <c r="Y18" s="279"/>
      <c r="Z18" s="279"/>
      <c r="AA18" s="279"/>
      <c r="AB18" s="279"/>
      <c r="AC18" s="279"/>
      <c r="AD18" s="279"/>
      <c r="AE18" s="279"/>
    </row>
    <row r="19" spans="1:31">
      <c r="A19" s="279"/>
      <c r="B19" s="279"/>
      <c r="C19" s="279"/>
      <c r="D19" s="279"/>
      <c r="E19" s="282"/>
      <c r="F19" s="282"/>
      <c r="G19" s="282"/>
      <c r="H19" s="282"/>
      <c r="I19" s="282"/>
      <c r="J19" s="282"/>
      <c r="K19" s="282"/>
      <c r="L19" s="279"/>
      <c r="M19" s="279"/>
      <c r="N19" s="279"/>
      <c r="O19" s="279"/>
      <c r="P19" s="279"/>
      <c r="Q19" s="279"/>
      <c r="R19" s="279"/>
      <c r="S19" s="279"/>
      <c r="T19" s="279"/>
      <c r="U19" s="279"/>
      <c r="V19" s="279"/>
      <c r="W19" s="279"/>
      <c r="X19" s="279"/>
      <c r="Y19" s="279"/>
      <c r="Z19" s="279"/>
      <c r="AA19" s="279"/>
      <c r="AB19" s="279"/>
      <c r="AC19" s="279"/>
      <c r="AD19" s="279"/>
      <c r="AE19" s="279"/>
    </row>
    <row r="20" spans="1:31">
      <c r="A20" s="279"/>
      <c r="B20" s="279" t="s">
        <v>1312</v>
      </c>
      <c r="C20" s="279"/>
      <c r="D20" s="279"/>
      <c r="E20" s="282"/>
      <c r="F20" s="282"/>
      <c r="G20" s="282"/>
      <c r="H20" s="282"/>
      <c r="I20" s="282"/>
      <c r="J20" s="282"/>
      <c r="K20" s="282"/>
      <c r="L20" s="279"/>
      <c r="M20" s="279"/>
      <c r="N20" s="279"/>
      <c r="O20" s="279"/>
      <c r="P20" s="279"/>
      <c r="Q20" s="279"/>
      <c r="R20" s="279"/>
      <c r="S20" s="279"/>
      <c r="T20" s="279"/>
      <c r="U20" s="279"/>
      <c r="V20" s="279"/>
      <c r="W20" s="279"/>
      <c r="X20" s="279"/>
      <c r="Y20" s="279"/>
      <c r="Z20" s="279"/>
      <c r="AA20" s="279"/>
      <c r="AB20" s="279"/>
      <c r="AC20" s="279"/>
      <c r="AD20" s="279"/>
      <c r="AE20" s="279"/>
    </row>
    <row r="21" spans="1:31" ht="15" customHeight="1" thickBot="1">
      <c r="A21" s="279"/>
      <c r="B21" s="279" t="s">
        <v>1312</v>
      </c>
      <c r="C21" s="279"/>
      <c r="D21" s="279"/>
      <c r="E21" s="297" t="s">
        <v>1348</v>
      </c>
      <c r="F21" s="282"/>
      <c r="G21" s="282"/>
      <c r="H21" s="282"/>
      <c r="I21" s="282"/>
      <c r="J21" s="282"/>
      <c r="K21" s="282"/>
      <c r="L21" s="279"/>
      <c r="M21" s="279"/>
      <c r="N21" s="279"/>
      <c r="O21" s="290"/>
      <c r="P21" s="279"/>
      <c r="Q21" s="279"/>
      <c r="R21" s="279"/>
      <c r="S21" s="279"/>
      <c r="T21" s="279"/>
      <c r="U21" s="279"/>
      <c r="V21" s="279"/>
      <c r="W21" s="279"/>
      <c r="X21" s="279"/>
      <c r="Y21" s="279"/>
      <c r="Z21" s="279"/>
      <c r="AA21" s="279"/>
      <c r="AB21" s="279"/>
      <c r="AC21" s="279"/>
      <c r="AD21" s="279"/>
      <c r="AE21" s="279"/>
    </row>
    <row r="22" spans="1:31" ht="31" customHeight="1" thickBot="1">
      <c r="A22" s="279"/>
      <c r="B22" s="279" t="s">
        <v>1312</v>
      </c>
      <c r="C22" s="279"/>
      <c r="D22" s="279"/>
      <c r="E22" s="20" t="s">
        <v>1308</v>
      </c>
      <c r="F22" s="21" t="s">
        <v>1309</v>
      </c>
      <c r="G22" s="22" t="s">
        <v>1310</v>
      </c>
      <c r="H22" s="23" t="s">
        <v>13</v>
      </c>
      <c r="I22" s="298" t="s">
        <v>1311</v>
      </c>
      <c r="J22" s="282"/>
      <c r="K22" s="282"/>
      <c r="L22" s="279"/>
      <c r="M22" s="279"/>
      <c r="N22" s="279"/>
      <c r="O22" s="290"/>
      <c r="P22" s="279"/>
      <c r="Q22" s="279"/>
      <c r="R22" s="279"/>
      <c r="S22" s="279"/>
      <c r="T22" s="279"/>
      <c r="U22" s="279"/>
      <c r="V22" s="279"/>
      <c r="W22" s="279"/>
      <c r="X22" s="279"/>
      <c r="Y22" s="279"/>
      <c r="Z22" s="279"/>
      <c r="AA22" s="279"/>
      <c r="AB22" s="279"/>
      <c r="AC22" s="279"/>
      <c r="AD22" s="279"/>
      <c r="AE22" s="279"/>
    </row>
    <row r="23" spans="1:31" ht="20" customHeight="1" thickBot="1">
      <c r="A23" s="279"/>
      <c r="B23" s="279" t="s">
        <v>1312</v>
      </c>
      <c r="C23" s="279"/>
      <c r="D23" s="279"/>
      <c r="E23" s="282"/>
      <c r="F23" s="282"/>
      <c r="G23" s="282"/>
      <c r="H23" s="282"/>
      <c r="I23" s="282"/>
      <c r="J23" s="282"/>
      <c r="K23" s="277" t="s">
        <v>1332</v>
      </c>
      <c r="L23" s="278" t="str">
        <f>+Idiomas!D12</f>
        <v>Donar</v>
      </c>
      <c r="M23" s="279"/>
      <c r="N23" s="290"/>
      <c r="O23" s="290"/>
      <c r="P23" s="279"/>
      <c r="Q23" s="279"/>
      <c r="R23" s="279"/>
      <c r="S23" s="279"/>
      <c r="T23" s="279"/>
      <c r="U23" s="279"/>
      <c r="V23" s="279"/>
      <c r="W23" s="279"/>
      <c r="X23" s="279"/>
      <c r="Y23" s="279"/>
      <c r="Z23" s="279"/>
      <c r="AA23" s="279"/>
      <c r="AB23" s="279"/>
      <c r="AC23" s="279"/>
      <c r="AD23" s="279"/>
      <c r="AE23" s="279"/>
    </row>
    <row r="24" spans="1:31" ht="30" customHeight="1">
      <c r="A24" s="279"/>
      <c r="B24" s="658"/>
      <c r="C24" s="659"/>
      <c r="D24" s="279"/>
      <c r="E24" s="282"/>
      <c r="F24" s="282"/>
      <c r="G24" s="282"/>
      <c r="H24" s="299"/>
      <c r="I24" s="299"/>
      <c r="J24" s="282"/>
      <c r="K24" s="299"/>
      <c r="L24" s="290"/>
      <c r="M24" s="290"/>
      <c r="N24" s="290"/>
      <c r="O24" s="290"/>
      <c r="P24" s="279"/>
      <c r="Q24" s="279"/>
      <c r="R24" s="279"/>
      <c r="S24" s="279"/>
      <c r="T24" s="279"/>
      <c r="U24" s="279"/>
      <c r="V24" s="279"/>
      <c r="W24" s="279"/>
      <c r="X24" s="279"/>
      <c r="Y24" s="279"/>
      <c r="Z24" s="279"/>
      <c r="AA24" s="279"/>
      <c r="AB24" s="279"/>
      <c r="AC24" s="279"/>
      <c r="AD24" s="279"/>
      <c r="AE24" s="279"/>
    </row>
    <row r="25" spans="1:31">
      <c r="A25" s="279"/>
      <c r="B25" s="279"/>
      <c r="C25" s="279"/>
      <c r="D25" s="279"/>
      <c r="E25" s="282"/>
      <c r="F25" s="282"/>
      <c r="G25" s="282"/>
      <c r="H25" s="299"/>
      <c r="I25" s="299"/>
      <c r="J25" s="282"/>
      <c r="K25" s="299"/>
      <c r="L25" s="290"/>
      <c r="M25" s="290"/>
      <c r="N25" s="290"/>
      <c r="O25" s="290"/>
      <c r="P25" s="279"/>
      <c r="Q25" s="279"/>
      <c r="R25" s="279"/>
      <c r="S25" s="279"/>
      <c r="T25" s="279"/>
      <c r="U25" s="279"/>
      <c r="V25" s="279"/>
      <c r="W25" s="279"/>
      <c r="X25" s="279"/>
      <c r="Y25" s="279"/>
      <c r="Z25" s="279"/>
      <c r="AA25" s="279"/>
      <c r="AB25" s="279"/>
      <c r="AC25" s="279"/>
      <c r="AD25" s="279"/>
      <c r="AE25" s="279"/>
    </row>
    <row r="26" spans="1:31">
      <c r="A26" s="279"/>
      <c r="B26" s="279"/>
      <c r="C26" s="279"/>
      <c r="D26" s="279"/>
      <c r="E26" s="279"/>
      <c r="F26" s="279"/>
      <c r="G26" s="279"/>
      <c r="H26" s="279"/>
      <c r="I26" s="279"/>
      <c r="J26" s="282"/>
      <c r="K26" s="279"/>
      <c r="L26" s="279"/>
      <c r="M26" s="279"/>
      <c r="N26" s="279"/>
      <c r="O26" s="279"/>
      <c r="P26" s="279"/>
      <c r="Q26" s="279"/>
      <c r="R26" s="279"/>
      <c r="S26" s="279"/>
      <c r="T26" s="279"/>
      <c r="U26" s="279"/>
      <c r="V26" s="279"/>
      <c r="W26" s="279"/>
      <c r="X26" s="279"/>
      <c r="Y26" s="279"/>
      <c r="Z26" s="279"/>
      <c r="AA26" s="279"/>
      <c r="AB26" s="279"/>
      <c r="AC26" s="279"/>
      <c r="AD26" s="279"/>
      <c r="AE26" s="279"/>
    </row>
    <row r="27" spans="1:31">
      <c r="A27" s="279"/>
      <c r="B27" s="279"/>
      <c r="C27" s="279"/>
      <c r="D27" s="279"/>
      <c r="E27" s="279"/>
      <c r="F27" s="279"/>
      <c r="G27" s="279"/>
      <c r="H27" s="279"/>
      <c r="I27" s="279"/>
      <c r="J27" s="282"/>
      <c r="K27" s="279"/>
      <c r="L27" s="279"/>
      <c r="M27" s="279"/>
      <c r="N27" s="279"/>
      <c r="O27" s="279"/>
      <c r="P27" s="279"/>
      <c r="Q27" s="279"/>
      <c r="R27" s="279"/>
      <c r="S27" s="279"/>
      <c r="T27" s="279"/>
      <c r="U27" s="279"/>
      <c r="V27" s="279"/>
      <c r="W27" s="279"/>
      <c r="X27" s="279"/>
      <c r="Y27" s="279"/>
      <c r="Z27" s="279"/>
      <c r="AA27" s="279"/>
      <c r="AB27" s="279"/>
      <c r="AC27" s="279"/>
      <c r="AD27" s="279"/>
      <c r="AE27" s="279"/>
    </row>
    <row r="28" spans="1:31">
      <c r="A28" s="279"/>
      <c r="B28" s="279"/>
      <c r="C28" s="279"/>
      <c r="D28" s="279"/>
      <c r="E28" s="279"/>
      <c r="F28" s="279"/>
      <c r="G28" s="279"/>
      <c r="H28" s="279"/>
      <c r="I28" s="279"/>
      <c r="J28" s="282"/>
      <c r="K28" s="279"/>
      <c r="L28" s="279"/>
      <c r="M28" s="279"/>
      <c r="N28" s="279"/>
      <c r="O28" s="279"/>
      <c r="P28" s="279"/>
      <c r="Q28" s="279"/>
      <c r="R28" s="279"/>
      <c r="S28" s="279"/>
      <c r="T28" s="279"/>
      <c r="U28" s="279"/>
      <c r="V28" s="279"/>
      <c r="W28" s="279"/>
      <c r="X28" s="279"/>
      <c r="Y28" s="279"/>
      <c r="Z28" s="279"/>
      <c r="AA28" s="279"/>
      <c r="AB28" s="279"/>
      <c r="AC28" s="279"/>
      <c r="AD28" s="279"/>
      <c r="AE28" s="279"/>
    </row>
    <row r="29" spans="1:31">
      <c r="A29" s="279"/>
      <c r="B29" s="279"/>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row>
    <row r="30" spans="1:31">
      <c r="A30" s="279"/>
      <c r="B30" s="279"/>
      <c r="C30" s="279"/>
      <c r="D30" s="279"/>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row>
    <row r="31" spans="1:31">
      <c r="A31" s="279"/>
      <c r="B31" s="279"/>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row>
    <row r="32" spans="1:31">
      <c r="A32" s="279"/>
      <c r="B32" s="279"/>
      <c r="C32" s="279"/>
      <c r="D32" s="279"/>
      <c r="E32" s="279"/>
      <c r="F32" s="279"/>
      <c r="G32" s="279"/>
      <c r="H32" s="279"/>
      <c r="I32" s="279"/>
      <c r="J32" s="279"/>
      <c r="K32" s="279"/>
      <c r="L32" s="279"/>
      <c r="M32" s="279"/>
      <c r="N32" s="279"/>
      <c r="O32" s="279"/>
      <c r="P32" s="279"/>
      <c r="Q32" s="279"/>
      <c r="R32" s="279"/>
      <c r="S32" s="279"/>
      <c r="T32" s="279"/>
      <c r="U32" s="279"/>
      <c r="V32" s="279"/>
      <c r="W32" s="279"/>
      <c r="X32" s="279"/>
      <c r="Y32" s="279"/>
      <c r="Z32" s="279"/>
      <c r="AA32" s="279"/>
      <c r="AB32" s="279"/>
      <c r="AC32" s="279"/>
      <c r="AD32" s="279"/>
      <c r="AE32" s="279"/>
    </row>
    <row r="33" spans="1:31">
      <c r="A33" s="279"/>
      <c r="B33" s="279"/>
      <c r="C33" s="279"/>
      <c r="D33" s="279"/>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row>
    <row r="34" spans="1:31">
      <c r="A34" s="279"/>
      <c r="B34" s="279"/>
      <c r="C34" s="279"/>
      <c r="D34" s="279"/>
      <c r="E34" s="279"/>
      <c r="F34" s="279"/>
      <c r="G34" s="279"/>
      <c r="H34" s="279"/>
      <c r="I34" s="279"/>
      <c r="J34" s="279"/>
      <c r="K34" s="279"/>
      <c r="L34" s="279"/>
      <c r="M34" s="279"/>
      <c r="N34" s="279"/>
      <c r="O34" s="279"/>
      <c r="P34" s="279"/>
      <c r="Q34" s="279"/>
      <c r="R34" s="279"/>
      <c r="S34" s="279"/>
      <c r="T34" s="279"/>
      <c r="U34" s="279"/>
      <c r="V34" s="279"/>
      <c r="W34" s="279"/>
      <c r="X34" s="279"/>
      <c r="Y34" s="279"/>
      <c r="Z34" s="279"/>
      <c r="AA34" s="279"/>
      <c r="AB34" s="279"/>
      <c r="AC34" s="279"/>
      <c r="AD34" s="279"/>
      <c r="AE34" s="279"/>
    </row>
    <row r="35" spans="1:31">
      <c r="A35" s="279"/>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c r="Z35" s="279"/>
      <c r="AA35" s="279"/>
      <c r="AB35" s="279"/>
      <c r="AC35" s="279"/>
      <c r="AD35" s="279"/>
      <c r="AE35" s="279"/>
    </row>
    <row r="36" spans="1:31">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c r="Z36" s="279"/>
      <c r="AA36" s="279"/>
      <c r="AB36" s="279"/>
      <c r="AC36" s="279"/>
      <c r="AD36" s="279"/>
      <c r="AE36" s="279"/>
    </row>
    <row r="37" spans="1:31">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c r="Z37" s="279"/>
      <c r="AA37" s="279"/>
      <c r="AB37" s="279"/>
      <c r="AC37" s="279"/>
      <c r="AD37" s="279"/>
      <c r="AE37" s="279"/>
    </row>
    <row r="38" spans="1:31">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c r="AA38" s="279"/>
      <c r="AB38" s="279"/>
      <c r="AC38" s="279"/>
      <c r="AD38" s="279"/>
      <c r="AE38" s="279"/>
    </row>
    <row r="39" spans="1:31">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c r="Z39" s="279"/>
      <c r="AA39" s="279"/>
      <c r="AB39" s="279"/>
      <c r="AC39" s="279"/>
      <c r="AD39" s="279"/>
      <c r="AE39" s="279"/>
    </row>
    <row r="40" spans="1:31">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c r="Z40" s="279"/>
      <c r="AA40" s="279"/>
      <c r="AB40" s="279"/>
      <c r="AC40" s="279"/>
      <c r="AD40" s="279"/>
      <c r="AE40" s="279"/>
    </row>
    <row r="41" spans="1:31">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c r="AC41" s="279"/>
      <c r="AD41" s="279"/>
      <c r="AE41" s="279"/>
    </row>
    <row r="42" spans="1:31">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c r="Z42" s="279"/>
      <c r="AA42" s="279"/>
      <c r="AB42" s="279"/>
      <c r="AC42" s="279"/>
      <c r="AD42" s="279"/>
      <c r="AE42" s="279"/>
    </row>
    <row r="43" spans="1:31">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c r="AC43" s="279"/>
      <c r="AD43" s="279"/>
      <c r="AE43" s="279"/>
    </row>
    <row r="44" spans="1:31">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79"/>
      <c r="AD44" s="279"/>
      <c r="AE44" s="279"/>
    </row>
    <row r="45" spans="1:31">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c r="Z45" s="279"/>
      <c r="AA45" s="279"/>
      <c r="AB45" s="279"/>
      <c r="AC45" s="279"/>
      <c r="AD45" s="279"/>
      <c r="AE45" s="279"/>
    </row>
    <row r="46" spans="1:31">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c r="Z46" s="279"/>
      <c r="AA46" s="279"/>
      <c r="AB46" s="279"/>
      <c r="AC46" s="279"/>
      <c r="AD46" s="279"/>
      <c r="AE46" s="279"/>
    </row>
    <row r="47" spans="1:31">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c r="Z47" s="279"/>
      <c r="AA47" s="279"/>
      <c r="AB47" s="279"/>
      <c r="AC47" s="279"/>
      <c r="AD47" s="279"/>
      <c r="AE47" s="279"/>
    </row>
    <row r="48" spans="1:31">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c r="Z48" s="279"/>
      <c r="AA48" s="279"/>
      <c r="AB48" s="279"/>
      <c r="AC48" s="279"/>
      <c r="AD48" s="279"/>
      <c r="AE48" s="279"/>
    </row>
    <row r="49" spans="1:31">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c r="Z49" s="279"/>
      <c r="AA49" s="279"/>
      <c r="AB49" s="279"/>
      <c r="AC49" s="279"/>
      <c r="AD49" s="279"/>
      <c r="AE49" s="279"/>
    </row>
    <row r="50" spans="1:31">
      <c r="A50" s="279"/>
      <c r="B50" s="279"/>
      <c r="C50" s="279"/>
      <c r="D50" s="279"/>
      <c r="E50" s="279"/>
      <c r="F50" s="279"/>
      <c r="G50" s="279"/>
      <c r="H50" s="279"/>
      <c r="I50" s="279"/>
      <c r="J50" s="279"/>
      <c r="K50" s="279"/>
      <c r="L50" s="279"/>
      <c r="M50" s="279"/>
      <c r="N50" s="279"/>
      <c r="O50" s="279"/>
      <c r="P50" s="279"/>
      <c r="Q50" s="279"/>
      <c r="R50" s="279"/>
      <c r="S50" s="279"/>
      <c r="T50" s="279"/>
      <c r="U50" s="279"/>
      <c r="V50" s="279"/>
      <c r="W50" s="279"/>
      <c r="X50" s="279"/>
      <c r="Y50" s="279"/>
      <c r="Z50" s="279"/>
      <c r="AA50" s="279"/>
      <c r="AB50" s="279"/>
      <c r="AC50" s="279"/>
      <c r="AD50" s="279"/>
      <c r="AE50" s="279"/>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AF80" zoomScale="55" zoomScaleNormal="100" workbookViewId="0">
      <selection activeCell="AA157" sqref="AA157"/>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089843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089843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08984375" style="175" customWidth="1"/>
    <col min="35" max="35" width="3.36328125" style="175"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78" customWidth="1"/>
    <col min="48" max="48" width="18.453125" style="182"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08984375" hidden="1" customWidth="1"/>
    <col min="59" max="59" width="8.36328125" hidden="1" customWidth="1"/>
    <col min="60" max="60" width="2.08984375" hidden="1" customWidth="1"/>
    <col min="61" max="61" width="2.453125" hidden="1" customWidth="1"/>
    <col min="62" max="62" width="8.089843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08984375" hidden="1" customWidth="1"/>
    <col min="102" max="102" width="7.36328125" hidden="1" customWidth="1"/>
    <col min="103" max="103" width="0" hidden="1" customWidth="1"/>
    <col min="104" max="104" width="3.089843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c r="A1" s="16"/>
      <c r="B1" s="16"/>
      <c r="C1" s="16"/>
      <c r="D1" s="16"/>
      <c r="E1" s="16"/>
      <c r="F1" s="16"/>
      <c r="G1" s="16"/>
      <c r="H1" s="16"/>
      <c r="I1" s="16"/>
      <c r="J1" s="16"/>
      <c r="K1" s="16"/>
      <c r="L1" s="16"/>
      <c r="M1" s="16"/>
      <c r="N1" s="16"/>
      <c r="O1" s="16"/>
      <c r="P1" s="16"/>
      <c r="Q1" s="16"/>
      <c r="R1" s="16"/>
      <c r="S1" s="16"/>
      <c r="T1" s="16"/>
      <c r="U1" s="16"/>
      <c r="V1" s="269"/>
      <c r="W1" s="639" t="str">
        <f>Idiomas!D8</f>
        <v>XXIII Mundial USA/MEX/CAN 2026</v>
      </c>
      <c r="X1" s="639"/>
      <c r="Y1" s="639"/>
      <c r="Z1" s="639"/>
      <c r="AA1" s="639"/>
      <c r="AB1" s="639"/>
      <c r="AC1" s="639"/>
      <c r="AD1" s="639"/>
      <c r="AE1" s="639"/>
      <c r="AF1" s="639"/>
      <c r="AG1" s="132"/>
      <c r="AH1" s="168"/>
      <c r="AI1" s="168"/>
      <c r="AJ1" s="132"/>
      <c r="AK1" s="132"/>
      <c r="AL1" s="165"/>
      <c r="AM1" s="132"/>
      <c r="AN1" s="132"/>
      <c r="AO1" s="132"/>
      <c r="AP1" s="132"/>
      <c r="AQ1" s="132"/>
      <c r="AR1" s="132"/>
      <c r="AS1" s="132"/>
      <c r="AT1" s="132"/>
      <c r="AU1" s="313"/>
      <c r="AV1" s="176" t="s">
        <v>44</v>
      </c>
      <c r="AW1" s="132"/>
      <c r="AX1" s="132"/>
      <c r="AY1" s="132"/>
      <c r="AZ1" s="132"/>
      <c r="BA1" s="164"/>
      <c r="DN1" s="16" t="s">
        <v>1358</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33"/>
      <c r="X2" s="133"/>
      <c r="Y2" s="132"/>
      <c r="Z2" s="133"/>
      <c r="AA2" s="134"/>
      <c r="AB2" s="133"/>
      <c r="AC2" s="134"/>
      <c r="AD2" s="134"/>
      <c r="AE2" s="134"/>
      <c r="AF2" s="134"/>
      <c r="AG2" s="135"/>
      <c r="AH2" s="167"/>
      <c r="AI2" s="167"/>
      <c r="AJ2" s="135"/>
      <c r="AK2" s="135"/>
      <c r="AL2" s="135"/>
      <c r="AM2" s="135"/>
      <c r="AN2" s="135"/>
      <c r="AO2" s="135"/>
      <c r="AP2" s="135"/>
      <c r="AQ2" s="135"/>
      <c r="AR2" s="135"/>
      <c r="AS2" s="135"/>
      <c r="AT2" s="135"/>
      <c r="AU2" s="176"/>
      <c r="AV2" s="176"/>
      <c r="AW2" s="137"/>
      <c r="AX2" s="137"/>
      <c r="AY2" s="138"/>
      <c r="AZ2" s="136"/>
      <c r="BA2" s="164"/>
    </row>
    <row r="3" spans="1:121" ht="16"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5" t="str">
        <f>Idiomas!D17</f>
        <v>Fecha</v>
      </c>
      <c r="Y3" s="65" t="str">
        <f>Idiomas!D18</f>
        <v>Hora</v>
      </c>
      <c r="Z3" s="51" t="str">
        <f>Idiomas!D19</f>
        <v>Jor.</v>
      </c>
      <c r="AA3" s="53" t="str">
        <f>Idiomas!D20</f>
        <v>Casa</v>
      </c>
      <c r="AB3" s="52"/>
      <c r="AC3" s="51" t="str">
        <f>Idiomas!D21</f>
        <v>Gol</v>
      </c>
      <c r="AD3" s="51" t="str">
        <f>Idiomas!D21</f>
        <v>Gol</v>
      </c>
      <c r="AE3" s="52"/>
      <c r="AF3" s="54" t="str">
        <f>Idiomas!D22</f>
        <v>Fuera</v>
      </c>
      <c r="AG3" s="135"/>
      <c r="AH3" s="167"/>
      <c r="AI3" s="167"/>
      <c r="AJ3" s="167" t="str">
        <f>Idiomas!D23</f>
        <v>Grupo</v>
      </c>
      <c r="AK3" s="165"/>
      <c r="AL3" s="150"/>
      <c r="AM3" s="150"/>
      <c r="AN3" s="150"/>
      <c r="AO3" s="150"/>
      <c r="AP3" s="150"/>
      <c r="AQ3" s="150"/>
      <c r="AR3" s="150"/>
      <c r="AS3" s="150"/>
      <c r="AT3" s="150"/>
      <c r="AU3" s="176"/>
      <c r="AV3" s="179" t="str">
        <f>Idiomas!D24</f>
        <v>¡EMPATE! Puedes seleccionar el orden de los empatados.</v>
      </c>
      <c r="AW3" s="153"/>
      <c r="AX3" s="153"/>
      <c r="AY3" s="378" t="str">
        <f>Idiomas!D72</f>
        <v>¿Hay equipos penalizados?</v>
      </c>
      <c r="AZ3" s="377" t="s">
        <v>1234</v>
      </c>
      <c r="BA3" s="164"/>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5" t="s">
        <v>0</v>
      </c>
      <c r="X4" s="24">
        <f ca="1">Horarios!C4</f>
        <v>46184.875</v>
      </c>
      <c r="Y4" s="25">
        <f ca="1">Horarios!C4</f>
        <v>46184.875</v>
      </c>
      <c r="Z4" s="26" t="str">
        <f>Idiomas!D61</f>
        <v>J1</v>
      </c>
      <c r="AA4" s="27" t="str">
        <f ca="1">+A5</f>
        <v>México</v>
      </c>
      <c r="AB4" s="49" t="e" cm="1" vm="1">
        <f t="array" aca="1" ref="AB4" ca="1">Ver_flag_local</f>
        <v>#VALUE!</v>
      </c>
      <c r="AC4" s="700">
        <v>2</v>
      </c>
      <c r="AD4" s="701">
        <v>1</v>
      </c>
      <c r="AE4" s="569" t="e" cm="1" vm="2">
        <f t="array" aca="1" ref="AE4" ca="1">Ver_flag_visit</f>
        <v>#VALUE!</v>
      </c>
      <c r="AF4" s="32" t="str">
        <f ca="1">A6</f>
        <v>Sudáfrica</v>
      </c>
      <c r="AG4" s="304">
        <f t="shared" ref="AG4:AG9" si="13">IF(NOT(OR(ISBLANK(AC4),ISBLANK(AD4))),1,0)</f>
        <v>1</v>
      </c>
      <c r="AH4" s="183">
        <v>1</v>
      </c>
      <c r="AI4" s="169"/>
      <c r="AJ4" s="55" t="str">
        <f>CONCATENATE(AJ3," ",B4)</f>
        <v>Grupo A</v>
      </c>
      <c r="AK4" s="56"/>
      <c r="AL4" s="56"/>
      <c r="AM4" s="56"/>
      <c r="AN4" s="56"/>
      <c r="AO4" s="56"/>
      <c r="AP4" s="56"/>
      <c r="AQ4" s="56"/>
      <c r="AR4" s="56"/>
      <c r="AS4" s="56"/>
      <c r="AT4" s="57"/>
      <c r="AU4" s="176"/>
      <c r="AV4" s="268" t="str">
        <f ca="1">IF(AU5&gt;0,$AV$3,"")</f>
        <v/>
      </c>
      <c r="AW4" s="156"/>
      <c r="AX4" s="156"/>
      <c r="AY4" s="166"/>
      <c r="AZ4" s="166"/>
      <c r="BA4" s="164"/>
      <c r="DC4" s="16" t="s">
        <v>1498</v>
      </c>
    </row>
    <row r="5" spans="1:121" ht="16" customHeight="1" thickBo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5"/>
      <c r="X5" s="24">
        <f ca="1">Horarios!C5</f>
        <v>46185.166666666664</v>
      </c>
      <c r="Y5" s="25">
        <f ca="1">Horarios!C5</f>
        <v>46185.166666666664</v>
      </c>
      <c r="Z5" s="26" t="str">
        <f>$Z$4</f>
        <v>J1</v>
      </c>
      <c r="AA5" s="27" t="str">
        <f ca="1">A7</f>
        <v>Corea del Sur</v>
      </c>
      <c r="AB5" s="49" t="e" cm="1" vm="3">
        <f t="array" aca="1" ref="AB5" ca="1">Ver_flag_local</f>
        <v>#VALUE!</v>
      </c>
      <c r="AC5" s="700">
        <v>1</v>
      </c>
      <c r="AD5" s="701">
        <v>1</v>
      </c>
      <c r="AE5" s="569" t="e" cm="1" vm="4">
        <f t="array" aca="1" ref="AE5" ca="1">Ver_flag_visit</f>
        <v>#VALUE!</v>
      </c>
      <c r="AF5" s="32" t="str">
        <f ca="1">A8</f>
        <v>República Checa</v>
      </c>
      <c r="AG5" s="304">
        <f t="shared" si="13"/>
        <v>1</v>
      </c>
      <c r="AH5" s="183">
        <v>2</v>
      </c>
      <c r="AI5" s="169"/>
      <c r="AJ5" s="58" t="str">
        <f>Idiomas!D51</f>
        <v>Pos</v>
      </c>
      <c r="AK5" s="59"/>
      <c r="AL5" s="60" t="str">
        <f>Idiomas!D52</f>
        <v>Selección</v>
      </c>
      <c r="AM5" s="59" t="str">
        <f>Idiomas!D53</f>
        <v>Pts</v>
      </c>
      <c r="AN5" s="59" t="str">
        <f>Idiomas!D54</f>
        <v>J</v>
      </c>
      <c r="AO5" s="59" t="str">
        <f>Idiomas!D55</f>
        <v>G</v>
      </c>
      <c r="AP5" s="59" t="str">
        <f>Idiomas!D56</f>
        <v>E</v>
      </c>
      <c r="AQ5" s="59" t="str">
        <f>Idiomas!D57</f>
        <v>P</v>
      </c>
      <c r="AR5" s="59" t="str">
        <f>Idiomas!D58</f>
        <v>GF</v>
      </c>
      <c r="AS5" s="59" t="str">
        <f>Idiomas!D59</f>
        <v>GC</v>
      </c>
      <c r="AT5" s="61" t="str">
        <f>Idiomas!D60</f>
        <v>DG</v>
      </c>
      <c r="AU5" s="176">
        <f ca="1">COUNTIF(AU6:AU9,"&gt;1")</f>
        <v>0</v>
      </c>
      <c r="AV5" s="180"/>
      <c r="AW5" s="156"/>
      <c r="AX5" s="156"/>
      <c r="AY5" s="195" t="str">
        <f>AL5</f>
        <v>Selección</v>
      </c>
      <c r="AZ5" s="196" t="str">
        <f>+Idiomas!$D$67</f>
        <v>Puntos penalizados</v>
      </c>
      <c r="BA5" s="164"/>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thickBo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5"/>
      <c r="X6" s="24">
        <f ca="1">Horarios!C6</f>
        <v>46191.75</v>
      </c>
      <c r="Y6" s="25">
        <f ca="1">Horarios!C6</f>
        <v>46191.75</v>
      </c>
      <c r="Z6" s="26" t="str">
        <f>Idiomas!D62</f>
        <v>J2</v>
      </c>
      <c r="AA6" s="27" t="str">
        <f ca="1">A8</f>
        <v>República Checa</v>
      </c>
      <c r="AB6" s="49" t="e" cm="1" vm="4">
        <f t="array" aca="1" ref="AB6" ca="1">Ver_flag_local</f>
        <v>#VALUE!</v>
      </c>
      <c r="AC6" s="700">
        <v>2</v>
      </c>
      <c r="AD6" s="701">
        <v>0</v>
      </c>
      <c r="AE6" s="569" t="e" cm="1" vm="2">
        <f t="array" aca="1" ref="AE6" ca="1">Ver_flag_visit</f>
        <v>#VALUE!</v>
      </c>
      <c r="AF6" s="32" t="str">
        <f ca="1">A6</f>
        <v>Sudáfrica</v>
      </c>
      <c r="AG6" s="304">
        <f t="shared" si="13"/>
        <v>1</v>
      </c>
      <c r="AH6" s="183">
        <v>25</v>
      </c>
      <c r="AI6" s="169" t="str">
        <f>AJ6&amp;$B$4</f>
        <v>1A</v>
      </c>
      <c r="AJ6" s="40">
        <v>1</v>
      </c>
      <c r="AK6" s="571"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2</v>
      </c>
      <c r="AT6" s="41">
        <f t="shared" ca="1" si="15"/>
        <v>3</v>
      </c>
      <c r="AU6" s="311">
        <f ca="1">INDEX($DL$6:$DL$53,MATCH(AI6,$DP$6:$DP$53,0))</f>
        <v>1</v>
      </c>
      <c r="AV6" s="170" t="str">
        <f ca="1">INDEX($BD$6:$BD$53,MATCH(AI6,$BM$6:$BM$53,0))</f>
        <v>México</v>
      </c>
      <c r="AW6" s="198"/>
      <c r="AX6" s="159"/>
      <c r="AY6" s="189" t="str">
        <f ca="1">+A5</f>
        <v>México</v>
      </c>
      <c r="AZ6" s="190"/>
      <c r="BA6" s="164"/>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2</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 customHeight="1" thickBo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5"/>
      <c r="X7" s="24">
        <f ca="1">Horarios!C7</f>
        <v>46192.125</v>
      </c>
      <c r="Y7" s="25">
        <f ca="1">Horarios!C7</f>
        <v>46192.125</v>
      </c>
      <c r="Z7" s="26" t="str">
        <f>$Z$6</f>
        <v>J2</v>
      </c>
      <c r="AA7" s="27" t="str">
        <f ca="1">A5</f>
        <v>México</v>
      </c>
      <c r="AB7" s="49" t="e" cm="1" vm="1">
        <f t="array" aca="1" ref="AB7" ca="1">Ver_flag_local</f>
        <v>#VALUE!</v>
      </c>
      <c r="AC7" s="700">
        <v>1</v>
      </c>
      <c r="AD7" s="701">
        <v>1</v>
      </c>
      <c r="AE7" s="569" t="e" cm="1" vm="3">
        <f t="array" aca="1" ref="AE7" ca="1">Ver_flag_visit</f>
        <v>#VALUE!</v>
      </c>
      <c r="AF7" s="32" t="str">
        <f ca="1">A7</f>
        <v>Corea del Sur</v>
      </c>
      <c r="AG7" s="304">
        <f t="shared" si="13"/>
        <v>1</v>
      </c>
      <c r="AH7" s="183">
        <v>28</v>
      </c>
      <c r="AI7" s="169" t="str">
        <f>AJ7&amp;$B$4</f>
        <v>2A</v>
      </c>
      <c r="AJ7" s="42">
        <v>2</v>
      </c>
      <c r="AK7" s="572"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4</v>
      </c>
      <c r="AS7" s="39">
        <f t="shared" ca="1" si="15"/>
        <v>3</v>
      </c>
      <c r="AT7" s="43">
        <f t="shared" ca="1" si="15"/>
        <v>1</v>
      </c>
      <c r="AU7" s="311">
        <f ca="1">INDEX($DL$6:$DL$53,MATCH(AI7,$DP$6:$DP$53,0))</f>
        <v>1</v>
      </c>
      <c r="AV7" s="170" t="str">
        <f ca="1">INDEX($BD$6:$BD$53,MATCH(AI7,$BM$6:$BM$53,0))</f>
        <v>Corea del Sur</v>
      </c>
      <c r="AW7" s="198"/>
      <c r="AX7" s="159"/>
      <c r="AY7" s="191" t="str">
        <f ca="1">+A6</f>
        <v>Sudáfrica</v>
      </c>
      <c r="AZ7" s="192"/>
      <c r="BA7" s="164"/>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2</v>
      </c>
      <c r="BK7" s="16">
        <f t="shared" ca="1" si="21"/>
        <v>6</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 customHeight="1" thickBo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5"/>
      <c r="X8" s="24">
        <f ca="1">Horarios!C8</f>
        <v>46198.125</v>
      </c>
      <c r="Y8" s="25">
        <f ca="1">Horarios!C8</f>
        <v>46198.125</v>
      </c>
      <c r="Z8" s="26" t="str">
        <f>Idiomas!D63</f>
        <v>J3</v>
      </c>
      <c r="AA8" s="27" t="str">
        <f ca="1">A8</f>
        <v>República Checa</v>
      </c>
      <c r="AB8" s="49" t="e" cm="1" vm="4">
        <f t="array" aca="1" ref="AB8" ca="1">Ver_flag_local</f>
        <v>#VALUE!</v>
      </c>
      <c r="AC8" s="700">
        <v>0</v>
      </c>
      <c r="AD8" s="701">
        <v>2</v>
      </c>
      <c r="AE8" s="569" t="e" cm="1" vm="1">
        <f t="array" aca="1" ref="AE8" ca="1">Ver_flag_visit</f>
        <v>#VALUE!</v>
      </c>
      <c r="AF8" s="32" t="str">
        <f ca="1">A5</f>
        <v>México</v>
      </c>
      <c r="AG8" s="304">
        <f t="shared" si="13"/>
        <v>1</v>
      </c>
      <c r="AH8" s="183">
        <v>53</v>
      </c>
      <c r="AI8" s="169" t="str">
        <f>AJ8&amp;$B$4</f>
        <v>3A</v>
      </c>
      <c r="AJ8" s="42">
        <v>3</v>
      </c>
      <c r="AK8" s="572"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3</v>
      </c>
      <c r="AS8" s="39">
        <f t="shared" ca="1" si="15"/>
        <v>3</v>
      </c>
      <c r="AT8" s="43">
        <f t="shared" ca="1" si="15"/>
        <v>0</v>
      </c>
      <c r="AU8" s="311">
        <f ca="1">INDEX($DL$6:$DL$53,MATCH(AI8,$DP$6:$DP$53,0))</f>
        <v>1</v>
      </c>
      <c r="AV8" s="170" t="str">
        <f ca="1">INDEX($BD$6:$BD$53,MATCH(AI8,$BM$6:$BM$53,0))</f>
        <v>República Checa</v>
      </c>
      <c r="AW8" s="198"/>
      <c r="AX8" s="159"/>
      <c r="AY8" s="189" t="str">
        <f ca="1">+A7</f>
        <v>Corea del Sur</v>
      </c>
      <c r="AZ8" s="190"/>
      <c r="BA8" s="164"/>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4</v>
      </c>
      <c r="BK8" s="16">
        <f t="shared" ca="1" si="21"/>
        <v>3</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6"/>
      <c r="X9" s="28">
        <f ca="1">Horarios!C9</f>
        <v>46198.125</v>
      </c>
      <c r="Y9" s="29">
        <f ca="1">Horarios!C9</f>
        <v>46198.125</v>
      </c>
      <c r="Z9" s="30" t="str">
        <f>$Z$8</f>
        <v>J3</v>
      </c>
      <c r="AA9" s="31" t="str">
        <f ca="1">A6</f>
        <v>Sudáfrica</v>
      </c>
      <c r="AB9" s="50" t="e" cm="1" vm="2">
        <f t="array" aca="1" ref="AB9" ca="1">Ver_flag_local</f>
        <v>#VALUE!</v>
      </c>
      <c r="AC9" s="700">
        <v>1</v>
      </c>
      <c r="AD9" s="701">
        <v>2</v>
      </c>
      <c r="AE9" s="570" t="e" cm="1" vm="3">
        <f t="array" aca="1" ref="AE9" ca="1">Ver_flag_visit</f>
        <v>#VALUE!</v>
      </c>
      <c r="AF9" s="33" t="str">
        <f ca="1">A7</f>
        <v>Corea del Sur</v>
      </c>
      <c r="AG9" s="304">
        <f t="shared" si="13"/>
        <v>1</v>
      </c>
      <c r="AH9" s="183">
        <v>54</v>
      </c>
      <c r="AI9" s="169" t="str">
        <f>AJ9&amp;$B$4</f>
        <v>4A</v>
      </c>
      <c r="AJ9" s="44">
        <v>4</v>
      </c>
      <c r="AK9" s="573"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2</v>
      </c>
      <c r="AS9" s="47">
        <f t="shared" ca="1" si="15"/>
        <v>6</v>
      </c>
      <c r="AT9" s="48">
        <f t="shared" ca="1" si="15"/>
        <v>-4</v>
      </c>
      <c r="AU9" s="311">
        <f ca="1">INDEX($DL$6:$DL$53,MATCH(AI9,$DP$6:$DP$53,0))</f>
        <v>1</v>
      </c>
      <c r="AV9" s="170" t="str">
        <f ca="1">INDEX($BD$6:$BD$53,MATCH(AI9,$BM$6:$BM$53,0))</f>
        <v>Sudáfrica</v>
      </c>
      <c r="AW9" s="198"/>
      <c r="AX9" s="159"/>
      <c r="AY9" s="193" t="str">
        <f ca="1">+A8</f>
        <v>República Checa</v>
      </c>
      <c r="AZ9" s="194"/>
      <c r="BA9" s="164"/>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3</v>
      </c>
      <c r="BK9" s="16">
        <f t="shared" ca="1" si="21"/>
        <v>3</v>
      </c>
      <c r="BL9" s="16">
        <f t="shared" ca="1" si="42"/>
        <v>0</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42"/>
      <c r="X10" s="143"/>
      <c r="Y10" s="142"/>
      <c r="Z10" s="144"/>
      <c r="AA10" s="145"/>
      <c r="AB10" s="146"/>
      <c r="AC10" s="139"/>
      <c r="AD10" s="139"/>
      <c r="AE10" s="146"/>
      <c r="AF10" s="147"/>
      <c r="AG10" s="304"/>
      <c r="AH10" s="183"/>
      <c r="AI10" s="169"/>
      <c r="AJ10" s="148"/>
      <c r="AK10" s="149"/>
      <c r="AL10" s="150"/>
      <c r="AM10" s="151"/>
      <c r="AN10" s="148"/>
      <c r="AO10" s="148"/>
      <c r="AP10" s="148"/>
      <c r="AQ10" s="148"/>
      <c r="AR10" s="148"/>
      <c r="AS10" s="148"/>
      <c r="AT10" s="148"/>
      <c r="AU10" s="311"/>
      <c r="AV10" s="177"/>
      <c r="AW10" s="199"/>
      <c r="AX10" s="159"/>
      <c r="AY10" s="142"/>
      <c r="AZ10" s="143"/>
      <c r="BA10" s="164"/>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2</v>
      </c>
      <c r="BL10" s="16">
        <f t="shared" ca="1" si="42"/>
        <v>3</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3</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5" t="str">
        <f>X3</f>
        <v>Fecha</v>
      </c>
      <c r="Y11" s="65" t="str">
        <f>Y3</f>
        <v>Hora</v>
      </c>
      <c r="Z11" s="51" t="str">
        <f>Z3</f>
        <v>Jor.</v>
      </c>
      <c r="AA11" s="53" t="str">
        <f>AA3</f>
        <v>Casa</v>
      </c>
      <c r="AB11" s="52"/>
      <c r="AC11" s="51" t="str">
        <f>AC3</f>
        <v>Gol</v>
      </c>
      <c r="AD11" s="51" t="str">
        <f>AD3</f>
        <v>Gol</v>
      </c>
      <c r="AE11" s="52"/>
      <c r="AF11" s="54" t="str">
        <f>AF3</f>
        <v>Fuera</v>
      </c>
      <c r="AG11" s="305"/>
      <c r="AH11" s="183"/>
      <c r="AI11" s="167"/>
      <c r="AJ11" s="150"/>
      <c r="AK11" s="574"/>
      <c r="AL11" s="150"/>
      <c r="AM11" s="150"/>
      <c r="AN11" s="150"/>
      <c r="AO11" s="150"/>
      <c r="AP11" s="150"/>
      <c r="AQ11" s="150"/>
      <c r="AR11" s="150"/>
      <c r="AS11" s="150"/>
      <c r="AT11" s="150"/>
      <c r="AU11" s="312"/>
      <c r="AV11" s="176"/>
      <c r="AW11" s="200"/>
      <c r="AX11" s="160"/>
      <c r="AY11" s="142"/>
      <c r="AZ11" s="143"/>
      <c r="BA11" s="164"/>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2</v>
      </c>
      <c r="BK11" s="16">
        <f t="shared" ca="1" si="21"/>
        <v>5</v>
      </c>
      <c r="BL11" s="16">
        <f t="shared" ca="1" si="42"/>
        <v>-3</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37" t="s">
        <v>1</v>
      </c>
      <c r="X12" s="24">
        <f ca="1">Horarios!C12</f>
        <v>46185.875</v>
      </c>
      <c r="Y12" s="25">
        <f ca="1">Horarios!C12</f>
        <v>46185.875</v>
      </c>
      <c r="Z12" s="26" t="str">
        <f>$Z$4</f>
        <v>J1</v>
      </c>
      <c r="AA12" s="27" t="str">
        <f ca="1">A13</f>
        <v>Canadá</v>
      </c>
      <c r="AB12" s="49" t="e" cm="1" vm="5">
        <f t="array" aca="1" ref="AB12" ca="1">Ver_flag_local</f>
        <v>#VALUE!</v>
      </c>
      <c r="AC12" s="700">
        <v>2</v>
      </c>
      <c r="AD12" s="701">
        <v>0</v>
      </c>
      <c r="AE12" s="569" t="e" cm="1" vm="6">
        <f t="array" aca="1" ref="AE12" ca="1">Ver_flag_visit</f>
        <v>#VALUE!</v>
      </c>
      <c r="AF12" s="32" t="str">
        <f ca="1">A14</f>
        <v>Bosnia y Herzegovina</v>
      </c>
      <c r="AG12" s="304">
        <f t="shared" ref="AG12:AG17" si="66">IF(NOT(OR(ISBLANK(AC12),ISBLANK(AD12))),1,0)</f>
        <v>1</v>
      </c>
      <c r="AH12" s="183">
        <v>3</v>
      </c>
      <c r="AI12" s="169"/>
      <c r="AJ12" s="55" t="str">
        <f>CONCATENATE(AJ3," ",B12)</f>
        <v>Grupo B</v>
      </c>
      <c r="AK12" s="56"/>
      <c r="AL12" s="56"/>
      <c r="AM12" s="56"/>
      <c r="AN12" s="56"/>
      <c r="AO12" s="56"/>
      <c r="AP12" s="56"/>
      <c r="AQ12" s="56"/>
      <c r="AR12" s="56"/>
      <c r="AS12" s="56"/>
      <c r="AT12" s="57"/>
      <c r="AU12" s="312"/>
      <c r="AV12" s="268" t="str">
        <f ca="1">IF(AU13&gt;0,$AV$3,"")</f>
        <v/>
      </c>
      <c r="AW12" s="161"/>
      <c r="AX12" s="161"/>
      <c r="AY12" s="142"/>
      <c r="AZ12" s="143"/>
      <c r="BA12" s="164"/>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2</v>
      </c>
      <c r="BK12" s="16">
        <f t="shared" ca="1" si="21"/>
        <v>6</v>
      </c>
      <c r="BL12" s="16">
        <f t="shared" ca="1" si="42"/>
        <v>-4</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thickBo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37"/>
      <c r="X13" s="24">
        <f ca="1">Horarios!C13</f>
        <v>46186.875</v>
      </c>
      <c r="Y13" s="25">
        <f ca="1">Horarios!C13</f>
        <v>46186.875</v>
      </c>
      <c r="Z13" s="26" t="str">
        <f>$Z$4</f>
        <v>J1</v>
      </c>
      <c r="AA13" s="27" t="str">
        <f ca="1">A15</f>
        <v>Catar</v>
      </c>
      <c r="AB13" s="49" t="e" cm="1" vm="7">
        <f t="array" aca="1" ref="AB13" ca="1">Ver_flag_local</f>
        <v>#VALUE!</v>
      </c>
      <c r="AC13" s="700">
        <v>0</v>
      </c>
      <c r="AD13" s="701">
        <v>2</v>
      </c>
      <c r="AE13" s="569" t="e" cm="1" vm="8">
        <f t="array" aca="1" ref="AE13" ca="1">Ver_flag_visit</f>
        <v>#VALUE!</v>
      </c>
      <c r="AF13" s="32" t="str">
        <f ca="1">A16</f>
        <v>Suiza</v>
      </c>
      <c r="AG13" s="304">
        <f t="shared" si="66"/>
        <v>1</v>
      </c>
      <c r="AH13" s="183">
        <v>8</v>
      </c>
      <c r="AI13" s="169"/>
      <c r="AJ13" s="58" t="str">
        <f>AJ5</f>
        <v>Pos</v>
      </c>
      <c r="AK13" s="59"/>
      <c r="AL13" s="60" t="str">
        <f t="shared" ref="AL13:AT13" si="67">AL5</f>
        <v>Selección</v>
      </c>
      <c r="AM13" s="59" t="str">
        <f t="shared" si="67"/>
        <v>Pts</v>
      </c>
      <c r="AN13" s="59" t="str">
        <f t="shared" si="67"/>
        <v>J</v>
      </c>
      <c r="AO13" s="59" t="str">
        <f t="shared" si="67"/>
        <v>G</v>
      </c>
      <c r="AP13" s="59" t="str">
        <f t="shared" si="67"/>
        <v>E</v>
      </c>
      <c r="AQ13" s="59" t="str">
        <f t="shared" si="67"/>
        <v>P</v>
      </c>
      <c r="AR13" s="59" t="str">
        <f t="shared" si="67"/>
        <v>GF</v>
      </c>
      <c r="AS13" s="59" t="str">
        <f t="shared" si="67"/>
        <v>GC</v>
      </c>
      <c r="AT13" s="61" t="str">
        <f t="shared" si="67"/>
        <v>DG</v>
      </c>
      <c r="AU13" s="312">
        <f t="shared" ref="AU13" ca="1" si="68">COUNTIF(AU14:AU17,"&gt;1")</f>
        <v>0</v>
      </c>
      <c r="AV13" s="180"/>
      <c r="AW13" s="155"/>
      <c r="AX13" s="155"/>
      <c r="AY13" s="195" t="str">
        <f>AL13</f>
        <v>Selección</v>
      </c>
      <c r="AZ13" s="196" t="str">
        <f>+Idiomas!$D$67</f>
        <v>Puntos penalizados</v>
      </c>
      <c r="BA13" s="164"/>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5</v>
      </c>
      <c r="BK13" s="16">
        <f t="shared" ca="1" si="21"/>
        <v>1</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 customHeight="1" thickBo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37"/>
      <c r="X14" s="24">
        <f ca="1">Horarios!C14</f>
        <v>46191.875</v>
      </c>
      <c r="Y14" s="25">
        <f ca="1">Horarios!C14</f>
        <v>46191.875</v>
      </c>
      <c r="Z14" s="26" t="str">
        <f>$Z$6</f>
        <v>J2</v>
      </c>
      <c r="AA14" s="27" t="str">
        <f ca="1">A16</f>
        <v>Suiza</v>
      </c>
      <c r="AB14" s="49" t="e" cm="1" vm="8">
        <f t="array" aca="1" ref="AB14" ca="1">Ver_flag_local</f>
        <v>#VALUE!</v>
      </c>
      <c r="AC14" s="700">
        <v>2</v>
      </c>
      <c r="AD14" s="701">
        <v>0</v>
      </c>
      <c r="AE14" s="569" t="e" cm="1" vm="6">
        <f t="array" aca="1" ref="AE14" ca="1">Ver_flag_visit</f>
        <v>#VALUE!</v>
      </c>
      <c r="AF14" s="32" t="str">
        <f ca="1">A14</f>
        <v>Bosnia y Herzegovina</v>
      </c>
      <c r="AG14" s="304">
        <f t="shared" si="66"/>
        <v>1</v>
      </c>
      <c r="AH14" s="183">
        <v>26</v>
      </c>
      <c r="AI14" s="169" t="str">
        <f>AJ14&amp;$B$12</f>
        <v>1B</v>
      </c>
      <c r="AJ14" s="67">
        <v>1</v>
      </c>
      <c r="AK14" s="575"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1</v>
      </c>
      <c r="AT14" s="68">
        <f t="shared" ca="1" si="69"/>
        <v>4</v>
      </c>
      <c r="AU14" s="311">
        <f ca="1">INDEX($DL$6:$DL$53,MATCH(AI14,$DP$6:$DP$53,0))</f>
        <v>1</v>
      </c>
      <c r="AV14" s="170" t="str">
        <f ca="1">INDEX($BD$6:$BD$53,MATCH(AI14,$BM$6:$BM$53,0))</f>
        <v>Suiza</v>
      </c>
      <c r="AW14" s="198"/>
      <c r="AX14" s="159"/>
      <c r="AY14" s="189" t="str">
        <f ca="1">+A13</f>
        <v>Canadá</v>
      </c>
      <c r="AZ14" s="190"/>
      <c r="BA14" s="164"/>
      <c r="BC14" s="16" t="str">
        <f ca="1">+INDEX(T_Equipos[Grupo],MATCH(WORLDCUP!BD14,T_Equipos[NombreEquipo],0))</f>
        <v>C</v>
      </c>
      <c r="BD14" s="16" t="str">
        <f ca="1">+Equipos!B10</f>
        <v>Brasil</v>
      </c>
      <c r="BE14" s="16">
        <f t="shared" ca="1" si="16"/>
        <v>4</v>
      </c>
      <c r="BF14" s="16">
        <f t="shared" ca="1" si="41"/>
        <v>3</v>
      </c>
      <c r="BG14" s="16">
        <f t="shared" ca="1" si="17"/>
        <v>1</v>
      </c>
      <c r="BH14" s="16">
        <f t="shared" ca="1" si="18"/>
        <v>1</v>
      </c>
      <c r="BI14" s="16">
        <f t="shared" ca="1" si="19"/>
        <v>1</v>
      </c>
      <c r="BJ14" s="16">
        <f t="shared" ca="1" si="20"/>
        <v>5</v>
      </c>
      <c r="BK14" s="16">
        <f t="shared" ca="1" si="21"/>
        <v>4</v>
      </c>
      <c r="BL14" s="16">
        <f t="shared" ca="1" si="42"/>
        <v>1</v>
      </c>
      <c r="BM14" s="16" t="str">
        <f t="shared" ca="1" si="22"/>
        <v>3C</v>
      </c>
      <c r="BN14" s="16" t="str">
        <f t="shared" ca="1" si="23"/>
        <v>3C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4</v>
      </c>
      <c r="BS14" s="16">
        <f ca="1">BP14+COUNTIFS($BQ$6:$BQ$53,BQ14,$BR$6:BR$53,"&gt;"&amp;BR14,$BC$6:$BC$53,INDEX(T_Equipos[Grupo],MATCH(BD14,T_Equipos[NombreEquipo],0)))</f>
        <v>3</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3</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3</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3</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3</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3</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3</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3</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3</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3</v>
      </c>
      <c r="DE14" s="16"/>
      <c r="DF14" s="16">
        <f t="shared" ca="1" si="52"/>
        <v>3</v>
      </c>
      <c r="DG14" s="16" t="str">
        <f ca="1">IF(DB14="-","-",COUNTIFS(DF$6:DF$53,"&lt;"&amp;DF14,$BC$6:$BC$53,INDEX(T_Equipos[Grupo],MATCH(BD14,T_Equipos[NombreEquipo],0))))</f>
        <v>-</v>
      </c>
      <c r="DH14" s="16">
        <f ca="1">DA14+COUNTIFS(DB$6:DB$53,DB14,DG$6:DG$53,"&lt;"&amp;DG14,$BC$6:$BC$53,INDEX(T_Equipos[Grupo],MATCH(BD14,T_Equipos[NombreEquipo],0)))</f>
        <v>3</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Marruecos</v>
      </c>
    </row>
    <row r="15" spans="1:121" ht="16" customHeight="1" thickBo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37"/>
      <c r="X15" s="24">
        <f ca="1">Horarios!C15</f>
        <v>46192</v>
      </c>
      <c r="Y15" s="25">
        <f ca="1">Horarios!C15</f>
        <v>46192</v>
      </c>
      <c r="Z15" s="26" t="str">
        <f>$Z$6</f>
        <v>J2</v>
      </c>
      <c r="AA15" s="27" t="str">
        <f ca="1">A13</f>
        <v>Canadá</v>
      </c>
      <c r="AB15" s="49" t="e" cm="1" vm="5">
        <f t="array" aca="1" ref="AB15" ca="1">Ver_flag_local</f>
        <v>#VALUE!</v>
      </c>
      <c r="AC15" s="700">
        <v>2</v>
      </c>
      <c r="AD15" s="701">
        <v>1</v>
      </c>
      <c r="AE15" s="569" t="e" cm="1" vm="7">
        <f t="array" aca="1" ref="AE15" ca="1">Ver_flag_visit</f>
        <v>#VALUE!</v>
      </c>
      <c r="AF15" s="32" t="str">
        <f ca="1">A15</f>
        <v>Catar</v>
      </c>
      <c r="AG15" s="304">
        <f t="shared" si="66"/>
        <v>1</v>
      </c>
      <c r="AH15" s="183">
        <v>27</v>
      </c>
      <c r="AI15" s="169" t="str">
        <f t="shared" ref="AI15:AI17" si="70">AJ15&amp;$B$12</f>
        <v>2B</v>
      </c>
      <c r="AJ15" s="69">
        <v>2</v>
      </c>
      <c r="AK15" s="576" t="e" cm="1" vm="5">
        <f t="array" aca="1" ref="AK15" ca="1">Ver_flag_visit</f>
        <v>#VALUE!</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5</v>
      </c>
      <c r="AS15" s="39">
        <f t="shared" ca="1" si="69"/>
        <v>2</v>
      </c>
      <c r="AT15" s="70">
        <f t="shared" ca="1" si="69"/>
        <v>3</v>
      </c>
      <c r="AU15" s="311">
        <f ca="1">INDEX($DL$6:$DL$53,MATCH(AI15,$DP$6:$DP$53,0))</f>
        <v>1</v>
      </c>
      <c r="AV15" s="170" t="str">
        <f ca="1">INDEX($BD$6:$BD$53,MATCH(AI15,$BM$6:$BM$53,0))</f>
        <v>Canadá</v>
      </c>
      <c r="AW15" s="198"/>
      <c r="AX15" s="159"/>
      <c r="AY15" s="191" t="str">
        <f ca="1">+A14</f>
        <v>Bosnia y Herzegovina</v>
      </c>
      <c r="AZ15" s="192"/>
      <c r="BA15" s="164"/>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Escocia</v>
      </c>
    </row>
    <row r="16" spans="1:121" ht="16" customHeight="1" thickBo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37"/>
      <c r="X16" s="24">
        <f ca="1">Horarios!C16</f>
        <v>46197.875</v>
      </c>
      <c r="Y16" s="25">
        <f ca="1">Horarios!C16</f>
        <v>46197.875</v>
      </c>
      <c r="Z16" s="26" t="str">
        <f>$Z$8</f>
        <v>J3</v>
      </c>
      <c r="AA16" s="27" t="str">
        <f ca="1">A16</f>
        <v>Suiza</v>
      </c>
      <c r="AB16" s="49" t="e" cm="1" vm="8">
        <f t="array" aca="1" ref="AB16" ca="1">Ver_flag_local</f>
        <v>#VALUE!</v>
      </c>
      <c r="AC16" s="700">
        <v>1</v>
      </c>
      <c r="AD16" s="701">
        <v>1</v>
      </c>
      <c r="AE16" s="569" t="e" cm="1" vm="5">
        <f t="array" aca="1" ref="AE16" ca="1">Ver_flag_visit</f>
        <v>#VALUE!</v>
      </c>
      <c r="AF16" s="32" t="str">
        <f ca="1">A13</f>
        <v>Canadá</v>
      </c>
      <c r="AG16" s="304">
        <f t="shared" si="66"/>
        <v>1</v>
      </c>
      <c r="AH16" s="183">
        <v>51</v>
      </c>
      <c r="AI16" s="169" t="str">
        <f t="shared" si="70"/>
        <v>3B</v>
      </c>
      <c r="AJ16" s="69">
        <v>3</v>
      </c>
      <c r="AK16" s="576"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2</v>
      </c>
      <c r="AS16" s="39">
        <f t="shared" ca="1" si="69"/>
        <v>5</v>
      </c>
      <c r="AT16" s="70">
        <f t="shared" ca="1" si="69"/>
        <v>-3</v>
      </c>
      <c r="AU16" s="311">
        <f ca="1">INDEX($DL$6:$DL$53,MATCH(AI16,$DP$6:$DP$53,0))</f>
        <v>1</v>
      </c>
      <c r="AV16" s="170" t="str">
        <f ca="1">INDEX($BD$6:$BD$53,MATCH(AI16,$BM$6:$BM$53,0))</f>
        <v>Bosnia y Herzegovina</v>
      </c>
      <c r="AW16" s="198"/>
      <c r="AX16" s="159"/>
      <c r="AY16" s="189" t="str">
        <f ca="1">+A15</f>
        <v>Catar</v>
      </c>
      <c r="AZ16" s="190"/>
      <c r="BA16" s="164"/>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7</v>
      </c>
      <c r="BL16" s="16">
        <f t="shared" ca="1" si="42"/>
        <v>-7</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Brasil</v>
      </c>
    </row>
    <row r="17" spans="1:121" ht="16"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38"/>
      <c r="X17" s="28">
        <f ca="1">Horarios!C17</f>
        <v>46197.875</v>
      </c>
      <c r="Y17" s="29">
        <f ca="1">Horarios!C17</f>
        <v>46197.875</v>
      </c>
      <c r="Z17" s="30" t="str">
        <f>$Z$8</f>
        <v>J3</v>
      </c>
      <c r="AA17" s="31" t="str">
        <f ca="1">A14</f>
        <v>Bosnia y Herzegovina</v>
      </c>
      <c r="AB17" s="50" t="e" cm="1" vm="6">
        <f t="array" aca="1" ref="AB17" ca="1">Ver_flag_local</f>
        <v>#VALUE!</v>
      </c>
      <c r="AC17" s="700">
        <v>2</v>
      </c>
      <c r="AD17" s="701">
        <v>1</v>
      </c>
      <c r="AE17" s="570" t="e" cm="1" vm="7">
        <f t="array" aca="1" ref="AE17" ca="1">Ver_flag_visit</f>
        <v>#VALUE!</v>
      </c>
      <c r="AF17" s="33" t="str">
        <f ca="1">A15</f>
        <v>Catar</v>
      </c>
      <c r="AG17" s="304">
        <f t="shared" si="66"/>
        <v>1</v>
      </c>
      <c r="AH17" s="183">
        <v>52</v>
      </c>
      <c r="AI17" s="169" t="str">
        <f t="shared" si="70"/>
        <v>4B</v>
      </c>
      <c r="AJ17" s="71">
        <v>4</v>
      </c>
      <c r="AK17" s="577" t="e" cm="1" vm="7">
        <f t="array" aca="1" ref="AK17" ca="1">Ver_flag_visit</f>
        <v>#VALUE!</v>
      </c>
      <c r="AL17" s="72" t="str">
        <f ca="1">IFERROR(INDEX($BD$6:$BD$53,MATCH(AI17,$BN$6:$BN$53,0)),"")</f>
        <v>Catar</v>
      </c>
      <c r="AM17" s="73">
        <f t="shared" ca="1" si="69"/>
        <v>0</v>
      </c>
      <c r="AN17" s="74">
        <f t="shared" ca="1" si="69"/>
        <v>3</v>
      </c>
      <c r="AO17" s="74">
        <f t="shared" ca="1" si="69"/>
        <v>0</v>
      </c>
      <c r="AP17" s="74">
        <f t="shared" ca="1" si="69"/>
        <v>0</v>
      </c>
      <c r="AQ17" s="74">
        <f t="shared" ca="1" si="69"/>
        <v>3</v>
      </c>
      <c r="AR17" s="74">
        <f t="shared" ca="1" si="69"/>
        <v>2</v>
      </c>
      <c r="AS17" s="74">
        <f t="shared" ca="1" si="69"/>
        <v>6</v>
      </c>
      <c r="AT17" s="75">
        <f t="shared" ca="1" si="69"/>
        <v>-4</v>
      </c>
      <c r="AU17" s="311">
        <f ca="1">INDEX($DL$6:$DL$53,MATCH(AI17,$DP$6:$DP$53,0))</f>
        <v>1</v>
      </c>
      <c r="AV17" s="170" t="str">
        <f ca="1">INDEX($BD$6:$BD$53,MATCH(AI17,$BM$6:$BM$53,0))</f>
        <v>Catar</v>
      </c>
      <c r="AW17" s="198"/>
      <c r="AX17" s="159"/>
      <c r="AY17" s="193" t="str">
        <f ca="1">+A16</f>
        <v>Suiza</v>
      </c>
      <c r="AZ17" s="194"/>
      <c r="BA17" s="164"/>
      <c r="BC17" s="16" t="str">
        <f ca="1">+INDEX(T_Equipos[Grupo],MATCH(WORLDCUP!BD17,T_Equipos[NombreEquipo],0))</f>
        <v>C</v>
      </c>
      <c r="BD17" s="16" t="str">
        <f ca="1">+Equipos!B13</f>
        <v>Escocia</v>
      </c>
      <c r="BE17" s="16">
        <f t="shared" ca="1" si="16"/>
        <v>6</v>
      </c>
      <c r="BF17" s="16">
        <f t="shared" ca="1" si="41"/>
        <v>3</v>
      </c>
      <c r="BG17" s="16">
        <f t="shared" ca="1" si="17"/>
        <v>2</v>
      </c>
      <c r="BH17" s="16">
        <f t="shared" ca="1" si="18"/>
        <v>0</v>
      </c>
      <c r="BI17" s="16">
        <f t="shared" ca="1" si="19"/>
        <v>1</v>
      </c>
      <c r="BJ17" s="16">
        <f t="shared" ca="1" si="20"/>
        <v>5</v>
      </c>
      <c r="BK17" s="16">
        <f t="shared" ca="1" si="21"/>
        <v>2</v>
      </c>
      <c r="BL17" s="16">
        <f t="shared" ca="1" si="42"/>
        <v>3</v>
      </c>
      <c r="BM17" s="16" t="str">
        <f t="shared" ca="1" si="22"/>
        <v>2C</v>
      </c>
      <c r="BN17" s="16" t="str">
        <f t="shared" ca="1" si="23"/>
        <v>2C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6</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52"/>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42"/>
      <c r="X18" s="143"/>
      <c r="Y18" s="142"/>
      <c r="Z18" s="144"/>
      <c r="AA18" s="145"/>
      <c r="AB18" s="146"/>
      <c r="AC18" s="139"/>
      <c r="AD18" s="139"/>
      <c r="AE18" s="146"/>
      <c r="AF18" s="147"/>
      <c r="AG18" s="306"/>
      <c r="AH18" s="183"/>
      <c r="AI18" s="168"/>
      <c r="AJ18" s="148"/>
      <c r="AK18" s="149"/>
      <c r="AL18" s="150"/>
      <c r="AM18" s="151"/>
      <c r="AN18" s="148"/>
      <c r="AO18" s="148"/>
      <c r="AP18" s="148"/>
      <c r="AQ18" s="148"/>
      <c r="AR18" s="148"/>
      <c r="AS18" s="148"/>
      <c r="AT18" s="148"/>
      <c r="AU18" s="311"/>
      <c r="AV18" s="177"/>
      <c r="AW18" s="199"/>
      <c r="AX18" s="159"/>
      <c r="AY18" s="142"/>
      <c r="AZ18" s="143"/>
      <c r="BA18" s="164"/>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4</v>
      </c>
      <c r="BK18" s="16">
        <f t="shared" ca="1" si="21"/>
        <v>4</v>
      </c>
      <c r="BL18" s="16">
        <f t="shared" ca="1" si="42"/>
        <v>0</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5" t="str">
        <f>X3</f>
        <v>Fecha</v>
      </c>
      <c r="Y19" s="65" t="str">
        <f>Y3</f>
        <v>Hora</v>
      </c>
      <c r="Z19" s="51" t="str">
        <f>Z3</f>
        <v>Jor.</v>
      </c>
      <c r="AA19" s="53" t="str">
        <f>AA3</f>
        <v>Casa</v>
      </c>
      <c r="AB19" s="52"/>
      <c r="AC19" s="51" t="str">
        <f>AC3</f>
        <v>Gol</v>
      </c>
      <c r="AD19" s="51" t="str">
        <f>AD3</f>
        <v>Gol</v>
      </c>
      <c r="AE19" s="52"/>
      <c r="AF19" s="54" t="str">
        <f>AF3</f>
        <v>Fuera</v>
      </c>
      <c r="AG19" s="305"/>
      <c r="AH19" s="183"/>
      <c r="AI19" s="167"/>
      <c r="AJ19" s="150"/>
      <c r="AK19" s="574"/>
      <c r="AL19" s="150"/>
      <c r="AM19" s="150"/>
      <c r="AN19" s="150"/>
      <c r="AO19" s="150"/>
      <c r="AP19" s="150"/>
      <c r="AQ19" s="150"/>
      <c r="AR19" s="150"/>
      <c r="AS19" s="150"/>
      <c r="AT19" s="150"/>
      <c r="AU19" s="312"/>
      <c r="AV19" s="176"/>
      <c r="AW19" s="200"/>
      <c r="AX19" s="160"/>
      <c r="AY19" s="142"/>
      <c r="AZ19" s="143"/>
      <c r="BA19" s="164"/>
      <c r="BC19" s="16" t="str">
        <f ca="1">+INDEX(T_Equipos[Grupo],MATCH(WORLDCUP!BD19,T_Equipos[NombreEquipo],0))</f>
        <v>D</v>
      </c>
      <c r="BD19" s="16" t="str">
        <f ca="1">+Equipos!B15</f>
        <v>Paraguay</v>
      </c>
      <c r="BE19" s="16">
        <f t="shared" ca="1" si="16"/>
        <v>2</v>
      </c>
      <c r="BF19" s="16">
        <f t="shared" ca="1" si="41"/>
        <v>3</v>
      </c>
      <c r="BG19" s="16">
        <f t="shared" ca="1" si="17"/>
        <v>0</v>
      </c>
      <c r="BH19" s="16">
        <f t="shared" ca="1" si="18"/>
        <v>2</v>
      </c>
      <c r="BI19" s="16">
        <f t="shared" ca="1" si="19"/>
        <v>1</v>
      </c>
      <c r="BJ19" s="16">
        <f t="shared" ca="1" si="20"/>
        <v>4</v>
      </c>
      <c r="BK19" s="16">
        <f t="shared" ca="1" si="21"/>
        <v>5</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2</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6" t="s">
        <v>2</v>
      </c>
      <c r="X20" s="24">
        <f ca="1">Horarios!C20</f>
        <v>46187</v>
      </c>
      <c r="Y20" s="25">
        <f ca="1">Horarios!C20</f>
        <v>46187</v>
      </c>
      <c r="Z20" s="26" t="str">
        <f>$Z$4</f>
        <v>J1</v>
      </c>
      <c r="AA20" s="27" t="str">
        <f ca="1">A21</f>
        <v>Brasil</v>
      </c>
      <c r="AB20" s="49" t="e" cm="1" vm="9">
        <f t="array" aca="1" ref="AB20" ca="1">Ver_flag_local</f>
        <v>#VALUE!</v>
      </c>
      <c r="AC20" s="700">
        <v>2</v>
      </c>
      <c r="AD20" s="701">
        <v>2</v>
      </c>
      <c r="AE20" s="569" t="e" cm="1" vm="10">
        <f t="array" aca="1" ref="AE20" ca="1">Ver_flag_visit</f>
        <v>#VALUE!</v>
      </c>
      <c r="AF20" s="32" t="str">
        <f ca="1">A22</f>
        <v>Marruecos</v>
      </c>
      <c r="AG20" s="304">
        <f t="shared" ref="AG20:AG25" si="84">IF(NOT(OR(ISBLANK(AC20),ISBLANK(AD20))),1,0)</f>
        <v>1</v>
      </c>
      <c r="AH20" s="183">
        <v>7</v>
      </c>
      <c r="AI20" s="169"/>
      <c r="AJ20" s="55" t="str">
        <f>CONCATENATE(AJ3," ",B20)</f>
        <v>Grupo C</v>
      </c>
      <c r="AK20" s="56"/>
      <c r="AL20" s="56"/>
      <c r="AM20" s="56"/>
      <c r="AN20" s="56"/>
      <c r="AO20" s="56"/>
      <c r="AP20" s="56"/>
      <c r="AQ20" s="56"/>
      <c r="AR20" s="56"/>
      <c r="AS20" s="56"/>
      <c r="AT20" s="57"/>
      <c r="AU20" s="312"/>
      <c r="AV20" s="268" t="str">
        <f ca="1">IF(AU21&gt;0,$AV$3,"")</f>
        <v/>
      </c>
      <c r="AW20" s="155"/>
      <c r="AX20" s="155"/>
      <c r="AY20" s="142"/>
      <c r="AZ20" s="143"/>
      <c r="BA20" s="164"/>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2</v>
      </c>
      <c r="BK20" s="16">
        <f t="shared" ca="1" si="21"/>
        <v>5</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thickBo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6"/>
      <c r="X21" s="24">
        <f ca="1">Horarios!C21</f>
        <v>46187.125</v>
      </c>
      <c r="Y21" s="25">
        <f ca="1">Horarios!C21</f>
        <v>46187.125</v>
      </c>
      <c r="Z21" s="26" t="str">
        <f>$Z$4</f>
        <v>J1</v>
      </c>
      <c r="AA21" s="27" t="str">
        <f ca="1">A23</f>
        <v>Haití</v>
      </c>
      <c r="AB21" s="49" t="e" cm="1" vm="11">
        <f t="array" aca="1" ref="AB21" ca="1">Ver_flag_local</f>
        <v>#VALUE!</v>
      </c>
      <c r="AC21" s="700">
        <v>0</v>
      </c>
      <c r="AD21" s="701">
        <v>2</v>
      </c>
      <c r="AE21" s="569" t="e" cm="1" vm="12">
        <f t="array" aca="1" ref="AE21" ca="1">Ver_flag_visit</f>
        <v>#VALUE!</v>
      </c>
      <c r="AF21" s="32" t="str">
        <f ca="1">A24</f>
        <v>Escocia</v>
      </c>
      <c r="AG21" s="304">
        <f t="shared" si="84"/>
        <v>1</v>
      </c>
      <c r="AH21" s="183">
        <v>5</v>
      </c>
      <c r="AI21" s="169"/>
      <c r="AJ21" s="58" t="str">
        <f>AJ5</f>
        <v>Pos</v>
      </c>
      <c r="AK21" s="59"/>
      <c r="AL21" s="60" t="str">
        <f t="shared" ref="AL21:AT21" si="85">AL5</f>
        <v>Selección</v>
      </c>
      <c r="AM21" s="59" t="str">
        <f t="shared" si="85"/>
        <v>Pts</v>
      </c>
      <c r="AN21" s="59" t="str">
        <f t="shared" si="85"/>
        <v>J</v>
      </c>
      <c r="AO21" s="59" t="str">
        <f t="shared" si="85"/>
        <v>G</v>
      </c>
      <c r="AP21" s="59" t="str">
        <f t="shared" si="85"/>
        <v>E</v>
      </c>
      <c r="AQ21" s="59" t="str">
        <f t="shared" si="85"/>
        <v>P</v>
      </c>
      <c r="AR21" s="59" t="str">
        <f t="shared" si="85"/>
        <v>GF</v>
      </c>
      <c r="AS21" s="59" t="str">
        <f t="shared" si="85"/>
        <v>GC</v>
      </c>
      <c r="AT21" s="61" t="str">
        <f t="shared" si="85"/>
        <v>DG</v>
      </c>
      <c r="AU21" s="312">
        <f t="shared" ref="AU21" ca="1" si="86">COUNTIF(AU22:AU25,"&gt;1")</f>
        <v>0</v>
      </c>
      <c r="AV21" s="180"/>
      <c r="AW21" s="155"/>
      <c r="AX21" s="155"/>
      <c r="AY21" s="195" t="str">
        <f>AL21</f>
        <v>Selección</v>
      </c>
      <c r="AZ21" s="196" t="str">
        <f>+Idiomas!$D$67</f>
        <v>Puntos penalizados</v>
      </c>
      <c r="BA21" s="164"/>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6</v>
      </c>
      <c r="BK21" s="16">
        <f t="shared" ca="1" si="21"/>
        <v>2</v>
      </c>
      <c r="BL21" s="16">
        <f t="shared" ca="1" si="42"/>
        <v>4</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 customHeight="1" thickBo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6"/>
      <c r="X22" s="24">
        <f ca="1">Horarios!C22</f>
        <v>46193</v>
      </c>
      <c r="Y22" s="25">
        <f ca="1">Horarios!C22</f>
        <v>46193</v>
      </c>
      <c r="Z22" s="26" t="str">
        <f>$Z$6</f>
        <v>J2</v>
      </c>
      <c r="AA22" s="27" t="str">
        <f ca="1">A24</f>
        <v>Escocia</v>
      </c>
      <c r="AB22" s="49" t="e" cm="1" vm="12">
        <f t="array" aca="1" ref="AB22" ca="1">Ver_flag_local</f>
        <v>#VALUE!</v>
      </c>
      <c r="AC22" s="700">
        <v>1</v>
      </c>
      <c r="AD22" s="701">
        <v>2</v>
      </c>
      <c r="AE22" s="569" t="e" cm="1" vm="10">
        <f t="array" aca="1" ref="AE22" ca="1">Ver_flag_visit</f>
        <v>#VALUE!</v>
      </c>
      <c r="AF22" s="32" t="str">
        <f ca="1">A22</f>
        <v>Marruecos</v>
      </c>
      <c r="AG22" s="304">
        <f t="shared" si="84"/>
        <v>1</v>
      </c>
      <c r="AH22" s="183">
        <v>30</v>
      </c>
      <c r="AI22" s="169" t="str">
        <f>AJ22&amp;$B$20</f>
        <v>1C</v>
      </c>
      <c r="AJ22" s="40">
        <v>1</v>
      </c>
      <c r="AK22" s="575" t="e" cm="1" vm="10">
        <f t="array" aca="1" ref="AK22" ca="1">Ver_flag_visit</f>
        <v>#VALUE!</v>
      </c>
      <c r="AL22" s="34" t="str">
        <f ca="1">IFERROR(INDEX($BD$6:$BD$53,MATCH(AI22,$BN$6:$BN$53,0)),"")</f>
        <v>Marruecos</v>
      </c>
      <c r="AM22" s="35">
        <f t="shared" ref="AM22:AT25" ca="1" si="87">INDEX($BE$6:$BN$53,MATCH($AL22,$BD$6:$BD$53,0),MATCH(AM$5,$BE$5:$BN$5,0))</f>
        <v>7</v>
      </c>
      <c r="AN22" s="36">
        <f t="shared" ca="1" si="87"/>
        <v>3</v>
      </c>
      <c r="AO22" s="36">
        <f t="shared" ca="1" si="87"/>
        <v>2</v>
      </c>
      <c r="AP22" s="36">
        <f t="shared" ca="1" si="87"/>
        <v>1</v>
      </c>
      <c r="AQ22" s="36">
        <f t="shared" ca="1" si="87"/>
        <v>0</v>
      </c>
      <c r="AR22" s="36">
        <f t="shared" ca="1" si="87"/>
        <v>6</v>
      </c>
      <c r="AS22" s="36">
        <f t="shared" ca="1" si="87"/>
        <v>3</v>
      </c>
      <c r="AT22" s="41">
        <f t="shared" ca="1" si="87"/>
        <v>3</v>
      </c>
      <c r="AU22" s="311">
        <f ca="1">INDEX($DL$6:$DL$53,MATCH(AI22,$DP$6:$DP$53,0))</f>
        <v>1</v>
      </c>
      <c r="AV22" s="170" t="str">
        <f ca="1">INDEX($BD$6:$BD$53,MATCH(AI22,$BM$6:$BM$53,0))</f>
        <v>Marruecos</v>
      </c>
      <c r="AW22" s="198"/>
      <c r="AX22" s="159"/>
      <c r="AY22" s="189" t="str">
        <f ca="1">+A21</f>
        <v>Brasil</v>
      </c>
      <c r="AZ22" s="190"/>
      <c r="BA22" s="164"/>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1</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thickBo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6"/>
      <c r="X23" s="24">
        <f ca="1">Horarios!C23</f>
        <v>46193.104166666664</v>
      </c>
      <c r="Y23" s="25">
        <f ca="1">Horarios!C23</f>
        <v>46193.104166666664</v>
      </c>
      <c r="Z23" s="26" t="str">
        <f>$Z$6</f>
        <v>J2</v>
      </c>
      <c r="AA23" s="27" t="str">
        <f ca="1">A21</f>
        <v>Brasil</v>
      </c>
      <c r="AB23" s="49" t="e" cm="1" vm="9">
        <f t="array" aca="1" ref="AB23" ca="1">Ver_flag_local</f>
        <v>#VALUE!</v>
      </c>
      <c r="AC23" s="700">
        <v>3</v>
      </c>
      <c r="AD23" s="701">
        <v>0</v>
      </c>
      <c r="AE23" s="569" t="e" cm="1" vm="11">
        <f t="array" aca="1" ref="AE23" ca="1">Ver_flag_visit</f>
        <v>#VALUE!</v>
      </c>
      <c r="AF23" s="32" t="str">
        <f ca="1">A23</f>
        <v>Haití</v>
      </c>
      <c r="AG23" s="304">
        <f t="shared" si="84"/>
        <v>1</v>
      </c>
      <c r="AH23" s="183">
        <v>29</v>
      </c>
      <c r="AI23" s="169" t="str">
        <f t="shared" ref="AI23:AI25" si="88">AJ23&amp;$B$20</f>
        <v>2C</v>
      </c>
      <c r="AJ23" s="42">
        <v>2</v>
      </c>
      <c r="AK23" s="576" t="e" cm="1" vm="12">
        <f t="array" aca="1" ref="AK23" ca="1">Ver_flag_visit</f>
        <v>#VALUE!</v>
      </c>
      <c r="AL23" s="37" t="str">
        <f ca="1">IFERROR(INDEX($BD$6:$BD$53,MATCH(AI23,$BN$6:$BN$53,0)),"")</f>
        <v>Escocia</v>
      </c>
      <c r="AM23" s="38">
        <f t="shared" ca="1" si="87"/>
        <v>6</v>
      </c>
      <c r="AN23" s="39">
        <f t="shared" ca="1" si="87"/>
        <v>3</v>
      </c>
      <c r="AO23" s="39">
        <f t="shared" ca="1" si="87"/>
        <v>2</v>
      </c>
      <c r="AP23" s="39">
        <f t="shared" ca="1" si="87"/>
        <v>0</v>
      </c>
      <c r="AQ23" s="39">
        <f t="shared" ca="1" si="87"/>
        <v>1</v>
      </c>
      <c r="AR23" s="39">
        <f t="shared" ca="1" si="87"/>
        <v>5</v>
      </c>
      <c r="AS23" s="39">
        <f t="shared" ca="1" si="87"/>
        <v>2</v>
      </c>
      <c r="AT23" s="43">
        <f t="shared" ca="1" si="87"/>
        <v>3</v>
      </c>
      <c r="AU23" s="311">
        <f ca="1">INDEX($DL$6:$DL$53,MATCH(AI23,$DP$6:$DP$53,0))</f>
        <v>1</v>
      </c>
      <c r="AV23" s="170" t="str">
        <f ca="1">INDEX($BD$6:$BD$53,MATCH(AI23,$BM$6:$BM$53,0))</f>
        <v>Escocia</v>
      </c>
      <c r="AW23" s="198"/>
      <c r="AX23" s="159"/>
      <c r="AY23" s="191" t="str">
        <f ca="1">+A22</f>
        <v>Marruecos</v>
      </c>
      <c r="AZ23" s="192"/>
      <c r="BA23" s="164"/>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7</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Costa de Marfil</v>
      </c>
    </row>
    <row r="24" spans="1:121" ht="16" customHeight="1" thickBot="1">
      <c r="A24" s="16" t="str">
        <f ca="1">+Equipos!B13</f>
        <v>Escocia</v>
      </c>
      <c r="B24" s="16"/>
      <c r="C24" s="16"/>
      <c r="D24" s="16" t="str">
        <f t="shared" si="71"/>
        <v>Local</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6"/>
      <c r="X24" s="24">
        <f ca="1">Horarios!C24</f>
        <v>46198</v>
      </c>
      <c r="Y24" s="25">
        <f ca="1">Horarios!C24</f>
        <v>46198</v>
      </c>
      <c r="Z24" s="26" t="str">
        <f>$Z$8</f>
        <v>J3</v>
      </c>
      <c r="AA24" s="27" t="str">
        <f ca="1">A24</f>
        <v>Escocia</v>
      </c>
      <c r="AB24" s="49" t="e" cm="1" vm="12">
        <f t="array" aca="1" ref="AB24" ca="1">Ver_flag_local</f>
        <v>#VALUE!</v>
      </c>
      <c r="AC24" s="700">
        <v>2</v>
      </c>
      <c r="AD24" s="701">
        <v>0</v>
      </c>
      <c r="AE24" s="569" t="e" cm="1" vm="9">
        <f t="array" aca="1" ref="AE24" ca="1">Ver_flag_visit</f>
        <v>#VALUE!</v>
      </c>
      <c r="AF24" s="32" t="str">
        <f ca="1">A21</f>
        <v>Brasil</v>
      </c>
      <c r="AG24" s="304">
        <f t="shared" si="84"/>
        <v>1</v>
      </c>
      <c r="AH24" s="183">
        <v>49</v>
      </c>
      <c r="AI24" s="169" t="str">
        <f t="shared" si="88"/>
        <v>3C</v>
      </c>
      <c r="AJ24" s="42">
        <v>3</v>
      </c>
      <c r="AK24" s="576" t="e" cm="1" vm="9">
        <f t="array" aca="1" ref="AK24" ca="1">Ver_flag_visit</f>
        <v>#VALUE!</v>
      </c>
      <c r="AL24" s="37" t="str">
        <f ca="1">IFERROR(INDEX($BD$6:$BD$53,MATCH(AI24,$BN$6:$BN$53,0)),"")</f>
        <v>Brasil</v>
      </c>
      <c r="AM24" s="38">
        <f t="shared" ca="1" si="87"/>
        <v>4</v>
      </c>
      <c r="AN24" s="39">
        <f t="shared" ca="1" si="87"/>
        <v>3</v>
      </c>
      <c r="AO24" s="39">
        <f t="shared" ca="1" si="87"/>
        <v>1</v>
      </c>
      <c r="AP24" s="39">
        <f t="shared" ca="1" si="87"/>
        <v>1</v>
      </c>
      <c r="AQ24" s="39">
        <f t="shared" ca="1" si="87"/>
        <v>1</v>
      </c>
      <c r="AR24" s="39">
        <f t="shared" ca="1" si="87"/>
        <v>5</v>
      </c>
      <c r="AS24" s="39">
        <f t="shared" ca="1" si="87"/>
        <v>4</v>
      </c>
      <c r="AT24" s="43">
        <f t="shared" ca="1" si="87"/>
        <v>1</v>
      </c>
      <c r="AU24" s="311">
        <f ca="1">INDEX($DL$6:$DL$53,MATCH(AI24,$DP$6:$DP$53,0))</f>
        <v>1</v>
      </c>
      <c r="AV24" s="170" t="str">
        <f ca="1">INDEX($BD$6:$BD$53,MATCH(AI24,$BM$6:$BM$53,0))</f>
        <v>Brasil</v>
      </c>
      <c r="AW24" s="198"/>
      <c r="AX24" s="159"/>
      <c r="AY24" s="189" t="str">
        <f ca="1">+A23</f>
        <v>Haití</v>
      </c>
      <c r="AZ24" s="190"/>
      <c r="BA24" s="164"/>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4</v>
      </c>
      <c r="BK24" s="16">
        <f t="shared" ca="1" si="21"/>
        <v>4</v>
      </c>
      <c r="BL24" s="16">
        <f t="shared" ca="1" si="42"/>
        <v>0</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0</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P.2 (2)</v>
      </c>
      <c r="CZ24" s="16">
        <f t="shared" ca="1" si="37"/>
        <v>4</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7"/>
      <c r="X25" s="28">
        <f ca="1">Horarios!C25</f>
        <v>46198</v>
      </c>
      <c r="Y25" s="29">
        <f ca="1">Horarios!C25</f>
        <v>46198</v>
      </c>
      <c r="Z25" s="30" t="str">
        <f>$Z$8</f>
        <v>J3</v>
      </c>
      <c r="AA25" s="31" t="str">
        <f ca="1">A22</f>
        <v>Marruecos</v>
      </c>
      <c r="AB25" s="50" t="e" cm="1" vm="10">
        <f t="array" aca="1" ref="AB25" ca="1">Ver_flag_local</f>
        <v>#VALUE!</v>
      </c>
      <c r="AC25" s="700">
        <v>2</v>
      </c>
      <c r="AD25" s="701">
        <v>0</v>
      </c>
      <c r="AE25" s="570" t="e" cm="1" vm="11">
        <f t="array" aca="1" ref="AE25" ca="1">Ver_flag_visit</f>
        <v>#VALUE!</v>
      </c>
      <c r="AF25" s="33" t="str">
        <f ca="1">A23</f>
        <v>Haití</v>
      </c>
      <c r="AG25" s="304">
        <f t="shared" si="84"/>
        <v>1</v>
      </c>
      <c r="AH25" s="183">
        <v>50</v>
      </c>
      <c r="AI25" s="169" t="str">
        <f t="shared" si="88"/>
        <v>4C</v>
      </c>
      <c r="AJ25" s="44">
        <v>4</v>
      </c>
      <c r="AK25" s="578"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7</v>
      </c>
      <c r="AT25" s="48">
        <f t="shared" ca="1" si="87"/>
        <v>-7</v>
      </c>
      <c r="AU25" s="311">
        <f ca="1">INDEX($DL$6:$DL$53,MATCH(AI25,$DP$6:$DP$53,0))</f>
        <v>1</v>
      </c>
      <c r="AV25" s="170" t="str">
        <f ca="1">INDEX($BD$6:$BD$53,MATCH(AI25,$BM$6:$BM$53,0))</f>
        <v>Haití</v>
      </c>
      <c r="AW25" s="198"/>
      <c r="AX25" s="159"/>
      <c r="AY25" s="193" t="str">
        <f ca="1">+A24</f>
        <v>Escocia</v>
      </c>
      <c r="AZ25" s="194"/>
      <c r="BA25" s="164"/>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3</v>
      </c>
      <c r="BK25" s="16">
        <f t="shared" ca="1" si="21"/>
        <v>3</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0</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P.2 (2)</v>
      </c>
      <c r="CZ25" s="16">
        <f t="shared" ca="1" si="37"/>
        <v>3</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42"/>
      <c r="X26" s="143"/>
      <c r="Y26" s="142"/>
      <c r="Z26" s="144"/>
      <c r="AA26" s="145"/>
      <c r="AB26" s="146"/>
      <c r="AC26" s="139"/>
      <c r="AD26" s="139"/>
      <c r="AE26" s="146"/>
      <c r="AF26" s="147"/>
      <c r="AG26" s="306"/>
      <c r="AH26" s="183"/>
      <c r="AI26" s="168"/>
      <c r="AJ26" s="148"/>
      <c r="AK26" s="149"/>
      <c r="AL26" s="150"/>
      <c r="AM26" s="151"/>
      <c r="AN26" s="148"/>
      <c r="AO26" s="148"/>
      <c r="AP26" s="148"/>
      <c r="AQ26" s="148"/>
      <c r="AR26" s="148"/>
      <c r="AS26" s="148"/>
      <c r="AT26" s="148"/>
      <c r="AU26" s="311"/>
      <c r="AV26" s="177"/>
      <c r="AW26" s="199"/>
      <c r="AX26" s="159"/>
      <c r="AY26" s="142"/>
      <c r="AZ26" s="143"/>
      <c r="BA26" s="164"/>
      <c r="BC26" s="16" t="str">
        <f ca="1">+INDEX(T_Equipos[Grupo],MATCH(WORLDCUP!BD26,T_Equipos[NombreEquipo],0))</f>
        <v>F</v>
      </c>
      <c r="BD26" s="16" t="str">
        <f ca="1">+Equipos!B22</f>
        <v>Países Bajos</v>
      </c>
      <c r="BE26" s="16">
        <f t="shared" ca="1" si="16"/>
        <v>4</v>
      </c>
      <c r="BF26" s="16">
        <f t="shared" ca="1" si="41"/>
        <v>3</v>
      </c>
      <c r="BG26" s="16">
        <f t="shared" ca="1" si="17"/>
        <v>1</v>
      </c>
      <c r="BH26" s="16">
        <f t="shared" ca="1" si="18"/>
        <v>1</v>
      </c>
      <c r="BI26" s="16">
        <f t="shared" ca="1" si="19"/>
        <v>1</v>
      </c>
      <c r="BJ26" s="16">
        <f t="shared" ca="1" si="20"/>
        <v>5</v>
      </c>
      <c r="BK26" s="16">
        <f t="shared" ca="1" si="21"/>
        <v>4</v>
      </c>
      <c r="BL26" s="16">
        <f t="shared" ca="1" si="42"/>
        <v>1</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4</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5" t="str">
        <f>X11</f>
        <v>Fecha</v>
      </c>
      <c r="Y27" s="65" t="str">
        <f>Y11</f>
        <v>Hora</v>
      </c>
      <c r="Z27" s="51" t="str">
        <f t="shared" ref="Z27:AA27" si="89">Z11</f>
        <v>Jor.</v>
      </c>
      <c r="AA27" s="53" t="str">
        <f t="shared" si="89"/>
        <v>Casa</v>
      </c>
      <c r="AB27" s="52"/>
      <c r="AC27" s="51" t="str">
        <f>AC3</f>
        <v>Gol</v>
      </c>
      <c r="AD27" s="51" t="str">
        <f>AD3</f>
        <v>Gol</v>
      </c>
      <c r="AE27" s="52"/>
      <c r="AF27" s="54" t="str">
        <f t="shared" ref="AF27" si="90">AF11</f>
        <v>Fuera</v>
      </c>
      <c r="AG27" s="305"/>
      <c r="AH27" s="183"/>
      <c r="AI27" s="167"/>
      <c r="AJ27" s="150"/>
      <c r="AK27" s="574"/>
      <c r="AL27" s="150"/>
      <c r="AM27" s="150"/>
      <c r="AN27" s="150"/>
      <c r="AO27" s="150"/>
      <c r="AP27" s="150"/>
      <c r="AQ27" s="150"/>
      <c r="AR27" s="150"/>
      <c r="AS27" s="150"/>
      <c r="AT27" s="150"/>
      <c r="AU27" s="312"/>
      <c r="AV27" s="176"/>
      <c r="AW27" s="200"/>
      <c r="AX27" s="160"/>
      <c r="AY27" s="142"/>
      <c r="AZ27" s="143"/>
      <c r="BA27" s="164"/>
      <c r="BC27" s="16" t="str">
        <f ca="1">+INDEX(T_Equipos[Grupo],MATCH(WORLDCUP!BD27,T_Equipos[NombreEquipo],0))</f>
        <v>F</v>
      </c>
      <c r="BD27" s="16" t="str">
        <f ca="1">+Equipos!B23</f>
        <v>Japón</v>
      </c>
      <c r="BE27" s="16">
        <f t="shared" ca="1" si="16"/>
        <v>9</v>
      </c>
      <c r="BF27" s="16">
        <f t="shared" ca="1" si="41"/>
        <v>3</v>
      </c>
      <c r="BG27" s="16">
        <f t="shared" ca="1" si="17"/>
        <v>3</v>
      </c>
      <c r="BH27" s="16">
        <f t="shared" ca="1" si="18"/>
        <v>0</v>
      </c>
      <c r="BI27" s="16">
        <f t="shared" ca="1" si="19"/>
        <v>0</v>
      </c>
      <c r="BJ27" s="16">
        <f t="shared" ca="1" si="20"/>
        <v>7</v>
      </c>
      <c r="BK27" s="16">
        <f t="shared" ca="1" si="21"/>
        <v>3</v>
      </c>
      <c r="BL27" s="16">
        <f t="shared" ca="1" si="42"/>
        <v>4</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9</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6" customHeight="1" thickBot="1">
      <c r="A28" s="16" t="s">
        <v>32</v>
      </c>
      <c r="B28" s="16" t="s">
        <v>74</v>
      </c>
      <c r="C28" s="16">
        <f>COUNTIF(Equipos!$C$2:$C$49,WORLDCUP!B28)</f>
        <v>4</v>
      </c>
      <c r="D28" s="16" t="str">
        <f t="shared" ref="D28:D34"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48" t="s">
        <v>74</v>
      </c>
      <c r="X28" s="24">
        <f ca="1">Horarios!C28</f>
        <v>46186.125</v>
      </c>
      <c r="Y28" s="25">
        <f ca="1">Horarios!C28</f>
        <v>46186.125</v>
      </c>
      <c r="Z28" s="26" t="str">
        <f>$Z$4</f>
        <v>J1</v>
      </c>
      <c r="AA28" s="27" t="str">
        <f ca="1">A29</f>
        <v>Estados Unidos</v>
      </c>
      <c r="AB28" s="49" t="e" cm="1" vm="13">
        <f t="array" aca="1" ref="AB28" ca="1">Ver_flag_local</f>
        <v>#VALUE!</v>
      </c>
      <c r="AC28" s="700">
        <v>2</v>
      </c>
      <c r="AD28" s="701">
        <v>2</v>
      </c>
      <c r="AE28" s="569" t="e" cm="1" vm="14">
        <f t="array" aca="1" ref="AE28" ca="1">Ver_flag_visit</f>
        <v>#VALUE!</v>
      </c>
      <c r="AF28" s="32" t="str">
        <f ca="1">A30</f>
        <v>Paraguay</v>
      </c>
      <c r="AG28" s="304">
        <f t="shared" ref="AG28:AG33" si="104">IF(NOT(OR(ISBLANK(AC28),ISBLANK(AD28))),1,0)</f>
        <v>1</v>
      </c>
      <c r="AH28" s="183">
        <v>4</v>
      </c>
      <c r="AI28" s="169"/>
      <c r="AJ28" s="55" t="str">
        <f>CONCATENATE(AJ3," ",B28)</f>
        <v>Grupo D</v>
      </c>
      <c r="AK28" s="56"/>
      <c r="AL28" s="56"/>
      <c r="AM28" s="56"/>
      <c r="AN28" s="56"/>
      <c r="AO28" s="56"/>
      <c r="AP28" s="56"/>
      <c r="AQ28" s="56"/>
      <c r="AR28" s="56"/>
      <c r="AS28" s="56"/>
      <c r="AT28" s="57"/>
      <c r="AU28" s="312"/>
      <c r="AV28" s="268" t="str">
        <f ca="1">IF(AU29&gt;0,$AV$3,"")</f>
        <v/>
      </c>
      <c r="AW28" s="155"/>
      <c r="AX28" s="155"/>
      <c r="AY28" s="142"/>
      <c r="AZ28" s="143"/>
      <c r="BA28" s="164"/>
      <c r="BC28" s="16" t="str">
        <f ca="1">+INDEX(T_Equipos[Grupo],MATCH(WORLDCUP!BD28,T_Equipos[NombreEquipo],0))</f>
        <v>F</v>
      </c>
      <c r="BD28" s="16" t="str">
        <f ca="1">+Equipos!B24</f>
        <v>Suecia</v>
      </c>
      <c r="BE28" s="16">
        <f t="shared" ca="1" si="16"/>
        <v>2</v>
      </c>
      <c r="BF28" s="16">
        <f t="shared" ca="1" si="41"/>
        <v>3</v>
      </c>
      <c r="BG28" s="16">
        <f t="shared" ca="1" si="17"/>
        <v>0</v>
      </c>
      <c r="BH28" s="16">
        <f t="shared" ca="1" si="18"/>
        <v>2</v>
      </c>
      <c r="BI28" s="16">
        <f t="shared" ca="1" si="19"/>
        <v>1</v>
      </c>
      <c r="BJ28" s="16">
        <f t="shared" ca="1" si="20"/>
        <v>3</v>
      </c>
      <c r="BK28" s="16">
        <f t="shared" ca="1" si="21"/>
        <v>4</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2</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thickBo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48"/>
      <c r="X29" s="24">
        <f ca="1">Horarios!C29</f>
        <v>46187.25</v>
      </c>
      <c r="Y29" s="25">
        <f ca="1">Horarios!C29</f>
        <v>46187.25</v>
      </c>
      <c r="Z29" s="26" t="str">
        <f>$Z$4</f>
        <v>J1</v>
      </c>
      <c r="AA29" s="27" t="str">
        <f ca="1">A31</f>
        <v>Australia</v>
      </c>
      <c r="AB29" s="49" t="e" cm="1" vm="15">
        <f t="array" aca="1" ref="AB29" ca="1">Ver_flag_local</f>
        <v>#VALUE!</v>
      </c>
      <c r="AC29" s="700">
        <v>1</v>
      </c>
      <c r="AD29" s="701">
        <v>2</v>
      </c>
      <c r="AE29" s="569" t="e" cm="1" vm="16">
        <f t="array" aca="1" ref="AE29" ca="1">Ver_flag_visit</f>
        <v>#VALUE!</v>
      </c>
      <c r="AF29" s="32" t="str">
        <f ca="1">A32</f>
        <v>Turquía</v>
      </c>
      <c r="AG29" s="304">
        <f t="shared" si="104"/>
        <v>1</v>
      </c>
      <c r="AH29" s="183">
        <v>6</v>
      </c>
      <c r="AI29" s="169"/>
      <c r="AJ29" s="58" t="str">
        <f>AJ5</f>
        <v>Pos</v>
      </c>
      <c r="AK29" s="59"/>
      <c r="AL29" s="60" t="str">
        <f t="shared" ref="AL29:AT29" si="105">AL5</f>
        <v>Selección</v>
      </c>
      <c r="AM29" s="59" t="str">
        <f t="shared" si="105"/>
        <v>Pts</v>
      </c>
      <c r="AN29" s="59" t="str">
        <f t="shared" si="105"/>
        <v>J</v>
      </c>
      <c r="AO29" s="59" t="str">
        <f t="shared" si="105"/>
        <v>G</v>
      </c>
      <c r="AP29" s="59" t="str">
        <f t="shared" si="105"/>
        <v>E</v>
      </c>
      <c r="AQ29" s="59" t="str">
        <f t="shared" si="105"/>
        <v>P</v>
      </c>
      <c r="AR29" s="59" t="str">
        <f t="shared" si="105"/>
        <v>GF</v>
      </c>
      <c r="AS29" s="59" t="str">
        <f t="shared" si="105"/>
        <v>GC</v>
      </c>
      <c r="AT29" s="61" t="str">
        <f t="shared" si="105"/>
        <v>DG</v>
      </c>
      <c r="AU29" s="312">
        <f t="shared" ref="AU29" ca="1" si="106">COUNTIF(AU30:AU33,"&gt;1")</f>
        <v>0</v>
      </c>
      <c r="AV29" s="180"/>
      <c r="AW29" s="155"/>
      <c r="AX29" s="155"/>
      <c r="AY29" s="195" t="str">
        <f>AL29</f>
        <v>Selección</v>
      </c>
      <c r="AZ29" s="196" t="str">
        <f>+Idiomas!$D$67</f>
        <v>Puntos penalizados</v>
      </c>
      <c r="BA29" s="164"/>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1</v>
      </c>
      <c r="BK29" s="16">
        <f t="shared" ca="1" si="21"/>
        <v>5</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 customHeight="1" thickBo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48"/>
      <c r="X30" s="24">
        <f ca="1">Horarios!C30</f>
        <v>46192.875</v>
      </c>
      <c r="Y30" s="25">
        <f ca="1">Horarios!C30</f>
        <v>46192.875</v>
      </c>
      <c r="Z30" s="26" t="str">
        <f>$Z$6</f>
        <v>J2</v>
      </c>
      <c r="AA30" s="27" t="str">
        <f ca="1">A29</f>
        <v>Estados Unidos</v>
      </c>
      <c r="AB30" s="49" t="e" cm="1" vm="13">
        <f t="array" aca="1" ref="AB30" ca="1">Ver_flag_local</f>
        <v>#VALUE!</v>
      </c>
      <c r="AC30" s="700">
        <v>2</v>
      </c>
      <c r="AD30" s="701">
        <v>0</v>
      </c>
      <c r="AE30" s="569" t="e" cm="1" vm="15">
        <f t="array" aca="1" ref="AE30" ca="1">Ver_flag_visit</f>
        <v>#VALUE!</v>
      </c>
      <c r="AF30" s="32" t="str">
        <f ca="1">A31</f>
        <v>Australia</v>
      </c>
      <c r="AG30" s="304">
        <f t="shared" si="104"/>
        <v>1</v>
      </c>
      <c r="AH30" s="183">
        <v>32</v>
      </c>
      <c r="AI30" s="169" t="str">
        <f>AJ30&amp;$B$28</f>
        <v>1D</v>
      </c>
      <c r="AJ30" s="40">
        <v>1</v>
      </c>
      <c r="AK30" s="575" t="e" cm="1" vm="16">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2</v>
      </c>
      <c r="AT30" s="41">
        <f t="shared" ca="1" si="107"/>
        <v>4</v>
      </c>
      <c r="AU30" s="311">
        <f ca="1">INDEX($DL$6:$DL$53,MATCH(AI30,$DP$6:$DP$53,0))</f>
        <v>1</v>
      </c>
      <c r="AV30" s="170" t="str">
        <f ca="1">INDEX($BD$6:$BD$53,MATCH(AI30,$BM$6:$BM$53,0))</f>
        <v>Turquía</v>
      </c>
      <c r="AW30" s="198"/>
      <c r="AX30" s="159"/>
      <c r="AY30" s="189" t="str">
        <f ca="1">+A29</f>
        <v>Estados Unidos</v>
      </c>
      <c r="AZ30" s="190"/>
      <c r="BA30" s="164"/>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6</v>
      </c>
      <c r="BK30" s="16">
        <f t="shared" ca="1" si="21"/>
        <v>1</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thickBo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48"/>
      <c r="X31" s="24">
        <f ca="1">Horarios!C31</f>
        <v>46193.208333333336</v>
      </c>
      <c r="Y31" s="25">
        <f ca="1">Horarios!C31</f>
        <v>46193.208333333336</v>
      </c>
      <c r="Z31" s="26" t="str">
        <f>$Z$6</f>
        <v>J2</v>
      </c>
      <c r="AA31" s="27" t="str">
        <f ca="1">A32</f>
        <v>Turquía</v>
      </c>
      <c r="AB31" s="49" t="e" cm="1" vm="16">
        <f t="array" aca="1" ref="AB31" ca="1">Ver_flag_local</f>
        <v>#VALUE!</v>
      </c>
      <c r="AC31" s="700">
        <v>2</v>
      </c>
      <c r="AD31" s="701">
        <v>1</v>
      </c>
      <c r="AE31" s="569" t="e" cm="1" vm="14">
        <f t="array" aca="1" ref="AE31" ca="1">Ver_flag_visit</f>
        <v>#VALUE!</v>
      </c>
      <c r="AF31" s="32" t="str">
        <f ca="1">A30</f>
        <v>Paraguay</v>
      </c>
      <c r="AG31" s="304">
        <f t="shared" si="104"/>
        <v>1</v>
      </c>
      <c r="AH31" s="183">
        <v>31</v>
      </c>
      <c r="AI31" s="169" t="str">
        <f t="shared" ref="AI31:AI33" si="108">AJ31&amp;$B$28</f>
        <v>2D</v>
      </c>
      <c r="AJ31" s="42">
        <v>2</v>
      </c>
      <c r="AK31" s="576" t="e" cm="1" vm="13">
        <f t="array" aca="1" ref="AK31" ca="1">Ver_flag_visit</f>
        <v>#VALUE!</v>
      </c>
      <c r="AL31" s="37" t="str">
        <f ca="1">IFERROR(INDEX($BD$6:$BD$53,MATCH(AI31,$BN$6:$BN$53,0)),"")</f>
        <v>Estados Unidos</v>
      </c>
      <c r="AM31" s="38">
        <f t="shared" ca="1" si="107"/>
        <v>4</v>
      </c>
      <c r="AN31" s="39">
        <f t="shared" ca="1" si="107"/>
        <v>3</v>
      </c>
      <c r="AO31" s="39">
        <f t="shared" ca="1" si="107"/>
        <v>1</v>
      </c>
      <c r="AP31" s="39">
        <f t="shared" ca="1" si="107"/>
        <v>1</v>
      </c>
      <c r="AQ31" s="39">
        <f t="shared" ca="1" si="107"/>
        <v>1</v>
      </c>
      <c r="AR31" s="39">
        <f t="shared" ca="1" si="107"/>
        <v>4</v>
      </c>
      <c r="AS31" s="39">
        <f t="shared" ca="1" si="107"/>
        <v>4</v>
      </c>
      <c r="AT31" s="43">
        <f t="shared" ca="1" si="107"/>
        <v>0</v>
      </c>
      <c r="AU31" s="311">
        <f ca="1">INDEX($DL$6:$DL$53,MATCH(AI31,$DP$6:$DP$53,0))</f>
        <v>1</v>
      </c>
      <c r="AV31" s="170" t="str">
        <f ca="1">INDEX($BD$6:$BD$53,MATCH(AI31,$BM$6:$BM$53,0))</f>
        <v>Estados Unidos</v>
      </c>
      <c r="AW31" s="198"/>
      <c r="AX31" s="159"/>
      <c r="AY31" s="191" t="str">
        <f ca="1">+A30</f>
        <v>Paraguay</v>
      </c>
      <c r="AZ31" s="192"/>
      <c r="BA31" s="164"/>
      <c r="BC31" s="16" t="str">
        <f ca="1">+INDEX(T_Equipos[Grupo],MATCH(WORLDCUP!BD31,T_Equipos[NombreEquipo],0))</f>
        <v>G</v>
      </c>
      <c r="BD31" s="16" t="str">
        <f ca="1">+Equipos!B27</f>
        <v>Egipto</v>
      </c>
      <c r="BE31" s="16">
        <f t="shared" ca="1" si="16"/>
        <v>1</v>
      </c>
      <c r="BF31" s="16">
        <f t="shared" ca="1" si="41"/>
        <v>3</v>
      </c>
      <c r="BG31" s="16">
        <f t="shared" ca="1" si="17"/>
        <v>0</v>
      </c>
      <c r="BH31" s="16">
        <f t="shared" ca="1" si="18"/>
        <v>1</v>
      </c>
      <c r="BI31" s="16">
        <f t="shared" ca="1" si="19"/>
        <v>2</v>
      </c>
      <c r="BJ31" s="16">
        <f t="shared" ca="1" si="20"/>
        <v>2</v>
      </c>
      <c r="BK31" s="16">
        <f t="shared" ca="1" si="21"/>
        <v>5</v>
      </c>
      <c r="BL31" s="16">
        <f t="shared" ca="1" si="42"/>
        <v>-3</v>
      </c>
      <c r="BM31" s="16" t="str">
        <f t="shared" ca="1" si="22"/>
        <v>4G</v>
      </c>
      <c r="BN31" s="16" t="str">
        <f t="shared" ca="1" si="23"/>
        <v>4G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1</v>
      </c>
      <c r="BS31" s="16">
        <f ca="1">BP31+COUNTIFS($BQ$6:$BQ$53,BQ31,$BR$6:BR$53,"&gt;"&amp;BR31,$BC$6:$BC$53,INDEX(T_Equipos[Grupo],MATCH(BD31,T_Equipos[NombreEquipo],0)))</f>
        <v>4</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4</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4</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4</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4</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4</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4</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4</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4</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4</v>
      </c>
      <c r="DE31" s="16"/>
      <c r="DF31" s="16">
        <f t="shared" ca="1" si="52"/>
        <v>4</v>
      </c>
      <c r="DG31" s="16" t="str">
        <f ca="1">IF(DB31="-","-",COUNTIFS(DF$6:DF$53,"&lt;"&amp;DF31,$BC$6:$BC$53,INDEX(T_Equipos[Grupo],MATCH(BD31,T_Equipos[NombreEquipo],0))))</f>
        <v>-</v>
      </c>
      <c r="DH31" s="16">
        <f ca="1">DA31+COUNTIFS(DB$6:DB$53,DB31,DG$6:DG$53,"&lt;"&amp;DG31,$BC$6:$BC$53,INDEX(T_Equipos[Grupo],MATCH(BD31,T_Equipos[NombreEquipo],0)))</f>
        <v>4</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Irán</v>
      </c>
    </row>
    <row r="32" spans="1:121" ht="16" customHeight="1" thickBo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8"/>
      <c r="X32" s="24">
        <f ca="1">Horarios!C32</f>
        <v>46199.166666666664</v>
      </c>
      <c r="Y32" s="25">
        <f ca="1">Horarios!C32</f>
        <v>46199.166666666664</v>
      </c>
      <c r="Z32" s="26" t="str">
        <f>$Z$8</f>
        <v>J3</v>
      </c>
      <c r="AA32" s="27" t="str">
        <f ca="1">A32</f>
        <v>Turquía</v>
      </c>
      <c r="AB32" s="49" t="e" cm="1" vm="16">
        <f t="array" aca="1" ref="AB32" ca="1">Ver_flag_local</f>
        <v>#VALUE!</v>
      </c>
      <c r="AC32" s="700">
        <v>2</v>
      </c>
      <c r="AD32" s="701">
        <v>0</v>
      </c>
      <c r="AE32" s="569" t="e" cm="1" vm="13">
        <f t="array" aca="1" ref="AE32" ca="1">Ver_flag_visit</f>
        <v>#VALUE!</v>
      </c>
      <c r="AF32" s="32" t="str">
        <f ca="1">A29</f>
        <v>Estados Unidos</v>
      </c>
      <c r="AG32" s="304">
        <f t="shared" si="104"/>
        <v>1</v>
      </c>
      <c r="AH32" s="183">
        <v>59</v>
      </c>
      <c r="AI32" s="169" t="str">
        <f t="shared" si="108"/>
        <v>3D</v>
      </c>
      <c r="AJ32" s="42">
        <v>3</v>
      </c>
      <c r="AK32" s="576" t="e" cm="1" vm="14">
        <f t="array" aca="1" ref="AK32" ca="1">Ver_flag_visit</f>
        <v>#VALUE!</v>
      </c>
      <c r="AL32" s="37" t="str">
        <f ca="1">IFERROR(INDEX($BD$6:$BD$53,MATCH(AI32,$BN$6:$BN$53,0)),"")</f>
        <v>Paraguay</v>
      </c>
      <c r="AM32" s="38">
        <f t="shared" ca="1" si="107"/>
        <v>2</v>
      </c>
      <c r="AN32" s="39">
        <f t="shared" ca="1" si="107"/>
        <v>3</v>
      </c>
      <c r="AO32" s="39">
        <f t="shared" ca="1" si="107"/>
        <v>0</v>
      </c>
      <c r="AP32" s="39">
        <f t="shared" ca="1" si="107"/>
        <v>2</v>
      </c>
      <c r="AQ32" s="39">
        <f t="shared" ca="1" si="107"/>
        <v>1</v>
      </c>
      <c r="AR32" s="39">
        <f t="shared" ca="1" si="107"/>
        <v>4</v>
      </c>
      <c r="AS32" s="39">
        <f t="shared" ca="1" si="107"/>
        <v>5</v>
      </c>
      <c r="AT32" s="43">
        <f t="shared" ca="1" si="107"/>
        <v>-1</v>
      </c>
      <c r="AU32" s="311">
        <f ca="1">INDEX($DL$6:$DL$53,MATCH(AI32,$DP$6:$DP$53,0))</f>
        <v>1</v>
      </c>
      <c r="AV32" s="170" t="str">
        <f ca="1">INDEX($BD$6:$BD$53,MATCH(AI32,$BM$6:$BM$53,0))</f>
        <v>Paraguay</v>
      </c>
      <c r="AW32" s="198"/>
      <c r="AX32" s="159"/>
      <c r="AY32" s="189" t="str">
        <f ca="1">+A31</f>
        <v>Australia</v>
      </c>
      <c r="AZ32" s="190"/>
      <c r="BA32" s="164"/>
      <c r="BC32" s="16" t="str">
        <f ca="1">+INDEX(T_Equipos[Grupo],MATCH(WORLDCUP!BD32,T_Equipos[NombreEquipo],0))</f>
        <v>G</v>
      </c>
      <c r="BD32" s="16" t="str">
        <f ca="1">+Equipos!B28</f>
        <v>Irán</v>
      </c>
      <c r="BE32" s="16">
        <f t="shared" ca="1" si="16"/>
        <v>5</v>
      </c>
      <c r="BF32" s="16">
        <f t="shared" ca="1" si="41"/>
        <v>3</v>
      </c>
      <c r="BG32" s="16">
        <f t="shared" ca="1" si="17"/>
        <v>1</v>
      </c>
      <c r="BH32" s="16">
        <f t="shared" ca="1" si="18"/>
        <v>2</v>
      </c>
      <c r="BI32" s="16">
        <f t="shared" ca="1" si="19"/>
        <v>0</v>
      </c>
      <c r="BJ32" s="16">
        <f t="shared" ca="1" si="20"/>
        <v>4</v>
      </c>
      <c r="BK32" s="16">
        <f t="shared" ca="1" si="21"/>
        <v>2</v>
      </c>
      <c r="BL32" s="16">
        <f t="shared" ca="1" si="42"/>
        <v>2</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5</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6"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49"/>
      <c r="X33" s="28">
        <f ca="1">Horarios!C33</f>
        <v>46199.166666666664</v>
      </c>
      <c r="Y33" s="29">
        <f ca="1">Horarios!C33</f>
        <v>46199.166666666664</v>
      </c>
      <c r="Z33" s="30" t="str">
        <f>$Z$8</f>
        <v>J3</v>
      </c>
      <c r="AA33" s="31" t="str">
        <f ca="1">A30</f>
        <v>Paraguay</v>
      </c>
      <c r="AB33" s="50" t="e" cm="1" vm="14">
        <f t="array" aca="1" ref="AB33" ca="1">Ver_flag_local</f>
        <v>#VALUE!</v>
      </c>
      <c r="AC33" s="700">
        <v>1</v>
      </c>
      <c r="AD33" s="701">
        <v>1</v>
      </c>
      <c r="AE33" s="570" t="e" cm="1" vm="15">
        <f t="array" aca="1" ref="AE33" ca="1">Ver_flag_visit</f>
        <v>#VALUE!</v>
      </c>
      <c r="AF33" s="33" t="str">
        <f ca="1">A31</f>
        <v>Australia</v>
      </c>
      <c r="AG33" s="304">
        <f t="shared" si="104"/>
        <v>1</v>
      </c>
      <c r="AH33" s="183">
        <v>60</v>
      </c>
      <c r="AI33" s="169" t="str">
        <f t="shared" si="108"/>
        <v>4D</v>
      </c>
      <c r="AJ33" s="44">
        <v>4</v>
      </c>
      <c r="AK33" s="578"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2</v>
      </c>
      <c r="AS33" s="47">
        <f t="shared" ca="1" si="107"/>
        <v>5</v>
      </c>
      <c r="AT33" s="48">
        <f t="shared" ca="1" si="107"/>
        <v>-3</v>
      </c>
      <c r="AU33" s="311">
        <f ca="1">INDEX($DL$6:$DL$53,MATCH(AI33,$DP$6:$DP$53,0))</f>
        <v>1</v>
      </c>
      <c r="AV33" s="170" t="str">
        <f ca="1">INDEX($BD$6:$BD$53,MATCH(AI33,$BM$6:$BM$53,0))</f>
        <v>Australia</v>
      </c>
      <c r="AW33" s="198"/>
      <c r="AX33" s="159"/>
      <c r="AY33" s="193" t="str">
        <f ca="1">+A32</f>
        <v>Turquía</v>
      </c>
      <c r="AZ33" s="194"/>
      <c r="BA33" s="164"/>
      <c r="BC33" s="16" t="str">
        <f ca="1">+INDEX(T_Equipos[Grupo],MATCH(WORLDCUP!BD33,T_Equipos[NombreEquipo],0))</f>
        <v>G</v>
      </c>
      <c r="BD33" s="16" t="str">
        <f ca="1">+Equipos!B29</f>
        <v>Nueva Zelanda</v>
      </c>
      <c r="BE33" s="16">
        <f t="shared" ca="1" si="16"/>
        <v>3</v>
      </c>
      <c r="BF33" s="16">
        <f t="shared" ca="1" si="41"/>
        <v>3</v>
      </c>
      <c r="BG33" s="16">
        <f t="shared" ca="1" si="17"/>
        <v>1</v>
      </c>
      <c r="BH33" s="16">
        <f t="shared" ca="1" si="18"/>
        <v>0</v>
      </c>
      <c r="BI33" s="16">
        <f t="shared" ca="1" si="19"/>
        <v>2</v>
      </c>
      <c r="BJ33" s="16">
        <f t="shared" ca="1" si="20"/>
        <v>2</v>
      </c>
      <c r="BK33" s="16">
        <f t="shared" ca="1" si="21"/>
        <v>6</v>
      </c>
      <c r="BL33" s="16">
        <f t="shared" ca="1" si="42"/>
        <v>-4</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3</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Egipto</v>
      </c>
    </row>
    <row r="34" spans="1:121" ht="16"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2"/>
      <c r="X34" s="143"/>
      <c r="Y34" s="142"/>
      <c r="Z34" s="144"/>
      <c r="AA34" s="145"/>
      <c r="AB34" s="146"/>
      <c r="AC34" s="139"/>
      <c r="AD34" s="139">
        <v>5</v>
      </c>
      <c r="AE34" s="146"/>
      <c r="AF34" s="147"/>
      <c r="AG34" s="306"/>
      <c r="AH34" s="183"/>
      <c r="AI34" s="168"/>
      <c r="AJ34" s="148"/>
      <c r="AK34" s="149"/>
      <c r="AL34" s="150"/>
      <c r="AM34" s="151"/>
      <c r="AN34" s="148"/>
      <c r="AO34" s="148"/>
      <c r="AP34" s="148"/>
      <c r="AQ34" s="148"/>
      <c r="AR34" s="148"/>
      <c r="AS34" s="148"/>
      <c r="AT34" s="148"/>
      <c r="AU34" s="311"/>
      <c r="AV34" s="177"/>
      <c r="AW34" s="199"/>
      <c r="AX34" s="159"/>
      <c r="AY34" s="142"/>
      <c r="AZ34" s="143"/>
      <c r="BA34" s="164"/>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2</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5" t="str">
        <f>X19</f>
        <v>Fecha</v>
      </c>
      <c r="Y35" s="65" t="str">
        <f>Y19</f>
        <v>Hora</v>
      </c>
      <c r="Z35" s="51" t="str">
        <f t="shared" ref="Z35:AA35" si="109">Z19</f>
        <v>Jor.</v>
      </c>
      <c r="AA35" s="53" t="str">
        <f t="shared" si="109"/>
        <v>Casa</v>
      </c>
      <c r="AB35" s="52"/>
      <c r="AC35" s="51" t="str">
        <f>AC3</f>
        <v>Gol</v>
      </c>
      <c r="AD35" s="51" t="str">
        <f>AD3</f>
        <v>Gol</v>
      </c>
      <c r="AE35" s="52"/>
      <c r="AF35" s="54" t="str">
        <f t="shared" ref="AF35" si="110">AF19</f>
        <v>Fuera</v>
      </c>
      <c r="AG35" s="305"/>
      <c r="AH35" s="183"/>
      <c r="AI35" s="167"/>
      <c r="AJ35" s="150"/>
      <c r="AK35" s="574"/>
      <c r="AL35" s="150"/>
      <c r="AM35" s="150"/>
      <c r="AN35" s="150"/>
      <c r="AO35" s="150"/>
      <c r="AP35" s="150"/>
      <c r="AQ35" s="150"/>
      <c r="AR35" s="150"/>
      <c r="AS35" s="150"/>
      <c r="AT35" s="150"/>
      <c r="AU35" s="312"/>
      <c r="AV35" s="176"/>
      <c r="AW35" s="200"/>
      <c r="AX35" s="160"/>
      <c r="AY35" s="142"/>
      <c r="AZ35" s="143"/>
      <c r="BA35" s="164"/>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7</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-6</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0" t="s">
        <v>3</v>
      </c>
      <c r="X36" s="24">
        <f ca="1">Horarios!C36</f>
        <v>46187.791666666664</v>
      </c>
      <c r="Y36" s="25">
        <f ca="1">Horarios!C36</f>
        <v>46187.791666666664</v>
      </c>
      <c r="Z36" s="26" t="str">
        <f>$Z$4</f>
        <v>J1</v>
      </c>
      <c r="AA36" s="27" t="str">
        <f ca="1">A37</f>
        <v>Alemania</v>
      </c>
      <c r="AB36" s="49" t="e" cm="1" vm="17">
        <f t="array" aca="1" ref="AB36" ca="1">Ver_flag_local</f>
        <v>#VALUE!</v>
      </c>
      <c r="AC36" s="700">
        <v>3</v>
      </c>
      <c r="AD36" s="701">
        <v>0</v>
      </c>
      <c r="AE36" s="569" t="e" cm="1" vm="18">
        <f t="array" aca="1" ref="AE36" ca="1">Ver_flag_visit</f>
        <v>#VALUE!</v>
      </c>
      <c r="AF36" s="32" t="str">
        <f ca="1">A38</f>
        <v>Curazao</v>
      </c>
      <c r="AG36" s="304">
        <f t="shared" ref="AG36:AG41" si="124">IF(NOT(OR(ISBLANK(AC36),ISBLANK(AD36))),1,0)</f>
        <v>1</v>
      </c>
      <c r="AH36" s="183">
        <v>10</v>
      </c>
      <c r="AI36" s="169"/>
      <c r="AJ36" s="55" t="str">
        <f>CONCATENATE(AJ3," ",B36)</f>
        <v>Grupo E</v>
      </c>
      <c r="AK36" s="56"/>
      <c r="AL36" s="56"/>
      <c r="AM36" s="56"/>
      <c r="AN36" s="56"/>
      <c r="AO36" s="56"/>
      <c r="AP36" s="56"/>
      <c r="AQ36" s="56"/>
      <c r="AR36" s="56"/>
      <c r="AS36" s="56"/>
      <c r="AT36" s="57"/>
      <c r="AU36" s="312"/>
      <c r="AV36" s="268" t="str">
        <f ca="1">IF(AU37&gt;0,$AV$3,"")</f>
        <v/>
      </c>
      <c r="AW36" s="155"/>
      <c r="AX36" s="155"/>
      <c r="AY36" s="142"/>
      <c r="AZ36" s="143"/>
      <c r="BA36" s="164"/>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5</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 customHeight="1" thickBo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50"/>
      <c r="X37" s="24">
        <f ca="1">Horarios!C37</f>
        <v>46188.041666666664</v>
      </c>
      <c r="Y37" s="25">
        <f ca="1">Horarios!C37</f>
        <v>46188.041666666664</v>
      </c>
      <c r="Z37" s="26" t="str">
        <f>$Z$4</f>
        <v>J1</v>
      </c>
      <c r="AA37" s="27" t="str">
        <f ca="1">A39</f>
        <v>Costa de Marfil</v>
      </c>
      <c r="AB37" s="49" t="e" cm="1" vm="19">
        <f t="array" aca="1" ref="AB37" ca="1">Ver_flag_local</f>
        <v>#VALUE!</v>
      </c>
      <c r="AC37" s="700">
        <v>1</v>
      </c>
      <c r="AD37" s="701">
        <v>1</v>
      </c>
      <c r="AE37" s="569" t="e" cm="1" vm="20">
        <f t="array" aca="1" ref="AE37" ca="1">Ver_flag_visit</f>
        <v>#VALUE!</v>
      </c>
      <c r="AF37" s="32" t="str">
        <f ca="1">A40</f>
        <v>Ecuador</v>
      </c>
      <c r="AG37" s="304">
        <f t="shared" si="124"/>
        <v>1</v>
      </c>
      <c r="AH37" s="183">
        <v>9</v>
      </c>
      <c r="AI37" s="169"/>
      <c r="AJ37" s="58" t="str">
        <f>AJ5</f>
        <v>Pos</v>
      </c>
      <c r="AK37" s="59"/>
      <c r="AL37" s="60" t="str">
        <f t="shared" ref="AL37:AT37" si="125">AL5</f>
        <v>Selección</v>
      </c>
      <c r="AM37" s="59" t="str">
        <f t="shared" si="125"/>
        <v>Pts</v>
      </c>
      <c r="AN37" s="59" t="str">
        <f t="shared" si="125"/>
        <v>J</v>
      </c>
      <c r="AO37" s="59" t="str">
        <f t="shared" si="125"/>
        <v>G</v>
      </c>
      <c r="AP37" s="59" t="str">
        <f t="shared" si="125"/>
        <v>E</v>
      </c>
      <c r="AQ37" s="59" t="str">
        <f t="shared" si="125"/>
        <v>P</v>
      </c>
      <c r="AR37" s="59" t="str">
        <f t="shared" si="125"/>
        <v>GF</v>
      </c>
      <c r="AS37" s="59" t="str">
        <f t="shared" si="125"/>
        <v>GC</v>
      </c>
      <c r="AT37" s="61" t="str">
        <f t="shared" si="125"/>
        <v>DG</v>
      </c>
      <c r="AU37" s="312">
        <f t="shared" ref="AU37" ca="1" si="126">COUNTIF(AU38:AU41,"&gt;1")</f>
        <v>0</v>
      </c>
      <c r="AV37" s="180"/>
      <c r="AW37" s="155"/>
      <c r="AX37" s="155"/>
      <c r="AY37" s="195" t="str">
        <f>AL37</f>
        <v>Selección</v>
      </c>
      <c r="AZ37" s="196" t="str">
        <f>+Idiomas!$D$67</f>
        <v>Puntos penalizados</v>
      </c>
      <c r="BA37" s="164"/>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 customHeight="1" thickBo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50"/>
      <c r="X38" s="24">
        <f ca="1">Horarios!C38</f>
        <v>46193.916666666664</v>
      </c>
      <c r="Y38" s="25">
        <f ca="1">Horarios!C38</f>
        <v>46193.916666666664</v>
      </c>
      <c r="Z38" s="26" t="str">
        <f>$Z$6</f>
        <v>J2</v>
      </c>
      <c r="AA38" s="27" t="str">
        <f ca="1">A37</f>
        <v>Alemania</v>
      </c>
      <c r="AB38" s="49" t="e" cm="1" vm="17">
        <f t="array" aca="1" ref="AB38" ca="1">Ver_flag_local</f>
        <v>#VALUE!</v>
      </c>
      <c r="AC38" s="700">
        <v>3</v>
      </c>
      <c r="AD38" s="701">
        <v>1</v>
      </c>
      <c r="AE38" s="569" t="e" cm="1" vm="19">
        <f t="array" aca="1" ref="AE38" ca="1">Ver_flag_visit</f>
        <v>#VALUE!</v>
      </c>
      <c r="AF38" s="32" t="str">
        <f ca="1">A39</f>
        <v>Costa de Marfil</v>
      </c>
      <c r="AG38" s="304">
        <f t="shared" si="124"/>
        <v>1</v>
      </c>
      <c r="AH38" s="183">
        <v>33</v>
      </c>
      <c r="AI38" s="169" t="str">
        <f>AJ38&amp;$B$36</f>
        <v>1E</v>
      </c>
      <c r="AJ38" s="40">
        <v>1</v>
      </c>
      <c r="AK38" s="575"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1</v>
      </c>
      <c r="AT38" s="41">
        <f t="shared" ca="1" si="127"/>
        <v>7</v>
      </c>
      <c r="AU38" s="311">
        <f ca="1">INDEX($DL$6:$DL$53,MATCH(AI38,$DP$6:$DP$53,0))</f>
        <v>1</v>
      </c>
      <c r="AV38" s="170" t="str">
        <f ca="1">INDEX($BD$6:$BD$53,MATCH(AI38,$BM$6:$BM$53,0))</f>
        <v>Alemania</v>
      </c>
      <c r="AW38" s="198"/>
      <c r="AX38" s="159"/>
      <c r="AY38" s="189" t="str">
        <f ca="1">+A37</f>
        <v>Alemania</v>
      </c>
      <c r="AZ38" s="190"/>
      <c r="BA38" s="164"/>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thickBo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50"/>
      <c r="X39" s="24">
        <f ca="1">Horarios!C39</f>
        <v>46194.083333333336</v>
      </c>
      <c r="Y39" s="25">
        <f ca="1">Horarios!C39</f>
        <v>46194.083333333336</v>
      </c>
      <c r="Z39" s="26" t="str">
        <f>$Z$6</f>
        <v>J2</v>
      </c>
      <c r="AA39" s="27" t="str">
        <f ca="1">A40</f>
        <v>Ecuador</v>
      </c>
      <c r="AB39" s="49" t="e" cm="1" vm="20">
        <f t="array" aca="1" ref="AB39" ca="1">Ver_flag_local</f>
        <v>#VALUE!</v>
      </c>
      <c r="AC39" s="700">
        <v>2</v>
      </c>
      <c r="AD39" s="701">
        <v>0</v>
      </c>
      <c r="AE39" s="569" t="e" cm="1" vm="18">
        <f t="array" aca="1" ref="AE39" ca="1">Ver_flag_visit</f>
        <v>#VALUE!</v>
      </c>
      <c r="AF39" s="32" t="str">
        <f ca="1">A38</f>
        <v>Curazao</v>
      </c>
      <c r="AG39" s="304">
        <f t="shared" si="124"/>
        <v>1</v>
      </c>
      <c r="AH39" s="183">
        <v>34</v>
      </c>
      <c r="AI39" s="169" t="str">
        <f t="shared" ref="AI39:AI41" si="128">AJ39&amp;$B$36</f>
        <v>2E</v>
      </c>
      <c r="AJ39" s="42">
        <v>2</v>
      </c>
      <c r="AK39" s="576" t="e" cm="1" vm="19">
        <f t="array" aca="1" ref="AK39" ca="1">Ver_flag_visit</f>
        <v>#VALUE!</v>
      </c>
      <c r="AL39" s="37" t="str">
        <f ca="1">IFERROR(INDEX($BD$6:$BD$53,MATCH(AI39,$BN$6:$BN$53,0)),"")</f>
        <v>Costa de Marfil</v>
      </c>
      <c r="AM39" s="38">
        <f t="shared" ca="1" si="127"/>
        <v>4</v>
      </c>
      <c r="AN39" s="39">
        <f t="shared" ca="1" si="127"/>
        <v>3</v>
      </c>
      <c r="AO39" s="39">
        <f t="shared" ca="1" si="127"/>
        <v>1</v>
      </c>
      <c r="AP39" s="39">
        <f t="shared" ca="1" si="127"/>
        <v>1</v>
      </c>
      <c r="AQ39" s="39">
        <f t="shared" ca="1" si="127"/>
        <v>1</v>
      </c>
      <c r="AR39" s="39">
        <f t="shared" ca="1" si="127"/>
        <v>4</v>
      </c>
      <c r="AS39" s="39">
        <f t="shared" ca="1" si="127"/>
        <v>4</v>
      </c>
      <c r="AT39" s="43">
        <f t="shared" ca="1" si="127"/>
        <v>0</v>
      </c>
      <c r="AU39" s="311">
        <f ca="1">INDEX($DL$6:$DL$53,MATCH(AI39,$DP$6:$DP$53,0))</f>
        <v>1</v>
      </c>
      <c r="AV39" s="170" t="str">
        <f ca="1">INDEX($BD$6:$BD$53,MATCH(AI39,$BM$6:$BM$53,0))</f>
        <v>Costa de Marfil</v>
      </c>
      <c r="AW39" s="198"/>
      <c r="AX39" s="159"/>
      <c r="AY39" s="191" t="str">
        <f ca="1">+A38</f>
        <v>Curazao</v>
      </c>
      <c r="AZ39" s="192"/>
      <c r="BA39" s="164"/>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3</v>
      </c>
      <c r="BK39" s="16">
        <f t="shared" ca="1" si="21"/>
        <v>3</v>
      </c>
      <c r="BL39" s="16">
        <f t="shared" ca="1" si="42"/>
        <v>0</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0</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P.2 (2)</v>
      </c>
      <c r="CZ39" s="16">
        <f t="shared" ca="1" si="37"/>
        <v>3</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P.2 (2)</v>
      </c>
      <c r="DC39" s="16">
        <f ca="1">IF(DB39="-","-",COUNTIFS(T_Equipos[Rank],"&lt;"&amp;INDEX(T_Equipos[Rank],MATCH(BD39,T_Equipos[NombreEquipo],0)),$BC$6:$BC$53,INDEX(T_Equipos[Grupo],MATCH(BD39,T_Equipos[NombreEquipo],0)))+1)</f>
        <v>2</v>
      </c>
      <c r="DD39" s="16">
        <f ca="1">DA39+COUNTIFS($DB$6:$DB$53,DB39,$DC$6:DC$53,"&lt;"&amp;DC39,$BC$6:$BC$53,INDEX(T_Equipos[Grupo],MATCH(BD39,T_Equipos[NombreEquipo],0)))</f>
        <v>2</v>
      </c>
      <c r="DE39" s="16"/>
      <c r="DF39" s="16">
        <f t="shared" ca="1" si="52"/>
        <v>2</v>
      </c>
      <c r="DG39" s="16">
        <f ca="1">IF(DB39="-","-",COUNTIFS(DF$6:DF$53,"&lt;"&amp;DF39,$BC$6:$BC$53,INDEX(T_Equipos[Grupo],MATCH(BD39,T_Equipos[NombreEquipo],0))))</f>
        <v>1</v>
      </c>
      <c r="DH39" s="16">
        <f ca="1">DA39+COUNTIFS(DB$6:DB$53,DB39,DG$6:DG$53,"&lt;"&amp;DG39,$BC$6:$BC$53,INDEX(T_Equipos[Grupo],MATCH(BD39,T_Equipos[NombreEquipo],0)))</f>
        <v>2</v>
      </c>
      <c r="DI39" s="16"/>
      <c r="DJ39" s="16">
        <f t="shared" ca="1" si="38"/>
        <v>2</v>
      </c>
      <c r="DK39" s="16">
        <f t="shared" ca="1" si="39"/>
        <v>12</v>
      </c>
      <c r="DL39" s="16">
        <f t="shared" ca="1" si="40"/>
        <v>2</v>
      </c>
      <c r="DM39" s="16" t="str">
        <f t="shared" ca="1" si="46"/>
        <v>2.2</v>
      </c>
      <c r="DN39" s="16" t="e" cm="1" vm="21">
        <f t="array" aca="1" ref="DN39" ca="1">OFFSET(Horarios!$P$3,DJ39-1,0,DL39,1)</f>
        <v>#VALUE!</v>
      </c>
      <c r="DO39" s="16"/>
      <c r="DP39" s="16" t="s">
        <v>686</v>
      </c>
      <c r="DQ39" s="16" t="str">
        <f t="shared" ca="1" si="47"/>
        <v>Senegal</v>
      </c>
    </row>
    <row r="40" spans="1:121" ht="16" customHeight="1" thickBo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50"/>
      <c r="X40" s="24">
        <f ca="1">Horarios!C40</f>
        <v>46198.916666666664</v>
      </c>
      <c r="Y40" s="25">
        <f ca="1">Horarios!C40</f>
        <v>46198.916666666664</v>
      </c>
      <c r="Z40" s="26" t="str">
        <f>$Z$8</f>
        <v>J3</v>
      </c>
      <c r="AA40" s="27" t="str">
        <f ca="1">A38</f>
        <v>Curazao</v>
      </c>
      <c r="AB40" s="49" t="e" cm="1" vm="18">
        <f t="array" aca="1" ref="AB40" ca="1">Ver_flag_local</f>
        <v>#VALUE!</v>
      </c>
      <c r="AC40" s="700">
        <v>0</v>
      </c>
      <c r="AD40" s="701">
        <v>2</v>
      </c>
      <c r="AE40" s="569" t="e" cm="1" vm="19">
        <f t="array" aca="1" ref="AE40" ca="1">Ver_flag_visit</f>
        <v>#VALUE!</v>
      </c>
      <c r="AF40" s="32" t="str">
        <f ca="1">A39</f>
        <v>Costa de Marfil</v>
      </c>
      <c r="AG40" s="304">
        <f t="shared" si="124"/>
        <v>1</v>
      </c>
      <c r="AH40" s="183">
        <v>55</v>
      </c>
      <c r="AI40" s="169" t="str">
        <f t="shared" si="128"/>
        <v>3E</v>
      </c>
      <c r="AJ40" s="42">
        <v>3</v>
      </c>
      <c r="AK40" s="576" t="e" cm="1" vm="20">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3</v>
      </c>
      <c r="AS40" s="39">
        <f t="shared" ca="1" si="127"/>
        <v>3</v>
      </c>
      <c r="AT40" s="43">
        <f t="shared" ca="1" si="127"/>
        <v>0</v>
      </c>
      <c r="AU40" s="311">
        <f ca="1">INDEX($DL$6:$DL$53,MATCH(AI40,$DP$6:$DP$53,0))</f>
        <v>1</v>
      </c>
      <c r="AV40" s="170" t="str">
        <f ca="1">INDEX($BD$6:$BD$53,MATCH(AI40,$BM$6:$BM$53,0))</f>
        <v>Ecuador</v>
      </c>
      <c r="AW40" s="198"/>
      <c r="AX40" s="159"/>
      <c r="AY40" s="189" t="str">
        <f ca="1">+A39</f>
        <v>Costa de Marfil</v>
      </c>
      <c r="AZ40" s="190"/>
      <c r="BA40" s="164"/>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6</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2</v>
      </c>
      <c r="DK40" s="16">
        <f t="shared" ca="1" si="39"/>
        <v>12</v>
      </c>
      <c r="DL40" s="16">
        <f t="shared" ca="1" si="40"/>
        <v>2</v>
      </c>
      <c r="DM40" s="16" t="str">
        <f t="shared" ca="1" si="46"/>
        <v>2.2</v>
      </c>
      <c r="DN40" s="16" t="e" cm="1" vm="21">
        <f t="array" aca="1" ref="DN40" ca="1">OFFSET(Horarios!$P$3,DJ40-1,0,DL40,1)</f>
        <v>#VALUE!</v>
      </c>
      <c r="DO40" s="16"/>
      <c r="DP40" s="16" t="s">
        <v>450</v>
      </c>
      <c r="DQ40" s="16" t="str">
        <f t="shared" ca="1" si="47"/>
        <v>Noruega</v>
      </c>
    </row>
    <row r="41" spans="1:121" ht="16"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51"/>
      <c r="X41" s="28">
        <f ca="1">Horarios!C41</f>
        <v>46198.916666666664</v>
      </c>
      <c r="Y41" s="29">
        <f ca="1">Horarios!C41</f>
        <v>46198.916666666664</v>
      </c>
      <c r="Z41" s="30" t="str">
        <f>$Z$8</f>
        <v>J3</v>
      </c>
      <c r="AA41" s="31" t="str">
        <f ca="1">A40</f>
        <v>Ecuador</v>
      </c>
      <c r="AB41" s="50" t="e" cm="1" vm="20">
        <f t="array" aca="1" ref="AB41" ca="1">Ver_flag_local</f>
        <v>#VALUE!</v>
      </c>
      <c r="AC41" s="700">
        <v>0</v>
      </c>
      <c r="AD41" s="701">
        <v>2</v>
      </c>
      <c r="AE41" s="570" t="e" cm="1" vm="17">
        <f t="array" aca="1" ref="AE41" ca="1">Ver_flag_visit</f>
        <v>#VALUE!</v>
      </c>
      <c r="AF41" s="33" t="str">
        <f ca="1">A37</f>
        <v>Alemania</v>
      </c>
      <c r="AG41" s="304">
        <f t="shared" si="124"/>
        <v>1</v>
      </c>
      <c r="AH41" s="183">
        <v>56</v>
      </c>
      <c r="AI41" s="169" t="str">
        <f t="shared" si="128"/>
        <v>4E</v>
      </c>
      <c r="AJ41" s="44">
        <v>4</v>
      </c>
      <c r="AK41" s="578"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7</v>
      </c>
      <c r="AT41" s="48">
        <f t="shared" ca="1" si="127"/>
        <v>-7</v>
      </c>
      <c r="AU41" s="311">
        <f ca="1">INDEX($DL$6:$DL$53,MATCH(AI41,$DP$6:$DP$53,0))</f>
        <v>1</v>
      </c>
      <c r="AV41" s="170" t="str">
        <f ca="1">INDEX($BD$6:$BD$53,MATCH(AI41,$BM$6:$BM$53,0))</f>
        <v>Curazao</v>
      </c>
      <c r="AW41" s="198"/>
      <c r="AX41" s="159"/>
      <c r="AY41" s="193" t="str">
        <f ca="1">+A40</f>
        <v>Ecuador</v>
      </c>
      <c r="AZ41" s="194"/>
      <c r="BA41" s="164"/>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3</v>
      </c>
      <c r="BK41" s="16">
        <f t="shared" ca="1" si="21"/>
        <v>3</v>
      </c>
      <c r="BL41" s="16">
        <f t="shared" ca="1" si="42"/>
        <v>0</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0</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P.2 (2)</v>
      </c>
      <c r="CZ41" s="16">
        <f t="shared" ca="1" si="37"/>
        <v>3</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P.2 (2)</v>
      </c>
      <c r="DC41" s="16">
        <f ca="1">IF(DB41="-","-",COUNTIFS(T_Equipos[Rank],"&lt;"&amp;INDEX(T_Equipos[Rank],MATCH(BD41,T_Equipos[NombreEquipo],0)),$BC$6:$BC$53,INDEX(T_Equipos[Grupo],MATCH(BD41,T_Equipos[NombreEquipo],0)))+1)</f>
        <v>4</v>
      </c>
      <c r="DD41" s="16">
        <f ca="1">DA41+COUNTIFS($DB$6:$DB$53,DB41,$DC$6:DC$53,"&lt;"&amp;DC41,$BC$6:$BC$53,INDEX(T_Equipos[Grupo],MATCH(BD41,T_Equipos[NombreEquipo],0)))</f>
        <v>3</v>
      </c>
      <c r="DE41" s="16"/>
      <c r="DF41" s="16">
        <f t="shared" ca="1" si="52"/>
        <v>3</v>
      </c>
      <c r="DG41" s="16">
        <f ca="1">IF(DB41="-","-",COUNTIFS(DF$6:DF$53,"&lt;"&amp;DF41,$BC$6:$BC$53,INDEX(T_Equipos[Grupo],MATCH(BD41,T_Equipos[NombreEquipo],0))))</f>
        <v>2</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42"/>
      <c r="X42" s="143"/>
      <c r="Y42" s="142"/>
      <c r="Z42" s="144"/>
      <c r="AA42" s="145"/>
      <c r="AB42" s="146"/>
      <c r="AC42" s="139"/>
      <c r="AD42" s="139"/>
      <c r="AE42" s="146"/>
      <c r="AF42" s="147"/>
      <c r="AG42" s="306"/>
      <c r="AH42" s="183"/>
      <c r="AI42" s="168"/>
      <c r="AJ42" s="148"/>
      <c r="AK42" s="149"/>
      <c r="AL42" s="150"/>
      <c r="AM42" s="151"/>
      <c r="AN42" s="148"/>
      <c r="AO42" s="148"/>
      <c r="AP42" s="148"/>
      <c r="AQ42" s="148"/>
      <c r="AR42" s="148"/>
      <c r="AS42" s="148"/>
      <c r="AT42" s="148"/>
      <c r="AU42" s="311"/>
      <c r="AV42" s="177"/>
      <c r="AW42" s="199"/>
      <c r="AX42" s="159"/>
      <c r="AY42" s="142"/>
      <c r="AZ42" s="143"/>
      <c r="BA42" s="164"/>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5" t="str">
        <f>X27</f>
        <v>Fecha</v>
      </c>
      <c r="Y43" s="65" t="str">
        <f>Y27</f>
        <v>Hora</v>
      </c>
      <c r="Z43" s="51" t="str">
        <f t="shared" ref="Z43:AA43" si="129">Z27</f>
        <v>Jor.</v>
      </c>
      <c r="AA43" s="53" t="str">
        <f t="shared" si="129"/>
        <v>Casa</v>
      </c>
      <c r="AB43" s="52"/>
      <c r="AC43" s="51" t="str">
        <f>AC3</f>
        <v>Gol</v>
      </c>
      <c r="AD43" s="51" t="str">
        <f>AD3</f>
        <v>Gol</v>
      </c>
      <c r="AE43" s="52"/>
      <c r="AF43" s="54" t="str">
        <f t="shared" ref="AF43" si="130">AF27</f>
        <v>Fuera</v>
      </c>
      <c r="AG43" s="305"/>
      <c r="AH43" s="183"/>
      <c r="AI43" s="167"/>
      <c r="AJ43" s="150"/>
      <c r="AK43" s="574"/>
      <c r="AL43" s="150"/>
      <c r="AM43" s="150"/>
      <c r="AN43" s="150"/>
      <c r="AO43" s="150"/>
      <c r="AP43" s="150"/>
      <c r="AQ43" s="150"/>
      <c r="AR43" s="150"/>
      <c r="AS43" s="150"/>
      <c r="AT43" s="150"/>
      <c r="AU43" s="312"/>
      <c r="AV43" s="176"/>
      <c r="AW43" s="200"/>
      <c r="AX43" s="160"/>
      <c r="AY43" s="142"/>
      <c r="AZ43" s="143"/>
      <c r="BA43" s="164"/>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2</v>
      </c>
      <c r="BK43" s="16">
        <f t="shared" ca="1" si="21"/>
        <v>5</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3" t="s">
        <v>4</v>
      </c>
      <c r="X44" s="24">
        <f ca="1">Horarios!C44</f>
        <v>46187.916666666664</v>
      </c>
      <c r="Y44" s="25">
        <f ca="1">Horarios!C44</f>
        <v>46187.916666666664</v>
      </c>
      <c r="Z44" s="26" t="str">
        <f>$Z$4</f>
        <v>J1</v>
      </c>
      <c r="AA44" s="27" t="str">
        <f ca="1">A45</f>
        <v>Países Bajos</v>
      </c>
      <c r="AB44" s="49" t="e" cm="1" vm="22">
        <f t="array" aca="1" ref="AB44" ca="1">Ver_flag_local</f>
        <v>#VALUE!</v>
      </c>
      <c r="AC44" s="700">
        <v>2</v>
      </c>
      <c r="AD44" s="701">
        <v>3</v>
      </c>
      <c r="AE44" s="569" t="e" cm="1" vm="23">
        <f t="array" aca="1" ref="AE44" ca="1">Ver_flag_visit</f>
        <v>#VALUE!</v>
      </c>
      <c r="AF44" s="32" t="str">
        <f ca="1">A46</f>
        <v>Japón</v>
      </c>
      <c r="AG44" s="304">
        <f t="shared" ref="AG44:AG49" si="144">IF(NOT(OR(ISBLANK(AC44),ISBLANK(AD44))),1,0)</f>
        <v>1</v>
      </c>
      <c r="AH44" s="183">
        <v>11</v>
      </c>
      <c r="AI44" s="169"/>
      <c r="AJ44" s="55" t="str">
        <f>CONCATENATE(AJ3," ",B44)</f>
        <v>Grupo F</v>
      </c>
      <c r="AK44" s="56"/>
      <c r="AL44" s="56"/>
      <c r="AM44" s="56"/>
      <c r="AN44" s="56"/>
      <c r="AO44" s="56"/>
      <c r="AP44" s="56"/>
      <c r="AQ44" s="56"/>
      <c r="AR44" s="56"/>
      <c r="AS44" s="56"/>
      <c r="AT44" s="57"/>
      <c r="AU44" s="312"/>
      <c r="AV44" s="268" t="str">
        <f ca="1">IF(AU45&gt;0,$AV$3,"")</f>
        <v/>
      </c>
      <c r="AW44" s="155"/>
      <c r="AX44" s="155"/>
      <c r="AY44" s="142"/>
      <c r="AZ44" s="143"/>
      <c r="BA44" s="164"/>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5</v>
      </c>
      <c r="BK44" s="16">
        <f t="shared" ca="1" si="21"/>
        <v>4</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thickBot="1">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3"/>
      <c r="X45" s="24">
        <f ca="1">Horarios!C45</f>
        <v>46188.166666666664</v>
      </c>
      <c r="Y45" s="25">
        <f ca="1">Horarios!C45</f>
        <v>46188.166666666664</v>
      </c>
      <c r="Z45" s="26" t="str">
        <f>$Z$4</f>
        <v>J1</v>
      </c>
      <c r="AA45" s="27" t="str">
        <f ca="1">A47</f>
        <v>Suecia</v>
      </c>
      <c r="AB45" s="49" t="e" cm="1" vm="24">
        <f t="array" aca="1" ref="AB45" ca="1">Ver_flag_local</f>
        <v>#VALUE!</v>
      </c>
      <c r="AC45" s="700">
        <v>1</v>
      </c>
      <c r="AD45" s="701">
        <v>1</v>
      </c>
      <c r="AE45" s="569" t="e" cm="1" vm="25">
        <f t="array" aca="1" ref="AE45" ca="1">Ver_flag_visit</f>
        <v>#VALUE!</v>
      </c>
      <c r="AF45" s="32" t="str">
        <f ca="1">A48</f>
        <v>Túnez</v>
      </c>
      <c r="AG45" s="304">
        <f t="shared" si="144"/>
        <v>1</v>
      </c>
      <c r="AH45" s="183">
        <v>12</v>
      </c>
      <c r="AI45" s="169"/>
      <c r="AJ45" s="58" t="str">
        <f>AJ5</f>
        <v>Pos</v>
      </c>
      <c r="AK45" s="59"/>
      <c r="AL45" s="60" t="str">
        <f t="shared" ref="AL45:AT45" si="145">AL5</f>
        <v>Selección</v>
      </c>
      <c r="AM45" s="59" t="str">
        <f t="shared" si="145"/>
        <v>Pts</v>
      </c>
      <c r="AN45" s="59" t="str">
        <f t="shared" si="145"/>
        <v>J</v>
      </c>
      <c r="AO45" s="59" t="str">
        <f t="shared" si="145"/>
        <v>G</v>
      </c>
      <c r="AP45" s="59" t="str">
        <f t="shared" si="145"/>
        <v>E</v>
      </c>
      <c r="AQ45" s="59" t="str">
        <f t="shared" si="145"/>
        <v>P</v>
      </c>
      <c r="AR45" s="59" t="str">
        <f t="shared" si="145"/>
        <v>GF</v>
      </c>
      <c r="AS45" s="59" t="str">
        <f t="shared" si="145"/>
        <v>GC</v>
      </c>
      <c r="AT45" s="61" t="str">
        <f t="shared" si="145"/>
        <v>DG</v>
      </c>
      <c r="AU45" s="312">
        <f t="shared" ref="AU45" ca="1" si="146">COUNTIF(AU46:AU49,"&gt;1")</f>
        <v>0</v>
      </c>
      <c r="AV45" s="180"/>
      <c r="AW45" s="155"/>
      <c r="AX45" s="155"/>
      <c r="AY45" s="195" t="str">
        <f>AL45</f>
        <v>Selección</v>
      </c>
      <c r="AZ45" s="196" t="str">
        <f>+Idiomas!$D$67</f>
        <v>Puntos penalizados</v>
      </c>
      <c r="BA45" s="164"/>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5</v>
      </c>
      <c r="BL45" s="16">
        <f t="shared" ca="1" si="42"/>
        <v>-4</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 customHeight="1" thickBot="1">
      <c r="A46" s="16" t="str">
        <f ca="1">+Equipos!B23</f>
        <v>Japón</v>
      </c>
      <c r="B46" s="16"/>
      <c r="C46" s="16"/>
      <c r="D46" s="16" t="str">
        <f t="shared" si="131"/>
        <v>Empate</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3"/>
      <c r="X46" s="24">
        <f ca="1">Horarios!C46</f>
        <v>46193.791666666664</v>
      </c>
      <c r="Y46" s="25">
        <f ca="1">Horarios!C46</f>
        <v>46193.791666666664</v>
      </c>
      <c r="Z46" s="26" t="str">
        <f>$Z$6</f>
        <v>J2</v>
      </c>
      <c r="AA46" s="27" t="str">
        <f ca="1">A45</f>
        <v>Países Bajos</v>
      </c>
      <c r="AB46" s="49" t="e" cm="1" vm="22">
        <f t="array" aca="1" ref="AB46" ca="1">Ver_flag_local</f>
        <v>#VALUE!</v>
      </c>
      <c r="AC46" s="700">
        <v>1</v>
      </c>
      <c r="AD46" s="701">
        <v>1</v>
      </c>
      <c r="AE46" s="569" t="e" cm="1" vm="24">
        <f t="array" aca="1" ref="AE46" ca="1">Ver_flag_visit</f>
        <v>#VALUE!</v>
      </c>
      <c r="AF46" s="32" t="str">
        <f ca="1">A47</f>
        <v>Suecia</v>
      </c>
      <c r="AG46" s="304">
        <f t="shared" si="144"/>
        <v>1</v>
      </c>
      <c r="AH46" s="183">
        <v>35</v>
      </c>
      <c r="AI46" s="169" t="str">
        <f>AJ46&amp;$B$44</f>
        <v>1F</v>
      </c>
      <c r="AJ46" s="40">
        <v>1</v>
      </c>
      <c r="AK46" s="575" t="e" cm="1" vm="23">
        <f t="array" aca="1" ref="AK46" ca="1">Ver_flag_visit</f>
        <v>#VALUE!</v>
      </c>
      <c r="AL46" s="34" t="str">
        <f ca="1">IFERROR(INDEX($BD$6:$BD$53,MATCH(AI46,$BN$6:$BN$53,0)),"")</f>
        <v>Japón</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3</v>
      </c>
      <c r="AT46" s="41">
        <f t="shared" ca="1" si="147"/>
        <v>4</v>
      </c>
      <c r="AU46" s="311">
        <f ca="1">INDEX($DL$6:$DL$53,MATCH(AI46,$DP$6:$DP$53,0))</f>
        <v>1</v>
      </c>
      <c r="AV46" s="170" t="str">
        <f ca="1">INDEX($BD$6:$BD$53,MATCH(AI46,$BM$6:$BM$53,0))</f>
        <v>Japón</v>
      </c>
      <c r="AW46" s="198"/>
      <c r="AX46" s="159"/>
      <c r="AY46" s="189" t="str">
        <f ca="1">+A45</f>
        <v>Países Bajos</v>
      </c>
      <c r="AZ46" s="190"/>
      <c r="BA46" s="164"/>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2</v>
      </c>
      <c r="BL46" s="16">
        <f t="shared" ca="1" si="42"/>
        <v>4</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4</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(2)</v>
      </c>
      <c r="CZ46" s="16">
        <f t="shared" ca="1" si="37"/>
        <v>6</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(2)</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52"/>
        <v>1</v>
      </c>
      <c r="DG46" s="16">
        <f ca="1">IF(DB46="-","-",COUNTIFS(DF$6:DF$53,"&lt;"&amp;DF46,$BC$6:$BC$53,INDEX(T_Equipos[Grupo],MATCH(BD46,T_Equipos[NombreEquipo],0))))</f>
        <v>0</v>
      </c>
      <c r="DH46" s="16">
        <f ca="1">DA46+COUNTIFS(DB$6:DB$53,DB46,DG$6:DG$53,"&lt;"&amp;DG46,$BC$6:$BC$53,INDEX(T_Equipos[Grupo],MATCH(BD46,T_Equipos[NombreEquipo],0)))</f>
        <v>1</v>
      </c>
      <c r="DI46" s="16"/>
      <c r="DJ46" s="16">
        <f t="shared" ca="1" si="38"/>
        <v>1</v>
      </c>
      <c r="DK46" s="16">
        <f t="shared" ca="1" si="39"/>
        <v>12</v>
      </c>
      <c r="DL46" s="16">
        <f t="shared" ca="1" si="40"/>
        <v>2</v>
      </c>
      <c r="DM46" s="16" t="str">
        <f t="shared" ca="1" si="46"/>
        <v>1.2</v>
      </c>
      <c r="DN46" s="16" t="e" cm="1" vm="21">
        <f t="array" aca="1" ref="DN46" ca="1">OFFSET(Horarios!$P$3,DJ46-1,0,DL46,1)</f>
        <v>#VALUE!</v>
      </c>
      <c r="DO46" s="16"/>
      <c r="DP46" s="16" t="s">
        <v>691</v>
      </c>
      <c r="DQ46" s="16" t="str">
        <f t="shared" ca="1" si="47"/>
        <v>Portugal</v>
      </c>
    </row>
    <row r="47" spans="1:121" ht="16" customHeight="1" thickBo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3"/>
      <c r="X47" s="24">
        <f ca="1">Horarios!C47</f>
        <v>46194.25</v>
      </c>
      <c r="Y47" s="25">
        <f ca="1">Horarios!C47</f>
        <v>46194.25</v>
      </c>
      <c r="Z47" s="26" t="str">
        <f>$Z$6</f>
        <v>J2</v>
      </c>
      <c r="AA47" s="27" t="str">
        <f ca="1">A48</f>
        <v>Túnez</v>
      </c>
      <c r="AB47" s="49" t="e" cm="1" vm="25">
        <f t="array" aca="1" ref="AB47" ca="1">Ver_flag_local</f>
        <v>#VALUE!</v>
      </c>
      <c r="AC47" s="700">
        <v>0</v>
      </c>
      <c r="AD47" s="701">
        <v>2</v>
      </c>
      <c r="AE47" s="569" t="e" cm="1" vm="23">
        <f t="array" aca="1" ref="AE47" ca="1">Ver_flag_visit</f>
        <v>#VALUE!</v>
      </c>
      <c r="AF47" s="32" t="str">
        <f ca="1">A46</f>
        <v>Japón</v>
      </c>
      <c r="AG47" s="304">
        <f t="shared" si="144"/>
        <v>1</v>
      </c>
      <c r="AH47" s="183">
        <v>36</v>
      </c>
      <c r="AI47" s="169" t="str">
        <f t="shared" ref="AI47:AI49" si="148">AJ47&amp;$B$44</f>
        <v>2F</v>
      </c>
      <c r="AJ47" s="42">
        <v>2</v>
      </c>
      <c r="AK47" s="576" t="e" cm="1" vm="22">
        <f t="array" aca="1" ref="AK47" ca="1">Ver_flag_visit</f>
        <v>#VALUE!</v>
      </c>
      <c r="AL47" s="37" t="str">
        <f ca="1">IFERROR(INDEX($BD$6:$BD$53,MATCH(AI47,$BN$6:$BN$53,0)),"")</f>
        <v>Países Bajos</v>
      </c>
      <c r="AM47" s="38">
        <f t="shared" ca="1" si="147"/>
        <v>4</v>
      </c>
      <c r="AN47" s="39">
        <f t="shared" ca="1" si="147"/>
        <v>3</v>
      </c>
      <c r="AO47" s="39">
        <f t="shared" ca="1" si="147"/>
        <v>1</v>
      </c>
      <c r="AP47" s="39">
        <f t="shared" ca="1" si="147"/>
        <v>1</v>
      </c>
      <c r="AQ47" s="39">
        <f t="shared" ca="1" si="147"/>
        <v>1</v>
      </c>
      <c r="AR47" s="39">
        <f t="shared" ca="1" si="147"/>
        <v>5</v>
      </c>
      <c r="AS47" s="39">
        <f t="shared" ca="1" si="147"/>
        <v>4</v>
      </c>
      <c r="AT47" s="43">
        <f t="shared" ca="1" si="147"/>
        <v>1</v>
      </c>
      <c r="AU47" s="311">
        <f ca="1">INDEX($DL$6:$DL$53,MATCH(AI47,$DP$6:$DP$53,0))</f>
        <v>1</v>
      </c>
      <c r="AV47" s="170" t="str">
        <f ca="1">INDEX($BD$6:$BD$53,MATCH(AI47,$BM$6:$BM$53,0))</f>
        <v>Países Bajos</v>
      </c>
      <c r="AW47" s="198"/>
      <c r="AX47" s="159"/>
      <c r="AY47" s="191" t="str">
        <f ca="1">+A46</f>
        <v>Japón</v>
      </c>
      <c r="AZ47" s="192"/>
      <c r="BA47" s="164"/>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4</v>
      </c>
      <c r="BL47" s="16">
        <f t="shared" ca="1" si="42"/>
        <v>-2</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1</v>
      </c>
      <c r="DK47" s="16">
        <f t="shared" ca="1" si="39"/>
        <v>12</v>
      </c>
      <c r="DL47" s="16">
        <f t="shared" ca="1" si="40"/>
        <v>2</v>
      </c>
      <c r="DM47" s="16" t="str">
        <f t="shared" ca="1" si="46"/>
        <v>1.2</v>
      </c>
      <c r="DN47" s="16" t="e" cm="1" vm="21">
        <f t="array" aca="1" ref="DN47" ca="1">OFFSET(Horarios!$P$3,DJ47-1,0,DL47,1)</f>
        <v>#VALUE!</v>
      </c>
      <c r="DO47" s="16"/>
      <c r="DP47" s="16" t="s">
        <v>692</v>
      </c>
      <c r="DQ47" s="16" t="str">
        <f t="shared" ca="1" si="47"/>
        <v>Colombia</v>
      </c>
    </row>
    <row r="48" spans="1:121" ht="16" customHeight="1" thickBo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3"/>
      <c r="X48" s="24">
        <f ca="1">Horarios!C48</f>
        <v>46199.041666666664</v>
      </c>
      <c r="Y48" s="25">
        <f ca="1">Horarios!C48</f>
        <v>46199.041666666664</v>
      </c>
      <c r="Z48" s="26" t="str">
        <f>$Z$8</f>
        <v>J3</v>
      </c>
      <c r="AA48" s="27" t="str">
        <f ca="1">A46</f>
        <v>Japón</v>
      </c>
      <c r="AB48" s="49" t="e" cm="1" vm="23">
        <f t="array" aca="1" ref="AB48" ca="1">Ver_flag_local</f>
        <v>#VALUE!</v>
      </c>
      <c r="AC48" s="700">
        <v>2</v>
      </c>
      <c r="AD48" s="701">
        <v>1</v>
      </c>
      <c r="AE48" s="569" t="e" cm="1" vm="24">
        <f t="array" aca="1" ref="AE48" ca="1">Ver_flag_visit</f>
        <v>#VALUE!</v>
      </c>
      <c r="AF48" s="32" t="str">
        <f ca="1">A47</f>
        <v>Suecia</v>
      </c>
      <c r="AG48" s="304">
        <f t="shared" si="144"/>
        <v>1</v>
      </c>
      <c r="AH48" s="183">
        <v>57</v>
      </c>
      <c r="AI48" s="169" t="str">
        <f t="shared" si="148"/>
        <v>3F</v>
      </c>
      <c r="AJ48" s="42">
        <v>3</v>
      </c>
      <c r="AK48" s="576" t="e" cm="1" vm="24">
        <f t="array" aca="1" ref="AK48" ca="1">Ver_flag_visit</f>
        <v>#VALUE!</v>
      </c>
      <c r="AL48" s="37" t="str">
        <f ca="1">IFERROR(INDEX($BD$6:$BD$53,MATCH(AI48,$BN$6:$BN$53,0)),"")</f>
        <v>Suecia</v>
      </c>
      <c r="AM48" s="38">
        <f t="shared" ca="1" si="147"/>
        <v>2</v>
      </c>
      <c r="AN48" s="39">
        <f t="shared" ca="1" si="147"/>
        <v>3</v>
      </c>
      <c r="AO48" s="39">
        <f t="shared" ca="1" si="147"/>
        <v>0</v>
      </c>
      <c r="AP48" s="39">
        <f t="shared" ca="1" si="147"/>
        <v>2</v>
      </c>
      <c r="AQ48" s="39">
        <f t="shared" ca="1" si="147"/>
        <v>1</v>
      </c>
      <c r="AR48" s="39">
        <f t="shared" ca="1" si="147"/>
        <v>3</v>
      </c>
      <c r="AS48" s="39">
        <f t="shared" ca="1" si="147"/>
        <v>4</v>
      </c>
      <c r="AT48" s="43">
        <f t="shared" ca="1" si="147"/>
        <v>-1</v>
      </c>
      <c r="AU48" s="311">
        <f ca="1">INDEX($DL$6:$DL$53,MATCH(AI48,$DP$6:$DP$53,0))</f>
        <v>1</v>
      </c>
      <c r="AV48" s="170" t="str">
        <f ca="1">INDEX($BD$6:$BD$53,MATCH(AI48,$BM$6:$BM$53,0))</f>
        <v>Suecia</v>
      </c>
      <c r="AW48" s="198"/>
      <c r="AX48" s="159"/>
      <c r="AY48" s="189" t="str">
        <f ca="1">+A47</f>
        <v>Suecia</v>
      </c>
      <c r="AZ48" s="190"/>
      <c r="BA48" s="164"/>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1</v>
      </c>
      <c r="BK48" s="16">
        <f t="shared" ca="1" si="21"/>
        <v>7</v>
      </c>
      <c r="BL48" s="16">
        <f t="shared" ca="1" si="42"/>
        <v>-6</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4"/>
      <c r="X49" s="28">
        <f ca="1">Horarios!C49</f>
        <v>46199.041666666664</v>
      </c>
      <c r="Y49" s="29">
        <f ca="1">Horarios!C49</f>
        <v>46199.041666666664</v>
      </c>
      <c r="Z49" s="30" t="str">
        <f>$Z$8</f>
        <v>J3</v>
      </c>
      <c r="AA49" s="31" t="str">
        <f ca="1">A48</f>
        <v>Túnez</v>
      </c>
      <c r="AB49" s="50" t="e" cm="1" vm="25">
        <f t="array" aca="1" ref="AB49" ca="1">Ver_flag_local</f>
        <v>#VALUE!</v>
      </c>
      <c r="AC49" s="700">
        <v>0</v>
      </c>
      <c r="AD49" s="701">
        <v>2</v>
      </c>
      <c r="AE49" s="570" t="e" cm="1" vm="22">
        <f t="array" aca="1" ref="AE49" ca="1">Ver_flag_visit</f>
        <v>#VALUE!</v>
      </c>
      <c r="AF49" s="33" t="str">
        <f ca="1">A45</f>
        <v>Países Bajos</v>
      </c>
      <c r="AG49" s="304">
        <f t="shared" si="144"/>
        <v>1</v>
      </c>
      <c r="AH49" s="183">
        <v>58</v>
      </c>
      <c r="AI49" s="169" t="str">
        <f t="shared" si="148"/>
        <v>4F</v>
      </c>
      <c r="AJ49" s="44">
        <v>4</v>
      </c>
      <c r="AK49" s="578" t="e" cm="1" vm="25">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1</v>
      </c>
      <c r="AS49" s="47">
        <f t="shared" ca="1" si="147"/>
        <v>5</v>
      </c>
      <c r="AT49" s="48">
        <f t="shared" ca="1" si="147"/>
        <v>-4</v>
      </c>
      <c r="AU49" s="311">
        <f ca="1">INDEX($DL$6:$DL$53,MATCH(AI49,$DP$6:$DP$53,0))</f>
        <v>1</v>
      </c>
      <c r="AV49" s="170" t="str">
        <f ca="1">INDEX($BD$6:$BD$53,MATCH(AI49,$BM$6:$BM$53,0))</f>
        <v>Túnez</v>
      </c>
      <c r="AW49" s="198"/>
      <c r="AX49" s="159"/>
      <c r="AY49" s="193" t="str">
        <f ca="1">+A48</f>
        <v>Túnez</v>
      </c>
      <c r="AZ49" s="194"/>
      <c r="BA49" s="164"/>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6</v>
      </c>
      <c r="BK49" s="16">
        <f t="shared" ca="1" si="21"/>
        <v>2</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4</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(2)</v>
      </c>
      <c r="CZ49" s="16">
        <f t="shared" ca="1" si="37"/>
        <v>6</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(2)</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2</v>
      </c>
      <c r="DE49" s="16"/>
      <c r="DF49" s="16">
        <f t="shared" ca="1" si="52"/>
        <v>2</v>
      </c>
      <c r="DG49" s="16">
        <f ca="1">IF(DB49="-","-",COUNTIFS(DF$6:DF$53,"&lt;"&amp;DF49,$BC$6:$BC$53,INDEX(T_Equipos[Grupo],MATCH(BD49,T_Equipos[NombreEquipo],0))))</f>
        <v>1</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42"/>
      <c r="X50" s="143"/>
      <c r="Y50" s="142"/>
      <c r="Z50" s="144"/>
      <c r="AA50" s="145"/>
      <c r="AB50" s="146"/>
      <c r="AC50" s="139"/>
      <c r="AD50" s="139"/>
      <c r="AE50" s="146"/>
      <c r="AF50" s="147"/>
      <c r="AG50" s="306"/>
      <c r="AH50" s="183"/>
      <c r="AI50" s="168"/>
      <c r="AJ50" s="148"/>
      <c r="AK50" s="149"/>
      <c r="AL50" s="150"/>
      <c r="AM50" s="151"/>
      <c r="AN50" s="148"/>
      <c r="AO50" s="148"/>
      <c r="AP50" s="148"/>
      <c r="AQ50" s="148"/>
      <c r="AR50" s="148"/>
      <c r="AS50" s="148"/>
      <c r="AT50" s="148"/>
      <c r="AU50" s="311"/>
      <c r="AV50" s="177"/>
      <c r="AW50" s="199"/>
      <c r="AX50" s="159"/>
      <c r="AY50" s="142"/>
      <c r="AZ50" s="143"/>
      <c r="BA50" s="164"/>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1</v>
      </c>
      <c r="CB50" s="16">
        <f t="shared" ca="1" si="28"/>
        <v>1</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1</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1</v>
      </c>
      <c r="CP50" s="16">
        <f t="shared" ca="1" si="34"/>
        <v>1</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1</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4</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5" t="str">
        <f>X3</f>
        <v>Fecha</v>
      </c>
      <c r="Y51" s="65" t="str">
        <f>Y3</f>
        <v>Hora</v>
      </c>
      <c r="Z51" s="51" t="str">
        <f>Z3</f>
        <v>Jor.</v>
      </c>
      <c r="AA51" s="53" t="str">
        <f>AA3</f>
        <v>Casa</v>
      </c>
      <c r="AB51" s="52"/>
      <c r="AC51" s="51" t="str">
        <f>AC3</f>
        <v>Gol</v>
      </c>
      <c r="AD51" s="51" t="str">
        <f>AD3</f>
        <v>Gol</v>
      </c>
      <c r="AE51" s="52"/>
      <c r="AF51" s="54" t="str">
        <f>AF3</f>
        <v>Fuera</v>
      </c>
      <c r="AG51" s="305"/>
      <c r="AH51" s="183"/>
      <c r="AI51" s="167"/>
      <c r="AJ51" s="150"/>
      <c r="AK51" s="574"/>
      <c r="AL51" s="150"/>
      <c r="AM51" s="150"/>
      <c r="AN51" s="150"/>
      <c r="AO51" s="150"/>
      <c r="AP51" s="150"/>
      <c r="AQ51" s="150"/>
      <c r="AR51" s="150"/>
      <c r="AS51" s="150"/>
      <c r="AT51" s="150"/>
      <c r="AU51" s="312"/>
      <c r="AV51" s="176"/>
      <c r="AW51" s="200"/>
      <c r="AX51" s="160"/>
      <c r="AY51" s="142"/>
      <c r="AZ51" s="143"/>
      <c r="BA51" s="164"/>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5</v>
      </c>
      <c r="BK51" s="16">
        <f t="shared" ca="1" si="21"/>
        <v>2</v>
      </c>
      <c r="BL51" s="16">
        <f t="shared" ca="1" si="42"/>
        <v>3</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1</v>
      </c>
      <c r="CB51" s="16">
        <f t="shared" ca="1" si="28"/>
        <v>1</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1</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1</v>
      </c>
      <c r="CP51" s="16">
        <f t="shared" ca="1" si="34"/>
        <v>1</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1</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3</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3" t="s">
        <v>6</v>
      </c>
      <c r="X52" s="24">
        <f ca="1">Horarios!C52</f>
        <v>46188.875</v>
      </c>
      <c r="Y52" s="25">
        <f ca="1">Horarios!C52</f>
        <v>46188.875</v>
      </c>
      <c r="Z52" s="26" t="str">
        <f>$Z$4</f>
        <v>J1</v>
      </c>
      <c r="AA52" s="27" t="str">
        <f ca="1">A53</f>
        <v>Bélgica</v>
      </c>
      <c r="AB52" s="49" t="e" cm="1" vm="26">
        <f t="array" aca="1" ref="AB52" ca="1">Ver_flag_local</f>
        <v>#VALUE!</v>
      </c>
      <c r="AC52" s="700">
        <v>2</v>
      </c>
      <c r="AD52" s="701">
        <v>0</v>
      </c>
      <c r="AE52" s="569" t="e" cm="1" vm="27">
        <f t="array" aca="1" ref="AE52" ca="1">Ver_flag_visit</f>
        <v>#VALUE!</v>
      </c>
      <c r="AF52" s="32" t="str">
        <f ca="1">A54</f>
        <v>Egipto</v>
      </c>
      <c r="AG52" s="304">
        <f t="shared" ref="AG52:AG57" si="162">IF(NOT(OR(ISBLANK(AC52),ISBLANK(AD52))),1,0)</f>
        <v>1</v>
      </c>
      <c r="AH52" s="183">
        <v>16</v>
      </c>
      <c r="AI52" s="169"/>
      <c r="AJ52" s="55" t="str">
        <f>CONCATENATE($AJ$3," ",B52)</f>
        <v>Grupo G</v>
      </c>
      <c r="AK52" s="56"/>
      <c r="AL52" s="56"/>
      <c r="AM52" s="56"/>
      <c r="AN52" s="56"/>
      <c r="AO52" s="56"/>
      <c r="AP52" s="56"/>
      <c r="AQ52" s="56"/>
      <c r="AR52" s="56"/>
      <c r="AS52" s="56"/>
      <c r="AT52" s="57"/>
      <c r="AU52" s="312"/>
      <c r="AV52" s="268" t="str">
        <f ca="1">IF(AU53&gt;0,$AV$3,"")</f>
        <v/>
      </c>
      <c r="AW52" s="155"/>
      <c r="AX52" s="155"/>
      <c r="AY52" s="142"/>
      <c r="AZ52" s="143"/>
      <c r="BA52" s="164"/>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3</v>
      </c>
      <c r="BK52" s="16">
        <f t="shared" ca="1" si="21"/>
        <v>6</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P.3 (2)</v>
      </c>
      <c r="BU52" s="16">
        <f t="shared" ca="1" si="24"/>
        <v>0</v>
      </c>
      <c r="BV52" s="16">
        <f t="shared" ca="1" si="25"/>
        <v>1</v>
      </c>
      <c r="BW52" s="16">
        <f t="shared" ca="1" si="26"/>
        <v>0</v>
      </c>
      <c r="BX52" s="16">
        <f t="shared" ca="1" si="48"/>
        <v>1</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P.3 (2)</v>
      </c>
      <c r="CA52" s="16">
        <f t="shared" ca="1" si="27"/>
        <v>1</v>
      </c>
      <c r="CB52" s="16">
        <f t="shared" ca="1" si="28"/>
        <v>1</v>
      </c>
      <c r="CC52" s="16">
        <f t="shared" ca="1" si="49"/>
        <v>0</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P.3 (2)</v>
      </c>
      <c r="CF52" s="16">
        <f t="shared" ca="1" si="29"/>
        <v>1</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P.3 (2)</v>
      </c>
      <c r="CI52" s="16">
        <f t="shared" ca="1" si="30"/>
        <v>0</v>
      </c>
      <c r="CJ52" s="16">
        <f t="shared" ca="1" si="31"/>
        <v>1</v>
      </c>
      <c r="CK52" s="16">
        <f t="shared" ca="1" si="32"/>
        <v>0</v>
      </c>
      <c r="CL52" s="16">
        <f t="shared" ca="1" si="50"/>
        <v>1</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P.3 (2)</v>
      </c>
      <c r="CO52" s="16">
        <f t="shared" ca="1" si="33"/>
        <v>1</v>
      </c>
      <c r="CP52" s="16">
        <f t="shared" ca="1" si="34"/>
        <v>1</v>
      </c>
      <c r="CQ52" s="16">
        <f t="shared" ca="1" si="51"/>
        <v>0</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P.3 (2)</v>
      </c>
      <c r="CT52" s="16">
        <f t="shared" ca="1" si="35"/>
        <v>1</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P.3 (2)</v>
      </c>
      <c r="CW52" s="16">
        <f t="shared" ca="1" si="36"/>
        <v>-3</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thickBo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33"/>
      <c r="X53" s="24">
        <f ca="1">Horarios!C53</f>
        <v>46189.125</v>
      </c>
      <c r="Y53" s="25">
        <f ca="1">Horarios!C53</f>
        <v>46189.125</v>
      </c>
      <c r="Z53" s="26" t="str">
        <f>$Z$4</f>
        <v>J1</v>
      </c>
      <c r="AA53" s="27" t="str">
        <f ca="1">A55</f>
        <v>Irán</v>
      </c>
      <c r="AB53" s="49" t="e" cm="1" vm="28">
        <f t="array" aca="1" ref="AB53" ca="1">Ver_flag_local</f>
        <v>#VALUE!</v>
      </c>
      <c r="AC53" s="700">
        <v>2</v>
      </c>
      <c r="AD53" s="701">
        <v>0</v>
      </c>
      <c r="AE53" s="569" t="e" cm="1" vm="29">
        <f t="array" aca="1" ref="AE53" ca="1">Ver_flag_visit</f>
        <v>#VALUE!</v>
      </c>
      <c r="AF53" s="32" t="str">
        <f ca="1">A56</f>
        <v>Nueva Zelanda</v>
      </c>
      <c r="AG53" s="304">
        <f t="shared" si="162"/>
        <v>1</v>
      </c>
      <c r="AH53" s="183">
        <v>15</v>
      </c>
      <c r="AI53" s="169"/>
      <c r="AJ53" s="58" t="str">
        <f>AJ5</f>
        <v>Pos</v>
      </c>
      <c r="AK53" s="59"/>
      <c r="AL53" s="60" t="str">
        <f t="shared" ref="AL53:AT53" si="163">AL5</f>
        <v>Selección</v>
      </c>
      <c r="AM53" s="59" t="str">
        <f t="shared" si="163"/>
        <v>Pts</v>
      </c>
      <c r="AN53" s="59" t="str">
        <f t="shared" si="163"/>
        <v>J</v>
      </c>
      <c r="AO53" s="59" t="str">
        <f t="shared" si="163"/>
        <v>G</v>
      </c>
      <c r="AP53" s="59" t="str">
        <f t="shared" si="163"/>
        <v>E</v>
      </c>
      <c r="AQ53" s="59" t="str">
        <f t="shared" si="163"/>
        <v>P</v>
      </c>
      <c r="AR53" s="59" t="str">
        <f t="shared" si="163"/>
        <v>GF</v>
      </c>
      <c r="AS53" s="59" t="str">
        <f t="shared" si="163"/>
        <v>GC</v>
      </c>
      <c r="AT53" s="61" t="str">
        <f t="shared" si="163"/>
        <v>DG</v>
      </c>
      <c r="AU53" s="312">
        <f t="shared" ref="AU53" ca="1" si="164">COUNTIF(AU54:AU57,"&gt;1")</f>
        <v>0</v>
      </c>
      <c r="AV53" s="180"/>
      <c r="AW53" s="155"/>
      <c r="AX53" s="155"/>
      <c r="AY53" s="195" t="str">
        <f>AL53</f>
        <v>Selección</v>
      </c>
      <c r="AZ53" s="196" t="str">
        <f>+Idiomas!$D$67</f>
        <v>Puntos penalizados</v>
      </c>
      <c r="BA53" s="164"/>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0</v>
      </c>
      <c r="BV53" s="16">
        <f t="shared" ca="1" si="25"/>
        <v>1</v>
      </c>
      <c r="BW53" s="16">
        <f t="shared" ca="1" si="26"/>
        <v>0</v>
      </c>
      <c r="BX53" s="16">
        <f t="shared" ca="1" si="48"/>
        <v>1</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P.3 (2)</v>
      </c>
      <c r="CA53" s="16">
        <f t="shared" ca="1" si="27"/>
        <v>1</v>
      </c>
      <c r="CB53" s="16">
        <f t="shared" ca="1" si="28"/>
        <v>1</v>
      </c>
      <c r="CC53" s="16">
        <f t="shared" ca="1" si="49"/>
        <v>0</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P.3 (2)</v>
      </c>
      <c r="CF53" s="16">
        <f t="shared" ca="1" si="29"/>
        <v>1</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P.3 (2)</v>
      </c>
      <c r="CI53" s="16">
        <f t="shared" ca="1" si="30"/>
        <v>0</v>
      </c>
      <c r="CJ53" s="16">
        <f t="shared" ca="1" si="31"/>
        <v>1</v>
      </c>
      <c r="CK53" s="16">
        <f t="shared" ca="1" si="32"/>
        <v>0</v>
      </c>
      <c r="CL53" s="16">
        <f t="shared" ca="1" si="50"/>
        <v>1</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P.3 (2)</v>
      </c>
      <c r="CO53" s="16">
        <f t="shared" ca="1" si="33"/>
        <v>1</v>
      </c>
      <c r="CP53" s="16">
        <f t="shared" ca="1" si="34"/>
        <v>1</v>
      </c>
      <c r="CQ53" s="16">
        <f t="shared" ca="1" si="51"/>
        <v>0</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P.3 (2)</v>
      </c>
      <c r="CT53" s="16">
        <f t="shared" ca="1" si="35"/>
        <v>1</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P.3 (2)</v>
      </c>
      <c r="CW53" s="16">
        <f t="shared" ca="1" si="36"/>
        <v>-4</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 customHeight="1" thickBot="1">
      <c r="A54" s="16" t="str">
        <f ca="1">+Equipos!B27</f>
        <v>Egipto</v>
      </c>
      <c r="B54" s="16"/>
      <c r="C54" s="16"/>
      <c r="D54" s="16" t="str">
        <f t="shared" si="149"/>
        <v>Empate</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33"/>
      <c r="X54" s="24">
        <f ca="1">Horarios!C54</f>
        <v>46194.875</v>
      </c>
      <c r="Y54" s="25">
        <f ca="1">Horarios!C54</f>
        <v>46194.875</v>
      </c>
      <c r="Z54" s="26" t="str">
        <f>$Z$6</f>
        <v>J2</v>
      </c>
      <c r="AA54" s="27" t="str">
        <f ca="1">A53</f>
        <v>Bélgica</v>
      </c>
      <c r="AB54" s="49" t="e" cm="1" vm="26">
        <f t="array" aca="1" ref="AB54" ca="1">Ver_flag_local</f>
        <v>#VALUE!</v>
      </c>
      <c r="AC54" s="700">
        <v>1</v>
      </c>
      <c r="AD54" s="701">
        <v>1</v>
      </c>
      <c r="AE54" s="569" t="e" cm="1" vm="28">
        <f t="array" aca="1" ref="AE54" ca="1">Ver_flag_visit</f>
        <v>#VALUE!</v>
      </c>
      <c r="AF54" s="32" t="str">
        <f ca="1">A55</f>
        <v>Irán</v>
      </c>
      <c r="AG54" s="304">
        <f t="shared" si="162"/>
        <v>1</v>
      </c>
      <c r="AH54" s="183">
        <v>39</v>
      </c>
      <c r="AI54" s="169" t="str">
        <f>AJ54&amp;$B$52</f>
        <v>1G</v>
      </c>
      <c r="AJ54" s="40">
        <v>1</v>
      </c>
      <c r="AK54" s="575"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6</v>
      </c>
      <c r="AS54" s="36">
        <f t="shared" ca="1" si="165"/>
        <v>1</v>
      </c>
      <c r="AT54" s="41">
        <f t="shared" ca="1" si="165"/>
        <v>5</v>
      </c>
      <c r="AU54" s="311">
        <f ca="1">INDEX($DL$6:$DL$53,MATCH(AI54,$DP$6:$DP$53,0))</f>
        <v>1</v>
      </c>
      <c r="AV54" s="170" t="str">
        <f ca="1">INDEX($BD$6:$BD$53,MATCH(AI54,$BM$6:$BM$53,0))</f>
        <v>Bélgica</v>
      </c>
      <c r="AW54" s="198"/>
      <c r="AX54" s="159"/>
      <c r="AY54" s="189" t="str">
        <f ca="1">+A53</f>
        <v>Bélgica</v>
      </c>
      <c r="AZ54" s="190"/>
      <c r="BA54" s="164"/>
    </row>
    <row r="55" spans="1:121" ht="16" customHeight="1" thickBot="1">
      <c r="A55" s="16" t="str">
        <f ca="1">+Equipos!B28</f>
        <v>Irán</v>
      </c>
      <c r="B55" s="16"/>
      <c r="C55" s="16"/>
      <c r="D55" s="16" t="str">
        <f t="shared" si="149"/>
        <v>Local</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33"/>
      <c r="X55" s="24">
        <f ca="1">Horarios!C55</f>
        <v>46195.125</v>
      </c>
      <c r="Y55" s="25">
        <f ca="1">Horarios!C55</f>
        <v>46195.125</v>
      </c>
      <c r="Z55" s="26" t="str">
        <f>$Z$6</f>
        <v>J2</v>
      </c>
      <c r="AA55" s="27" t="str">
        <f ca="1">A56</f>
        <v>Nueva Zelanda</v>
      </c>
      <c r="AB55" s="49" t="e" cm="1" vm="29">
        <f t="array" aca="1" ref="AB55" ca="1">Ver_flag_local</f>
        <v>#VALUE!</v>
      </c>
      <c r="AC55" s="700">
        <v>2</v>
      </c>
      <c r="AD55" s="701">
        <v>1</v>
      </c>
      <c r="AE55" s="569" t="e" cm="1" vm="27">
        <f t="array" aca="1" ref="AE55" ca="1">Ver_flag_visit</f>
        <v>#VALUE!</v>
      </c>
      <c r="AF55" s="32" t="str">
        <f ca="1">A54</f>
        <v>Egipto</v>
      </c>
      <c r="AG55" s="304">
        <f t="shared" si="162"/>
        <v>1</v>
      </c>
      <c r="AH55" s="183">
        <v>40</v>
      </c>
      <c r="AI55" s="169" t="str">
        <f t="shared" ref="AI55:AI57" si="166">AJ55&amp;$B$52</f>
        <v>2G</v>
      </c>
      <c r="AJ55" s="42">
        <v>2</v>
      </c>
      <c r="AK55" s="576" t="e" cm="1" vm="28">
        <f t="array" aca="1" ref="AK55" ca="1">Ver_flag_visit</f>
        <v>#VALUE!</v>
      </c>
      <c r="AL55" s="37" t="str">
        <f ca="1">IFERROR(INDEX($BD$6:$BD$53,MATCH(AI55,$BN$6:$BN$53,0)),"")</f>
        <v>Irán</v>
      </c>
      <c r="AM55" s="38">
        <f t="shared" ca="1" si="165"/>
        <v>5</v>
      </c>
      <c r="AN55" s="39">
        <f t="shared" ca="1" si="165"/>
        <v>3</v>
      </c>
      <c r="AO55" s="39">
        <f t="shared" ca="1" si="165"/>
        <v>1</v>
      </c>
      <c r="AP55" s="39">
        <f t="shared" ca="1" si="165"/>
        <v>2</v>
      </c>
      <c r="AQ55" s="39">
        <f t="shared" ca="1" si="165"/>
        <v>0</v>
      </c>
      <c r="AR55" s="39">
        <f t="shared" ca="1" si="165"/>
        <v>4</v>
      </c>
      <c r="AS55" s="39">
        <f t="shared" ca="1" si="165"/>
        <v>2</v>
      </c>
      <c r="AT55" s="43">
        <f t="shared" ca="1" si="165"/>
        <v>2</v>
      </c>
      <c r="AU55" s="311">
        <f ca="1">INDEX($DL$6:$DL$53,MATCH(AI55,$DP$6:$DP$53,0))</f>
        <v>1</v>
      </c>
      <c r="AV55" s="170" t="str">
        <f ca="1">INDEX($BD$6:$BD$53,MATCH(AI55,$BM$6:$BM$53,0))</f>
        <v>Irán</v>
      </c>
      <c r="AW55" s="198"/>
      <c r="AX55" s="159"/>
      <c r="AY55" s="191" t="str">
        <f ca="1">+A54</f>
        <v>Egipto</v>
      </c>
      <c r="AZ55" s="192"/>
      <c r="BA55" s="164"/>
    </row>
    <row r="56" spans="1:121" ht="16" customHeight="1" thickBo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33"/>
      <c r="X56" s="24">
        <f ca="1">Horarios!C56</f>
        <v>46200.208333333336</v>
      </c>
      <c r="Y56" s="25">
        <f ca="1">Horarios!C56</f>
        <v>46200.208333333336</v>
      </c>
      <c r="Z56" s="26" t="str">
        <f>$Z$8</f>
        <v>J3</v>
      </c>
      <c r="AA56" s="27" t="str">
        <f ca="1">A54</f>
        <v>Egipto</v>
      </c>
      <c r="AB56" s="49" t="e" cm="1" vm="27">
        <f t="array" aca="1" ref="AB56" ca="1">Ver_flag_local</f>
        <v>#VALUE!</v>
      </c>
      <c r="AC56" s="700">
        <v>1</v>
      </c>
      <c r="AD56" s="701">
        <v>1</v>
      </c>
      <c r="AE56" s="569" t="e" cm="1" vm="28">
        <f t="array" aca="1" ref="AE56" ca="1">Ver_flag_visit</f>
        <v>#VALUE!</v>
      </c>
      <c r="AF56" s="32" t="str">
        <f ca="1">A55</f>
        <v>Irán</v>
      </c>
      <c r="AG56" s="304">
        <f t="shared" si="162"/>
        <v>1</v>
      </c>
      <c r="AH56" s="183">
        <v>63</v>
      </c>
      <c r="AI56" s="169" t="str">
        <f t="shared" si="166"/>
        <v>3G</v>
      </c>
      <c r="AJ56" s="42">
        <v>3</v>
      </c>
      <c r="AK56" s="576" t="e" cm="1" vm="29">
        <f t="array" aca="1" ref="AK56" ca="1">Ver_flag_visit</f>
        <v>#VALUE!</v>
      </c>
      <c r="AL56" s="37" t="str">
        <f ca="1">IFERROR(INDEX($BD$6:$BD$53,MATCH(AI56,$BN$6:$BN$53,0)),"")</f>
        <v>Nueva Zelanda</v>
      </c>
      <c r="AM56" s="38">
        <f t="shared" ca="1" si="165"/>
        <v>3</v>
      </c>
      <c r="AN56" s="39">
        <f t="shared" ca="1" si="165"/>
        <v>3</v>
      </c>
      <c r="AO56" s="39">
        <f t="shared" ca="1" si="165"/>
        <v>1</v>
      </c>
      <c r="AP56" s="39">
        <f t="shared" ca="1" si="165"/>
        <v>0</v>
      </c>
      <c r="AQ56" s="39">
        <f t="shared" ca="1" si="165"/>
        <v>2</v>
      </c>
      <c r="AR56" s="39">
        <f t="shared" ca="1" si="165"/>
        <v>2</v>
      </c>
      <c r="AS56" s="39">
        <f t="shared" ca="1" si="165"/>
        <v>6</v>
      </c>
      <c r="AT56" s="43">
        <f t="shared" ca="1" si="165"/>
        <v>-4</v>
      </c>
      <c r="AU56" s="311">
        <f ca="1">INDEX($DL$6:$DL$53,MATCH(AI56,$DP$6:$DP$53,0))</f>
        <v>1</v>
      </c>
      <c r="AV56" s="170" t="str">
        <f ca="1">INDEX($BD$6:$BD$53,MATCH(AI56,$BM$6:$BM$53,0))</f>
        <v>Nueva Zelanda</v>
      </c>
      <c r="AW56" s="198"/>
      <c r="AX56" s="159"/>
      <c r="AY56" s="189" t="str">
        <f ca="1">+A55</f>
        <v>Irán</v>
      </c>
      <c r="AZ56" s="190"/>
      <c r="BA56" s="164"/>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4"/>
      <c r="X57" s="28">
        <f ca="1">Horarios!C57</f>
        <v>46200.208333333336</v>
      </c>
      <c r="Y57" s="29">
        <f ca="1">Horarios!C57</f>
        <v>46200.208333333336</v>
      </c>
      <c r="Z57" s="30" t="str">
        <f>$Z$8</f>
        <v>J3</v>
      </c>
      <c r="AA57" s="31" t="str">
        <f ca="1">A56</f>
        <v>Nueva Zelanda</v>
      </c>
      <c r="AB57" s="50" t="e" cm="1" vm="29">
        <f t="array" aca="1" ref="AB57" ca="1">Ver_flag_local</f>
        <v>#VALUE!</v>
      </c>
      <c r="AC57" s="700">
        <v>0</v>
      </c>
      <c r="AD57" s="701">
        <v>3</v>
      </c>
      <c r="AE57" s="570" t="e" cm="1" vm="26">
        <f t="array" aca="1" ref="AE57" ca="1">Ver_flag_visit</f>
        <v>#VALUE!</v>
      </c>
      <c r="AF57" s="33" t="str">
        <f ca="1">A53</f>
        <v>Bélgica</v>
      </c>
      <c r="AG57" s="304">
        <f t="shared" si="162"/>
        <v>1</v>
      </c>
      <c r="AH57" s="183">
        <v>64</v>
      </c>
      <c r="AI57" s="169" t="str">
        <f t="shared" si="166"/>
        <v>4G</v>
      </c>
      <c r="AJ57" s="44">
        <v>4</v>
      </c>
      <c r="AK57" s="578" t="e" cm="1" vm="27">
        <f t="array" aca="1" ref="AK57" ca="1">Ver_flag_visit</f>
        <v>#VALUE!</v>
      </c>
      <c r="AL57" s="45" t="str">
        <f ca="1">IFERROR(INDEX($BD$6:$BD$53,MATCH(AI57,$BN$6:$BN$53,0)),"")</f>
        <v>Egipto</v>
      </c>
      <c r="AM57" s="46">
        <f t="shared" ca="1" si="165"/>
        <v>1</v>
      </c>
      <c r="AN57" s="47">
        <f t="shared" ca="1" si="165"/>
        <v>3</v>
      </c>
      <c r="AO57" s="47">
        <f t="shared" ca="1" si="165"/>
        <v>0</v>
      </c>
      <c r="AP57" s="47">
        <f t="shared" ca="1" si="165"/>
        <v>1</v>
      </c>
      <c r="AQ57" s="47">
        <f t="shared" ca="1" si="165"/>
        <v>2</v>
      </c>
      <c r="AR57" s="47">
        <f t="shared" ca="1" si="165"/>
        <v>2</v>
      </c>
      <c r="AS57" s="47">
        <f t="shared" ca="1" si="165"/>
        <v>5</v>
      </c>
      <c r="AT57" s="48">
        <f t="shared" ca="1" si="165"/>
        <v>-3</v>
      </c>
      <c r="AU57" s="311">
        <f ca="1">INDEX($DL$6:$DL$53,MATCH(AI57,$DP$6:$DP$53,0))</f>
        <v>1</v>
      </c>
      <c r="AV57" s="170" t="str">
        <f ca="1">INDEX($BD$6:$BD$53,MATCH(AI57,$BM$6:$BM$53,0))</f>
        <v>Egipto</v>
      </c>
      <c r="AW57" s="198"/>
      <c r="AX57" s="159"/>
      <c r="AY57" s="193" t="str">
        <f ca="1">+A56</f>
        <v>Nueva Zelanda</v>
      </c>
      <c r="AZ57" s="194"/>
      <c r="BA57" s="164"/>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42"/>
      <c r="X58" s="143"/>
      <c r="Y58" s="142"/>
      <c r="Z58" s="144"/>
      <c r="AA58" s="145"/>
      <c r="AB58" s="146"/>
      <c r="AC58" s="139"/>
      <c r="AD58" s="139"/>
      <c r="AE58" s="146"/>
      <c r="AF58" s="147"/>
      <c r="AG58" s="306"/>
      <c r="AH58" s="183"/>
      <c r="AI58" s="169"/>
      <c r="AJ58" s="148"/>
      <c r="AK58" s="149"/>
      <c r="AL58" s="150"/>
      <c r="AM58" s="151"/>
      <c r="AN58" s="148"/>
      <c r="AO58" s="148"/>
      <c r="AP58" s="148"/>
      <c r="AQ58" s="148"/>
      <c r="AR58" s="148"/>
      <c r="AS58" s="148"/>
      <c r="AT58" s="148"/>
      <c r="AU58" s="311"/>
      <c r="AV58" s="177"/>
      <c r="AW58" s="199"/>
      <c r="AX58" s="159"/>
      <c r="AY58" s="142"/>
      <c r="AZ58" s="143"/>
      <c r="BA58" s="164"/>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0</v>
      </c>
      <c r="BM58" s="16">
        <f ca="1">CB58</f>
        <v>4</v>
      </c>
      <c r="BN58" s="16">
        <f ca="1">CF58</f>
        <v>4</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(4)</v>
      </c>
      <c r="BU58" s="16">
        <f t="shared" ref="BU58:BU69" ca="1" si="176">IF(BT58="-","-",BL58)</f>
        <v>0</v>
      </c>
      <c r="BV58" s="16">
        <f t="shared" ref="BV58:BV69" ca="1" si="177">BS58+COUNTIFS(BT$58:BT$69,BT58,BU$58:BU$69,"&gt;"&amp;BU58)</f>
        <v>2</v>
      </c>
      <c r="BW58" s="16" t="str">
        <f t="shared" ref="BW58:BW69" ca="1" si="178">IF(COUNTIF(BV$58:BV$69,BV58)=1,"-","Pos. "&amp;BV58&amp;" ("&amp;COUNTIF(BV$58:BV$69,BV58)&amp;")")</f>
        <v>Pos. 2 (3)</v>
      </c>
      <c r="BX58" s="16">
        <f t="shared" ref="BX58:BX69" ca="1" si="179">IF(BW58="-","-",BJ58)</f>
        <v>3</v>
      </c>
      <c r="BY58" s="16">
        <f t="shared" ref="BY58:BY69" ca="1" si="180">BV58+COUNTIFS(BW$58:BW$69,BW58,BX$58:BX$69,"&gt;"&amp;BX58)</f>
        <v>2</v>
      </c>
      <c r="BZ58" s="16" t="str">
        <f t="shared" ref="BZ58:BZ69" ca="1" si="181">IF(COUNTIF(BY$58:BY$69,BY58)=1,"-","Pos. "&amp;BY58&amp;" ("&amp;COUNTIF(BY$58:BY$69,BY58)&amp;")")</f>
        <v>Pos. 2 (3)</v>
      </c>
      <c r="CA58" s="16">
        <f t="shared" ref="CA58:CA69" ca="1" si="182">IF(BZ58="-","-",COUNTIF($BD$58:$BD$69,"&gt;"&amp;BD58))</f>
        <v>1</v>
      </c>
      <c r="CB58" s="16">
        <f ca="1">BY58+COUNTIFS(BZ$58:BZ$69,BZ58,CA$58:CA$69,"&gt;"&amp;CA58)</f>
        <v>4</v>
      </c>
      <c r="CC58" s="16"/>
      <c r="CD58" s="16">
        <f t="shared" ref="CD58:CD69" ca="1" si="183">IF(OR(INDEX($AW$102:$AW$113,MATCH($BD58,$AV$102:$AV$113,0))="",BZ58="-"),CB58,INDEX($AW$102:$AW$113,MATCH($BD58,$AV$102:$AV$113,0))+CB58/1000)</f>
        <v>4</v>
      </c>
      <c r="CE58" s="16">
        <f ca="1">IF(BZ58="-","-",COUNTIF(CD$58:CD$69,"&lt;"&amp;CD58))</f>
        <v>3</v>
      </c>
      <c r="CF58" s="16">
        <f ca="1">BY58+COUNTIFS(BZ$58:BZ$69,BZ58,CE$58:CE$69,"&lt;"&amp;CE58)</f>
        <v>4</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Brasil</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5" t="str">
        <f>X3</f>
        <v>Fecha</v>
      </c>
      <c r="Y59" s="65" t="str">
        <f>Y3</f>
        <v>Hora</v>
      </c>
      <c r="Z59" s="51" t="str">
        <f>Z3</f>
        <v>Jor.</v>
      </c>
      <c r="AA59" s="53" t="str">
        <f>AA3</f>
        <v>Casa</v>
      </c>
      <c r="AB59" s="52"/>
      <c r="AC59" s="51" t="str">
        <f>AC3</f>
        <v>Gol</v>
      </c>
      <c r="AD59" s="51" t="str">
        <f>AD3</f>
        <v>Gol</v>
      </c>
      <c r="AE59" s="52"/>
      <c r="AF59" s="54" t="str">
        <f>AF3</f>
        <v>Fuera</v>
      </c>
      <c r="AG59" s="305"/>
      <c r="AH59" s="183"/>
      <c r="AI59" s="167"/>
      <c r="AJ59" s="150"/>
      <c r="AK59" s="574"/>
      <c r="AL59" s="150"/>
      <c r="AM59" s="150"/>
      <c r="AN59" s="150"/>
      <c r="AO59" s="150"/>
      <c r="AP59" s="150"/>
      <c r="AQ59" s="150"/>
      <c r="AR59" s="150"/>
      <c r="AS59" s="150"/>
      <c r="AT59" s="150"/>
      <c r="AU59" s="312"/>
      <c r="AV59" s="176"/>
      <c r="AW59" s="200"/>
      <c r="AX59" s="160"/>
      <c r="AY59" s="142"/>
      <c r="AZ59" s="143"/>
      <c r="BA59" s="164"/>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2</v>
      </c>
      <c r="BK59" s="16">
        <f t="shared" ca="1" si="173"/>
        <v>5</v>
      </c>
      <c r="BL59" s="16">
        <f t="shared" ref="BL59:BL69" ca="1" si="190">+BJ59-BK59</f>
        <v>-3</v>
      </c>
      <c r="BM59" s="16">
        <f t="shared" ref="BM59:BM69" ca="1" si="191">CB59</f>
        <v>7</v>
      </c>
      <c r="BN59" s="16">
        <f t="shared" ref="BN59:BN69" ca="1" si="192">CF59</f>
        <v>7</v>
      </c>
      <c r="BO59" s="16" t="str">
        <f t="shared" si="174"/>
        <v>4B</v>
      </c>
      <c r="BP59" s="16"/>
      <c r="BQ59" s="16"/>
      <c r="BR59" s="16">
        <f t="shared" ca="1" si="175"/>
        <v>3</v>
      </c>
      <c r="BS59" s="16">
        <f t="shared" ref="BS59:BS69" ca="1" si="193">COUNTIFS(BR$58:BR$69,"&gt;"&amp;BR59)+1</f>
        <v>5</v>
      </c>
      <c r="BT59" s="16" t="str">
        <f t="shared" ref="BT59:BT69" ca="1" si="194">IF(COUNTIF(BS$58:BS$69,BS59)=1,"-","Pos. "&amp;BS59&amp;" ("&amp;COUNTIF(BS$58:BS$69,BS59)&amp;")")</f>
        <v>Pos. 5 (4)</v>
      </c>
      <c r="BU59" s="16">
        <f t="shared" ca="1" si="176"/>
        <v>-3</v>
      </c>
      <c r="BV59" s="16">
        <f t="shared" ca="1" si="177"/>
        <v>6</v>
      </c>
      <c r="BW59" s="16" t="str">
        <f t="shared" ca="1" si="178"/>
        <v>Pos. 6 (2)</v>
      </c>
      <c r="BX59" s="16">
        <f t="shared" ca="1" si="179"/>
        <v>2</v>
      </c>
      <c r="BY59" s="16">
        <f t="shared" ca="1" si="180"/>
        <v>6</v>
      </c>
      <c r="BZ59" s="16" t="str">
        <f t="shared" ca="1" si="181"/>
        <v>Pos. 6 (2)</v>
      </c>
      <c r="CA59" s="16">
        <f t="shared" ca="1" si="182"/>
        <v>9</v>
      </c>
      <c r="CB59" s="16">
        <f t="shared" ref="CB59:CB68" ca="1" si="195">BY59+COUNTIFS(BZ$58:BZ$69,BZ59,CA$58:CA$69,"&gt;"&amp;CA59)</f>
        <v>7</v>
      </c>
      <c r="CC59" s="16"/>
      <c r="CD59" s="16">
        <f t="shared" ca="1" si="183"/>
        <v>7.0069999999999997</v>
      </c>
      <c r="CE59" s="16">
        <f t="shared" ref="CE59:CE69" ca="1" si="196">IF(BZ59="-","-",COUNTIF(CD$58:CD$69,"&lt;"&amp;CD59))</f>
        <v>6</v>
      </c>
      <c r="CF59" s="16">
        <f t="shared" ref="CF59:CF69" ca="1" si="197">BY59+COUNTIFS(BZ$58:BZ$69,BZ59,CE$58:CE$69,"&lt;"&amp;CE59)</f>
        <v>7</v>
      </c>
      <c r="DJ59" s="16">
        <f t="shared" ca="1" si="184"/>
        <v>2</v>
      </c>
      <c r="DK59" s="16"/>
      <c r="DL59" s="16">
        <f t="shared" ca="1" si="185"/>
        <v>3</v>
      </c>
      <c r="DM59" s="16" t="str">
        <f t="shared" ca="1" si="186"/>
        <v>2.3</v>
      </c>
      <c r="DN59" s="16" t="e" cm="1" vm="30">
        <f t="array" aca="1" ref="DN59" ca="1">OFFSET(Horarios!$P$3,DJ59-1,0,DL59,1)</f>
        <v>#VALUE!</v>
      </c>
      <c r="DO59" s="16"/>
      <c r="DP59" s="16">
        <v>2</v>
      </c>
      <c r="DQ59" s="16" t="str">
        <f t="shared" ref="DQ59:DQ69" ca="1" si="198">INDEX($BD$58:$BD$69,MATCH(DP59,$BM$58:$BM$69,0))</f>
        <v>Ecuador</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15" t="s">
        <v>447</v>
      </c>
      <c r="X60" s="24">
        <f ca="1">Horarios!C60</f>
        <v>46188.75</v>
      </c>
      <c r="Y60" s="25">
        <f ca="1">Horarios!C60</f>
        <v>46188.75</v>
      </c>
      <c r="Z60" s="26" t="str">
        <f>$Z$4</f>
        <v>J1</v>
      </c>
      <c r="AA60" s="27" t="str">
        <f ca="1">A61</f>
        <v>España</v>
      </c>
      <c r="AB60" s="49" t="e" cm="1" vm="31">
        <f t="array" aca="1" ref="AB60" ca="1">Ver_flag_local</f>
        <v>#VALUE!</v>
      </c>
      <c r="AC60" s="700">
        <v>4</v>
      </c>
      <c r="AD60" s="701">
        <v>0</v>
      </c>
      <c r="AE60" s="569" t="e" cm="1" vm="32">
        <f t="array" aca="1" ref="AE60" ca="1">Ver_flag_visit</f>
        <v>#VALUE!</v>
      </c>
      <c r="AF60" s="32" t="str">
        <f ca="1">A62</f>
        <v>Cabo Verde</v>
      </c>
      <c r="AG60" s="304">
        <f t="shared" ref="AG60:AG65" si="212">IF(NOT(OR(ISBLANK(AC60),ISBLANK(AD60))),1,0)</f>
        <v>1</v>
      </c>
      <c r="AH60" s="183">
        <v>14</v>
      </c>
      <c r="AI60" s="169"/>
      <c r="AJ60" s="55" t="str">
        <f>CONCATENATE(AJ3," ",B60)</f>
        <v>Grupo H</v>
      </c>
      <c r="AK60" s="56"/>
      <c r="AL60" s="56"/>
      <c r="AM60" s="56"/>
      <c r="AN60" s="56"/>
      <c r="AO60" s="56"/>
      <c r="AP60" s="56"/>
      <c r="AQ60" s="56"/>
      <c r="AR60" s="56"/>
      <c r="AS60" s="56"/>
      <c r="AT60" s="57"/>
      <c r="AU60" s="312"/>
      <c r="AV60" s="268" t="str">
        <f ca="1">IF(AU61&gt;0,$AV$3,"")</f>
        <v/>
      </c>
      <c r="AW60" s="155"/>
      <c r="AX60" s="155"/>
      <c r="AY60" s="142"/>
      <c r="AZ60" s="143"/>
      <c r="BA60" s="164"/>
      <c r="BB60" s="16" t="str">
        <f t="shared" si="187"/>
        <v>3C</v>
      </c>
      <c r="BC60" s="16" t="s">
        <v>2</v>
      </c>
      <c r="BD60" s="16" t="str">
        <f t="shared" ca="1" si="168"/>
        <v>Brasil</v>
      </c>
      <c r="BE60" s="16">
        <f t="shared" ca="1" si="188"/>
        <v>4</v>
      </c>
      <c r="BF60" s="16">
        <f t="shared" ca="1" si="189"/>
        <v>3</v>
      </c>
      <c r="BG60" s="16">
        <f t="shared" ca="1" si="169"/>
        <v>1</v>
      </c>
      <c r="BH60" s="16">
        <f t="shared" ca="1" si="170"/>
        <v>1</v>
      </c>
      <c r="BI60" s="16">
        <f t="shared" ca="1" si="171"/>
        <v>1</v>
      </c>
      <c r="BJ60" s="16">
        <f t="shared" ca="1" si="172"/>
        <v>5</v>
      </c>
      <c r="BK60" s="16">
        <f t="shared" ca="1" si="173"/>
        <v>4</v>
      </c>
      <c r="BL60" s="16">
        <f t="shared" ca="1" si="190"/>
        <v>1</v>
      </c>
      <c r="BM60" s="16">
        <f t="shared" ca="1" si="191"/>
        <v>1</v>
      </c>
      <c r="BN60" s="16">
        <f t="shared" ca="1" si="192"/>
        <v>1</v>
      </c>
      <c r="BO60" s="16" t="str">
        <f t="shared" si="174"/>
        <v>4C</v>
      </c>
      <c r="BP60" s="16"/>
      <c r="BQ60" s="16"/>
      <c r="BR60" s="16">
        <f t="shared" ca="1" si="175"/>
        <v>4</v>
      </c>
      <c r="BS60" s="16">
        <f t="shared" ca="1" si="193"/>
        <v>1</v>
      </c>
      <c r="BT60" s="16" t="str">
        <f t="shared" ca="1" si="194"/>
        <v>Pos. 1 (4)</v>
      </c>
      <c r="BU60" s="16">
        <f t="shared" ca="1" si="176"/>
        <v>1</v>
      </c>
      <c r="BV60" s="16">
        <f t="shared" ca="1" si="177"/>
        <v>1</v>
      </c>
      <c r="BW60" s="16" t="str">
        <f t="shared" ca="1" si="178"/>
        <v>-</v>
      </c>
      <c r="BX60" s="16" t="str">
        <f t="shared" ca="1" si="179"/>
        <v>-</v>
      </c>
      <c r="BY60" s="16">
        <f t="shared" ca="1" si="180"/>
        <v>1</v>
      </c>
      <c r="BZ60" s="16" t="str">
        <f t="shared" ca="1" si="181"/>
        <v>-</v>
      </c>
      <c r="CA60" s="16" t="str">
        <f t="shared" ca="1" si="182"/>
        <v>-</v>
      </c>
      <c r="CB60" s="16">
        <f t="shared" ca="1" si="195"/>
        <v>1</v>
      </c>
      <c r="CC60" s="16"/>
      <c r="CD60" s="16">
        <f t="shared" ca="1" si="183"/>
        <v>1</v>
      </c>
      <c r="CE60" s="16" t="str">
        <f t="shared" ca="1" si="196"/>
        <v>-</v>
      </c>
      <c r="CF60" s="16">
        <f t="shared" ca="1" si="197"/>
        <v>1</v>
      </c>
      <c r="DJ60" s="16">
        <f t="shared" ca="1" si="184"/>
        <v>2</v>
      </c>
      <c r="DK60" s="16"/>
      <c r="DL60" s="16">
        <f t="shared" ca="1" si="185"/>
        <v>3</v>
      </c>
      <c r="DM60" s="16" t="str">
        <f t="shared" ca="1" si="186"/>
        <v>2.3</v>
      </c>
      <c r="DN60" s="16" t="e" cm="1" vm="30">
        <f t="array" aca="1" ref="DN60" ca="1">OFFSET(Horarios!$P$3,DJ60-1,0,DL60,1)</f>
        <v>#VALUE!</v>
      </c>
      <c r="DO60" s="16"/>
      <c r="DP60" s="16">
        <v>3</v>
      </c>
      <c r="DQ60" s="16" t="str">
        <f t="shared" ca="1" si="198"/>
        <v>Noruega</v>
      </c>
    </row>
    <row r="61" spans="1:121" ht="16" customHeight="1" thickBo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15"/>
      <c r="X61" s="24">
        <f ca="1">Horarios!C61</f>
        <v>46189</v>
      </c>
      <c r="Y61" s="25">
        <f ca="1">Horarios!C61</f>
        <v>46189</v>
      </c>
      <c r="Z61" s="26" t="str">
        <f>$Z$4</f>
        <v>J1</v>
      </c>
      <c r="AA61" s="27" t="str">
        <f ca="1">A63</f>
        <v>Arabia Saudita</v>
      </c>
      <c r="AB61" s="49" t="e" cm="1" vm="33">
        <f t="array" aca="1" ref="AB61" ca="1">Ver_flag_local</f>
        <v>#VALUE!</v>
      </c>
      <c r="AC61" s="700">
        <v>0</v>
      </c>
      <c r="AD61" s="701">
        <v>2</v>
      </c>
      <c r="AE61" s="569" t="e" cm="1" vm="34">
        <f t="array" aca="1" ref="AE61" ca="1">Ver_flag_visit</f>
        <v>#VALUE!</v>
      </c>
      <c r="AF61" s="32" t="str">
        <f ca="1">A64</f>
        <v>Uruguay</v>
      </c>
      <c r="AG61" s="304">
        <f t="shared" si="212"/>
        <v>1</v>
      </c>
      <c r="AH61" s="183">
        <v>13</v>
      </c>
      <c r="AI61" s="169"/>
      <c r="AJ61" s="58" t="str">
        <f>AJ5</f>
        <v>Pos</v>
      </c>
      <c r="AK61" s="59"/>
      <c r="AL61" s="60" t="str">
        <f t="shared" ref="AL61:AT61" si="213">AL5</f>
        <v>Selección</v>
      </c>
      <c r="AM61" s="59" t="str">
        <f t="shared" si="213"/>
        <v>Pts</v>
      </c>
      <c r="AN61" s="59" t="str">
        <f t="shared" si="213"/>
        <v>J</v>
      </c>
      <c r="AO61" s="59" t="str">
        <f t="shared" si="213"/>
        <v>G</v>
      </c>
      <c r="AP61" s="59" t="str">
        <f t="shared" si="213"/>
        <v>E</v>
      </c>
      <c r="AQ61" s="59" t="str">
        <f t="shared" si="213"/>
        <v>P</v>
      </c>
      <c r="AR61" s="59" t="str">
        <f t="shared" si="213"/>
        <v>GF</v>
      </c>
      <c r="AS61" s="59" t="str">
        <f t="shared" si="213"/>
        <v>GC</v>
      </c>
      <c r="AT61" s="61" t="str">
        <f t="shared" si="213"/>
        <v>DG</v>
      </c>
      <c r="AU61" s="312">
        <f t="shared" ref="AU61" ca="1" si="214">COUNTIF(AU62:AU65,"&gt;1")</f>
        <v>0</v>
      </c>
      <c r="AV61" s="180"/>
      <c r="AW61" s="155"/>
      <c r="AX61" s="155"/>
      <c r="AY61" s="195" t="str">
        <f>AL61</f>
        <v>Selección</v>
      </c>
      <c r="AZ61" s="196" t="str">
        <f>+Idiomas!$D$67</f>
        <v>Puntos penalizados</v>
      </c>
      <c r="BA61" s="164"/>
      <c r="BB61" s="16" t="str">
        <f t="shared" si="187"/>
        <v>3D</v>
      </c>
      <c r="BC61" s="16" t="s">
        <v>74</v>
      </c>
      <c r="BD61" s="16" t="str">
        <f t="shared" ca="1" si="168"/>
        <v>Paraguay</v>
      </c>
      <c r="BE61" s="16">
        <f t="shared" ca="1" si="188"/>
        <v>2</v>
      </c>
      <c r="BF61" s="16">
        <f t="shared" ca="1" si="189"/>
        <v>3</v>
      </c>
      <c r="BG61" s="16">
        <f t="shared" ca="1" si="169"/>
        <v>0</v>
      </c>
      <c r="BH61" s="16">
        <f t="shared" ca="1" si="170"/>
        <v>2</v>
      </c>
      <c r="BI61" s="16">
        <f t="shared" ca="1" si="171"/>
        <v>1</v>
      </c>
      <c r="BJ61" s="16">
        <f t="shared" ca="1" si="172"/>
        <v>4</v>
      </c>
      <c r="BK61" s="16">
        <f t="shared" ca="1" si="173"/>
        <v>5</v>
      </c>
      <c r="BL61" s="16">
        <f t="shared" ca="1" si="190"/>
        <v>-1</v>
      </c>
      <c r="BM61" s="16">
        <f t="shared" ca="1" si="191"/>
        <v>9</v>
      </c>
      <c r="BN61" s="16">
        <f t="shared" ca="1" si="192"/>
        <v>9</v>
      </c>
      <c r="BO61" s="16" t="str">
        <f t="shared" si="174"/>
        <v>4D</v>
      </c>
      <c r="BP61" s="16"/>
      <c r="BQ61" s="16"/>
      <c r="BR61" s="16">
        <f t="shared" ca="1" si="175"/>
        <v>2</v>
      </c>
      <c r="BS61" s="16">
        <f t="shared" ca="1" si="193"/>
        <v>9</v>
      </c>
      <c r="BT61" s="16" t="str">
        <f t="shared" ca="1" si="194"/>
        <v>Pos. 9 (2)</v>
      </c>
      <c r="BU61" s="16">
        <f t="shared" ca="1" si="176"/>
        <v>-1</v>
      </c>
      <c r="BV61" s="16">
        <f t="shared" ca="1" si="177"/>
        <v>9</v>
      </c>
      <c r="BW61" s="16" t="str">
        <f t="shared" ca="1" si="178"/>
        <v>Pos. 9 (2)</v>
      </c>
      <c r="BX61" s="16">
        <f t="shared" ca="1" si="179"/>
        <v>4</v>
      </c>
      <c r="BY61" s="16">
        <f t="shared" ca="1" si="180"/>
        <v>9</v>
      </c>
      <c r="BZ61" s="16" t="str">
        <f t="shared" ca="1" si="181"/>
        <v>-</v>
      </c>
      <c r="CA61" s="16" t="str">
        <f t="shared" ca="1" si="182"/>
        <v>-</v>
      </c>
      <c r="CB61" s="16">
        <f t="shared" ca="1" si="195"/>
        <v>9</v>
      </c>
      <c r="CC61" s="16"/>
      <c r="CD61" s="16">
        <f t="shared" ca="1" si="183"/>
        <v>9</v>
      </c>
      <c r="CE61" s="16" t="str">
        <f t="shared" ca="1" si="196"/>
        <v>-</v>
      </c>
      <c r="CF61" s="16">
        <f t="shared" ca="1" si="197"/>
        <v>9</v>
      </c>
      <c r="DJ61" s="16">
        <f t="shared" ca="1" si="184"/>
        <v>2</v>
      </c>
      <c r="DK61" s="16"/>
      <c r="DL61" s="16">
        <f t="shared" ca="1" si="185"/>
        <v>3</v>
      </c>
      <c r="DM61" s="16" t="str">
        <f t="shared" ca="1" si="186"/>
        <v>2.3</v>
      </c>
      <c r="DN61" s="16" t="e" cm="1" vm="30">
        <f t="array" aca="1" ref="DN61" ca="1">OFFSET(Horarios!$P$3,DJ61-1,0,DL61,1)</f>
        <v>#VALUE!</v>
      </c>
      <c r="DO61" s="16"/>
      <c r="DP61" s="16">
        <v>4</v>
      </c>
      <c r="DQ61" s="16" t="str">
        <f t="shared" ca="1" si="198"/>
        <v>República Checa</v>
      </c>
    </row>
    <row r="62" spans="1:121" ht="16" customHeight="1" thickBo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15"/>
      <c r="X62" s="24">
        <f ca="1">Horarios!C62</f>
        <v>46194.75</v>
      </c>
      <c r="Y62" s="25">
        <f ca="1">Horarios!C62</f>
        <v>46194.75</v>
      </c>
      <c r="Z62" s="26" t="str">
        <f>$Z$6</f>
        <v>J2</v>
      </c>
      <c r="AA62" s="27" t="str">
        <f ca="1">A61</f>
        <v>España</v>
      </c>
      <c r="AB62" s="49" t="e" cm="1" vm="31">
        <f t="array" aca="1" ref="AB62" ca="1">Ver_flag_local</f>
        <v>#VALUE!</v>
      </c>
      <c r="AC62" s="700">
        <v>2</v>
      </c>
      <c r="AD62" s="701">
        <v>0</v>
      </c>
      <c r="AE62" s="569" t="e" cm="1" vm="33">
        <f t="array" aca="1" ref="AE62" ca="1">Ver_flag_visit</f>
        <v>#VALUE!</v>
      </c>
      <c r="AF62" s="32" t="str">
        <f ca="1">A63</f>
        <v>Arabia Saudita</v>
      </c>
      <c r="AG62" s="304">
        <f t="shared" si="212"/>
        <v>1</v>
      </c>
      <c r="AH62" s="183">
        <v>38</v>
      </c>
      <c r="AI62" s="169" t="str">
        <f>AJ62&amp;$B$60</f>
        <v>1H</v>
      </c>
      <c r="AJ62" s="40">
        <v>1</v>
      </c>
      <c r="AK62" s="575" t="e" cm="1" vm="31">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2</v>
      </c>
      <c r="AT62" s="41">
        <f t="shared" ca="1" si="215"/>
        <v>7</v>
      </c>
      <c r="AU62" s="311">
        <f ca="1">INDEX($DL$6:$DL$53,MATCH(AI62,$DP$6:$DP$53,0))</f>
        <v>1</v>
      </c>
      <c r="AV62" s="170" t="str">
        <f ca="1">INDEX($BD$6:$BD$53,MATCH(AI62,$BM$6:$BM$53,0))</f>
        <v>España</v>
      </c>
      <c r="AW62" s="198"/>
      <c r="AX62" s="159"/>
      <c r="AY62" s="189" t="str">
        <f ca="1">+A61</f>
        <v>España</v>
      </c>
      <c r="AZ62" s="190"/>
      <c r="BA62" s="164"/>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3</v>
      </c>
      <c r="BK62" s="16">
        <f t="shared" ca="1" si="173"/>
        <v>3</v>
      </c>
      <c r="BL62" s="16">
        <f t="shared" ca="1" si="190"/>
        <v>0</v>
      </c>
      <c r="BM62" s="16">
        <f t="shared" ca="1" si="191"/>
        <v>2</v>
      </c>
      <c r="BN62" s="16">
        <f t="shared" ca="1" si="192"/>
        <v>2</v>
      </c>
      <c r="BO62" s="16" t="str">
        <f t="shared" si="174"/>
        <v>4E</v>
      </c>
      <c r="BP62" s="16"/>
      <c r="BQ62" s="16"/>
      <c r="BR62" s="16">
        <f t="shared" ca="1" si="175"/>
        <v>4</v>
      </c>
      <c r="BS62" s="16">
        <f t="shared" ca="1" si="193"/>
        <v>1</v>
      </c>
      <c r="BT62" s="16" t="str">
        <f t="shared" ca="1" si="194"/>
        <v>Pos. 1 (4)</v>
      </c>
      <c r="BU62" s="16">
        <f t="shared" ca="1" si="176"/>
        <v>0</v>
      </c>
      <c r="BV62" s="16">
        <f t="shared" ca="1" si="177"/>
        <v>2</v>
      </c>
      <c r="BW62" s="16" t="str">
        <f t="shared" ca="1" si="178"/>
        <v>Pos. 2 (3)</v>
      </c>
      <c r="BX62" s="16">
        <f t="shared" ca="1" si="179"/>
        <v>3</v>
      </c>
      <c r="BY62" s="16">
        <f t="shared" ca="1" si="180"/>
        <v>2</v>
      </c>
      <c r="BZ62" s="16" t="str">
        <f t="shared" ca="1" si="181"/>
        <v>Pos. 2 (3)</v>
      </c>
      <c r="CA62" s="16">
        <f t="shared" ca="1" si="182"/>
        <v>7</v>
      </c>
      <c r="CB62" s="16">
        <f t="shared" ca="1" si="195"/>
        <v>2</v>
      </c>
      <c r="CC62" s="16"/>
      <c r="CD62" s="16">
        <f t="shared" ca="1" si="183"/>
        <v>2</v>
      </c>
      <c r="CE62" s="16">
        <f t="shared" ca="1" si="196"/>
        <v>1</v>
      </c>
      <c r="CF62" s="16">
        <f t="shared" ca="1" si="197"/>
        <v>2</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RD Congo</v>
      </c>
    </row>
    <row r="63" spans="1:121" ht="16" customHeight="1" thickBo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15"/>
      <c r="X63" s="24">
        <f ca="1">Horarios!C63</f>
        <v>46195</v>
      </c>
      <c r="Y63" s="25">
        <f ca="1">Horarios!C63</f>
        <v>46195</v>
      </c>
      <c r="Z63" s="26" t="str">
        <f>$Z$6</f>
        <v>J2</v>
      </c>
      <c r="AA63" s="27" t="str">
        <f ca="1">A64</f>
        <v>Uruguay</v>
      </c>
      <c r="AB63" s="49" t="e" cm="1" vm="34">
        <f t="array" aca="1" ref="AB63" ca="1">Ver_flag_local</f>
        <v>#VALUE!</v>
      </c>
      <c r="AC63" s="700">
        <v>2</v>
      </c>
      <c r="AD63" s="701">
        <v>0</v>
      </c>
      <c r="AE63" s="569" t="e" cm="1" vm="32">
        <f t="array" aca="1" ref="AE63" ca="1">Ver_flag_visit</f>
        <v>#VALUE!</v>
      </c>
      <c r="AF63" s="32" t="str">
        <f ca="1">A62</f>
        <v>Cabo Verde</v>
      </c>
      <c r="AG63" s="304">
        <f t="shared" si="212"/>
        <v>1</v>
      </c>
      <c r="AH63" s="183">
        <v>37</v>
      </c>
      <c r="AI63" s="169" t="str">
        <f t="shared" ref="AI63:AI65" si="216">AJ63&amp;$B$60</f>
        <v>2H</v>
      </c>
      <c r="AJ63" s="42">
        <v>2</v>
      </c>
      <c r="AK63" s="576" t="e" cm="1" vm="34">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3</v>
      </c>
      <c r="AT63" s="43">
        <f t="shared" ca="1" si="215"/>
        <v>3</v>
      </c>
      <c r="AU63" s="311">
        <f ca="1">INDEX($DL$6:$DL$53,MATCH(AI63,$DP$6:$DP$53,0))</f>
        <v>1</v>
      </c>
      <c r="AV63" s="170" t="str">
        <f ca="1">INDEX($BD$6:$BD$53,MATCH(AI63,$BM$6:$BM$53,0))</f>
        <v>Uruguay</v>
      </c>
      <c r="AW63" s="198"/>
      <c r="AX63" s="159"/>
      <c r="AY63" s="191" t="str">
        <f ca="1">+A62</f>
        <v>Cabo Verde</v>
      </c>
      <c r="AZ63" s="192"/>
      <c r="BA63" s="164"/>
      <c r="BB63" s="16" t="str">
        <f t="shared" si="187"/>
        <v>3F</v>
      </c>
      <c r="BC63" s="16" t="s">
        <v>4</v>
      </c>
      <c r="BD63" s="16" t="str">
        <f t="shared" ca="1" si="168"/>
        <v>Suecia</v>
      </c>
      <c r="BE63" s="16">
        <f t="shared" ca="1" si="188"/>
        <v>2</v>
      </c>
      <c r="BF63" s="16">
        <f t="shared" ca="1" si="189"/>
        <v>3</v>
      </c>
      <c r="BG63" s="16">
        <f t="shared" ca="1" si="169"/>
        <v>0</v>
      </c>
      <c r="BH63" s="16">
        <f t="shared" ca="1" si="170"/>
        <v>2</v>
      </c>
      <c r="BI63" s="16">
        <f t="shared" ca="1" si="171"/>
        <v>1</v>
      </c>
      <c r="BJ63" s="16">
        <f t="shared" ca="1" si="172"/>
        <v>3</v>
      </c>
      <c r="BK63" s="16">
        <f t="shared" ca="1" si="173"/>
        <v>4</v>
      </c>
      <c r="BL63" s="16">
        <f t="shared" ca="1" si="190"/>
        <v>-1</v>
      </c>
      <c r="BM63" s="16">
        <f t="shared" ca="1" si="191"/>
        <v>10</v>
      </c>
      <c r="BN63" s="16">
        <f t="shared" ca="1" si="192"/>
        <v>10</v>
      </c>
      <c r="BO63" s="16" t="str">
        <f t="shared" si="174"/>
        <v>4F</v>
      </c>
      <c r="BP63" s="16"/>
      <c r="BQ63" s="16"/>
      <c r="BR63" s="16">
        <f t="shared" ca="1" si="175"/>
        <v>2</v>
      </c>
      <c r="BS63" s="16">
        <f t="shared" ca="1" si="193"/>
        <v>9</v>
      </c>
      <c r="BT63" s="16" t="str">
        <f t="shared" ca="1" si="194"/>
        <v>Pos. 9 (2)</v>
      </c>
      <c r="BU63" s="16">
        <f t="shared" ca="1" si="176"/>
        <v>-1</v>
      </c>
      <c r="BV63" s="16">
        <f t="shared" ca="1" si="177"/>
        <v>9</v>
      </c>
      <c r="BW63" s="16" t="str">
        <f t="shared" ca="1" si="178"/>
        <v>Pos. 9 (2)</v>
      </c>
      <c r="BX63" s="16">
        <f t="shared" ca="1" si="179"/>
        <v>3</v>
      </c>
      <c r="BY63" s="16">
        <f t="shared" ca="1" si="180"/>
        <v>10</v>
      </c>
      <c r="BZ63" s="16" t="str">
        <f t="shared" ca="1" si="181"/>
        <v>-</v>
      </c>
      <c r="CA63" s="16" t="str">
        <f t="shared" ca="1" si="182"/>
        <v>-</v>
      </c>
      <c r="CB63" s="16">
        <f t="shared" ca="1" si="195"/>
        <v>10</v>
      </c>
      <c r="CC63" s="16"/>
      <c r="CD63" s="16">
        <f t="shared" ca="1" si="183"/>
        <v>10</v>
      </c>
      <c r="CE63" s="16" t="str">
        <f t="shared" ca="1" si="196"/>
        <v>-</v>
      </c>
      <c r="CF63" s="16">
        <f t="shared" ca="1" si="197"/>
        <v>10</v>
      </c>
      <c r="DJ63" s="16">
        <f t="shared" ca="1" si="184"/>
        <v>6</v>
      </c>
      <c r="DK63" s="16"/>
      <c r="DL63" s="16">
        <f t="shared" ca="1" si="185"/>
        <v>2</v>
      </c>
      <c r="DM63" s="16" t="str">
        <f t="shared" ca="1" si="186"/>
        <v>6.2</v>
      </c>
      <c r="DN63" s="16" t="e" cm="1" vm="21">
        <f t="array" aca="1" ref="DN63" ca="1">OFFSET(Horarios!$P$3,DJ63-1,0,DL63,1)</f>
        <v>#VALUE!</v>
      </c>
      <c r="DO63" s="16"/>
      <c r="DP63" s="16">
        <v>6</v>
      </c>
      <c r="DQ63" s="16" t="str">
        <f t="shared" ca="1" si="198"/>
        <v>Argelia</v>
      </c>
    </row>
    <row r="64" spans="1:121" ht="16" customHeight="1" thickBo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15"/>
      <c r="X64" s="24">
        <f ca="1">Horarios!C64</f>
        <v>46200.083333333336</v>
      </c>
      <c r="Y64" s="25">
        <f ca="1">Horarios!C64</f>
        <v>46200.083333333336</v>
      </c>
      <c r="Z64" s="26" t="str">
        <f>$Z$8</f>
        <v>J3</v>
      </c>
      <c r="AA64" s="27" t="str">
        <f ca="1">A62</f>
        <v>Cabo Verde</v>
      </c>
      <c r="AB64" s="49" t="e" cm="1" vm="32">
        <f t="array" aca="1" ref="AB64" ca="1">Ver_flag_local</f>
        <v>#VALUE!</v>
      </c>
      <c r="AC64" s="700">
        <v>1</v>
      </c>
      <c r="AD64" s="701">
        <v>1</v>
      </c>
      <c r="AE64" s="569" t="e" cm="1" vm="33">
        <f t="array" aca="1" ref="AE64" ca="1">Ver_flag_visit</f>
        <v>#VALUE!</v>
      </c>
      <c r="AF64" s="32" t="str">
        <f ca="1">A63</f>
        <v>Arabia Saudita</v>
      </c>
      <c r="AG64" s="304">
        <f t="shared" si="212"/>
        <v>1</v>
      </c>
      <c r="AH64" s="183">
        <v>65</v>
      </c>
      <c r="AI64" s="169" t="str">
        <f t="shared" si="216"/>
        <v>3H</v>
      </c>
      <c r="AJ64" s="42">
        <v>3</v>
      </c>
      <c r="AK64" s="576" t="e" cm="1" vm="33">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1</v>
      </c>
      <c r="AS64" s="39">
        <f t="shared" ca="1" si="215"/>
        <v>5</v>
      </c>
      <c r="AT64" s="43">
        <f t="shared" ca="1" si="215"/>
        <v>-4</v>
      </c>
      <c r="AU64" s="311">
        <f ca="1">INDEX($DL$6:$DL$53,MATCH(AI64,$DP$6:$DP$53,0))</f>
        <v>1</v>
      </c>
      <c r="AV64" s="170" t="str">
        <f ca="1">INDEX($BD$6:$BD$53,MATCH(AI64,$BM$6:$BM$53,0))</f>
        <v>Arabia Saudita</v>
      </c>
      <c r="AW64" s="198"/>
      <c r="AX64" s="159"/>
      <c r="AY64" s="189" t="str">
        <f ca="1">+A63</f>
        <v>Arabia Saudita</v>
      </c>
      <c r="AZ64" s="190"/>
      <c r="BA64" s="164"/>
      <c r="BB64" s="16" t="str">
        <f t="shared" si="187"/>
        <v>3G</v>
      </c>
      <c r="BC64" s="16" t="s">
        <v>6</v>
      </c>
      <c r="BD64" s="16" t="str">
        <f t="shared" ca="1" si="168"/>
        <v>Nueva Zelanda</v>
      </c>
      <c r="BE64" s="16">
        <f t="shared" ca="1" si="188"/>
        <v>3</v>
      </c>
      <c r="BF64" s="16">
        <f t="shared" ca="1" si="189"/>
        <v>3</v>
      </c>
      <c r="BG64" s="16">
        <f t="shared" ca="1" si="169"/>
        <v>1</v>
      </c>
      <c r="BH64" s="16">
        <f t="shared" ca="1" si="170"/>
        <v>0</v>
      </c>
      <c r="BI64" s="16">
        <f t="shared" ca="1" si="171"/>
        <v>2</v>
      </c>
      <c r="BJ64" s="16">
        <f t="shared" ca="1" si="172"/>
        <v>2</v>
      </c>
      <c r="BK64" s="16">
        <f t="shared" ca="1" si="173"/>
        <v>6</v>
      </c>
      <c r="BL64" s="16">
        <f t="shared" ca="1" si="190"/>
        <v>-4</v>
      </c>
      <c r="BM64" s="16">
        <f t="shared" ca="1" si="191"/>
        <v>8</v>
      </c>
      <c r="BN64" s="16">
        <f t="shared" ca="1" si="192"/>
        <v>8</v>
      </c>
      <c r="BO64" s="16" t="str">
        <f t="shared" si="174"/>
        <v>4G</v>
      </c>
      <c r="BP64" s="16"/>
      <c r="BQ64" s="16"/>
      <c r="BR64" s="16">
        <f t="shared" ca="1" si="175"/>
        <v>3</v>
      </c>
      <c r="BS64" s="16">
        <f t="shared" ca="1" si="193"/>
        <v>5</v>
      </c>
      <c r="BT64" s="16" t="str">
        <f t="shared" ca="1" si="194"/>
        <v>Pos. 5 (4)</v>
      </c>
      <c r="BU64" s="16">
        <f t="shared" ca="1" si="176"/>
        <v>-4</v>
      </c>
      <c r="BV64" s="16">
        <f t="shared" ca="1" si="177"/>
        <v>8</v>
      </c>
      <c r="BW64" s="16" t="str">
        <f t="shared" ca="1" si="178"/>
        <v>-</v>
      </c>
      <c r="BX64" s="16" t="str">
        <f t="shared" ca="1" si="179"/>
        <v>-</v>
      </c>
      <c r="BY64" s="16">
        <f t="shared" ca="1" si="180"/>
        <v>8</v>
      </c>
      <c r="BZ64" s="16" t="str">
        <f t="shared" ca="1" si="181"/>
        <v>-</v>
      </c>
      <c r="CA64" s="16" t="str">
        <f t="shared" ca="1" si="182"/>
        <v>-</v>
      </c>
      <c r="CB64" s="16">
        <f t="shared" ca="1" si="195"/>
        <v>8</v>
      </c>
      <c r="CC64" s="16"/>
      <c r="CD64" s="16">
        <f t="shared" ca="1" si="183"/>
        <v>8</v>
      </c>
      <c r="CE64" s="16" t="str">
        <f t="shared" ca="1" si="196"/>
        <v>-</v>
      </c>
      <c r="CF64" s="16">
        <f t="shared" ca="1" si="197"/>
        <v>8</v>
      </c>
      <c r="DJ64" s="16">
        <f t="shared" ca="1" si="184"/>
        <v>6</v>
      </c>
      <c r="DK64" s="16"/>
      <c r="DL64" s="16">
        <f t="shared" ca="1" si="185"/>
        <v>2</v>
      </c>
      <c r="DM64" s="16" t="str">
        <f t="shared" ca="1" si="186"/>
        <v>6.2</v>
      </c>
      <c r="DN64" s="16" t="e" cm="1" vm="21">
        <f t="array" aca="1" ref="DN64" ca="1">OFFSET(Horarios!$P$3,DJ64-1,0,DL64,1)</f>
        <v>#VALUE!</v>
      </c>
      <c r="DO64" s="16"/>
      <c r="DP64" s="16">
        <v>7</v>
      </c>
      <c r="DQ64" s="16" t="str">
        <f t="shared" ca="1" si="198"/>
        <v>Bosnia y Herzegovina</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6"/>
      <c r="X65" s="28">
        <f ca="1">Horarios!C65</f>
        <v>46200.083333333336</v>
      </c>
      <c r="Y65" s="29">
        <f ca="1">Horarios!C65</f>
        <v>46200.083333333336</v>
      </c>
      <c r="Z65" s="30" t="str">
        <f>$Z$8</f>
        <v>J3</v>
      </c>
      <c r="AA65" s="31" t="str">
        <f ca="1">A64</f>
        <v>Uruguay</v>
      </c>
      <c r="AB65" s="50" t="e" cm="1" vm="34">
        <f t="array" aca="1" ref="AB65" ca="1">Ver_flag_local</f>
        <v>#VALUE!</v>
      </c>
      <c r="AC65" s="700">
        <v>2</v>
      </c>
      <c r="AD65" s="701">
        <v>3</v>
      </c>
      <c r="AE65" s="570" t="e" cm="1" vm="31">
        <f t="array" aca="1" ref="AE65" ca="1">Ver_flag_visit</f>
        <v>#VALUE!</v>
      </c>
      <c r="AF65" s="33" t="str">
        <f ca="1">A61</f>
        <v>España</v>
      </c>
      <c r="AG65" s="304">
        <f t="shared" si="212"/>
        <v>1</v>
      </c>
      <c r="AH65" s="183">
        <v>66</v>
      </c>
      <c r="AI65" s="169" t="str">
        <f t="shared" si="216"/>
        <v>4H</v>
      </c>
      <c r="AJ65" s="44">
        <v>4</v>
      </c>
      <c r="AK65" s="578" t="e" cm="1" vm="32">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7</v>
      </c>
      <c r="AT65" s="48">
        <f t="shared" ca="1" si="215"/>
        <v>-6</v>
      </c>
      <c r="AU65" s="311">
        <f ca="1">INDEX($DL$6:$DL$53,MATCH(AI65,$DP$6:$DP$53,0))</f>
        <v>1</v>
      </c>
      <c r="AV65" s="170" t="str">
        <f ca="1">INDEX($BD$6:$BD$53,MATCH(AI65,$BM$6:$BM$53,0))</f>
        <v>Cabo Verde</v>
      </c>
      <c r="AW65" s="198"/>
      <c r="AX65" s="159"/>
      <c r="AY65" s="193" t="str">
        <f ca="1">+A64</f>
        <v>Uruguay</v>
      </c>
      <c r="AZ65" s="194"/>
      <c r="BA65" s="164"/>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1</v>
      </c>
      <c r="BK65" s="16">
        <f t="shared" ca="1" si="173"/>
        <v>5</v>
      </c>
      <c r="BL65" s="16">
        <f t="shared" ca="1" si="190"/>
        <v>-4</v>
      </c>
      <c r="BM65" s="16">
        <f t="shared" ca="1" si="191"/>
        <v>12</v>
      </c>
      <c r="BN65" s="16">
        <f t="shared" ca="1" si="192"/>
        <v>12</v>
      </c>
      <c r="BO65" s="16" t="str">
        <f t="shared" si="174"/>
        <v>4H</v>
      </c>
      <c r="BP65" s="16"/>
      <c r="BQ65" s="16"/>
      <c r="BR65" s="16">
        <f t="shared" ca="1" si="175"/>
        <v>1</v>
      </c>
      <c r="BS65" s="16">
        <f t="shared" ca="1" si="193"/>
        <v>11</v>
      </c>
      <c r="BT65" s="16" t="str">
        <f t="shared" ca="1" si="194"/>
        <v>Pos. 11 (2)</v>
      </c>
      <c r="BU65" s="16">
        <f t="shared" ca="1" si="176"/>
        <v>-4</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Nueva Zelanda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42"/>
      <c r="X66" s="143"/>
      <c r="Y66" s="142"/>
      <c r="Z66" s="144"/>
      <c r="AA66" s="145"/>
      <c r="AB66" s="146"/>
      <c r="AC66" s="139"/>
      <c r="AD66" s="139"/>
      <c r="AE66" s="146"/>
      <c r="AF66" s="147"/>
      <c r="AG66" s="306"/>
      <c r="AH66" s="183"/>
      <c r="AI66" s="168"/>
      <c r="AJ66" s="148"/>
      <c r="AK66" s="149"/>
      <c r="AL66" s="150"/>
      <c r="AM66" s="151"/>
      <c r="AN66" s="148"/>
      <c r="AO66" s="148"/>
      <c r="AP66" s="148"/>
      <c r="AQ66" s="148"/>
      <c r="AR66" s="148"/>
      <c r="AS66" s="148"/>
      <c r="AT66" s="148"/>
      <c r="AU66" s="311"/>
      <c r="AV66" s="177"/>
      <c r="AW66" s="199"/>
      <c r="AX66" s="159"/>
      <c r="AY66" s="142"/>
      <c r="AZ66" s="143"/>
      <c r="BA66" s="164"/>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3</v>
      </c>
      <c r="BK66" s="16">
        <f t="shared" ca="1" si="173"/>
        <v>3</v>
      </c>
      <c r="BL66" s="16">
        <f t="shared" ca="1" si="190"/>
        <v>0</v>
      </c>
      <c r="BM66" s="16">
        <f t="shared" ca="1" si="191"/>
        <v>3</v>
      </c>
      <c r="BN66" s="16">
        <f t="shared" ca="1" si="192"/>
        <v>3</v>
      </c>
      <c r="BO66" s="16" t="str">
        <f t="shared" si="174"/>
        <v>4I</v>
      </c>
      <c r="BP66" s="16"/>
      <c r="BQ66" s="16"/>
      <c r="BR66" s="16">
        <f t="shared" ca="1" si="175"/>
        <v>4</v>
      </c>
      <c r="BS66" s="16">
        <f t="shared" ca="1" si="193"/>
        <v>1</v>
      </c>
      <c r="BT66" s="16" t="str">
        <f t="shared" ca="1" si="194"/>
        <v>Pos. 1 (4)</v>
      </c>
      <c r="BU66" s="16">
        <f t="shared" ca="1" si="176"/>
        <v>0</v>
      </c>
      <c r="BV66" s="16">
        <f t="shared" ca="1" si="177"/>
        <v>2</v>
      </c>
      <c r="BW66" s="16" t="str">
        <f t="shared" ca="1" si="178"/>
        <v>Pos. 2 (3)</v>
      </c>
      <c r="BX66" s="16">
        <f t="shared" ca="1" si="179"/>
        <v>3</v>
      </c>
      <c r="BY66" s="16">
        <f t="shared" ca="1" si="180"/>
        <v>2</v>
      </c>
      <c r="BZ66" s="16" t="str">
        <f t="shared" ca="1" si="181"/>
        <v>Pos. 2 (3)</v>
      </c>
      <c r="CA66" s="16">
        <f t="shared" ca="1" si="182"/>
        <v>5</v>
      </c>
      <c r="CB66" s="16">
        <f t="shared" ca="1" si="195"/>
        <v>3</v>
      </c>
      <c r="CC66" s="16"/>
      <c r="CD66" s="16">
        <f t="shared" ca="1" si="183"/>
        <v>3</v>
      </c>
      <c r="CE66" s="16">
        <f t="shared" ca="1" si="196"/>
        <v>2</v>
      </c>
      <c r="CF66" s="16">
        <f t="shared" ca="1" si="197"/>
        <v>3</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Paraguay</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5" t="str">
        <f>X3</f>
        <v>Fecha</v>
      </c>
      <c r="Y67" s="65" t="str">
        <f>Y3</f>
        <v>Hora</v>
      </c>
      <c r="Z67" s="51" t="str">
        <f>Z3</f>
        <v>Jor.</v>
      </c>
      <c r="AA67" s="53" t="str">
        <f>AA3</f>
        <v>Casa</v>
      </c>
      <c r="AB67" s="52"/>
      <c r="AC67" s="51" t="str">
        <f>AC3</f>
        <v>Gol</v>
      </c>
      <c r="AD67" s="51" t="str">
        <f>AD3</f>
        <v>Gol</v>
      </c>
      <c r="AE67" s="52"/>
      <c r="AF67" s="54" t="str">
        <f>AF3</f>
        <v>Fuera</v>
      </c>
      <c r="AG67" s="305"/>
      <c r="AH67" s="183"/>
      <c r="AI67" s="167"/>
      <c r="AJ67" s="150"/>
      <c r="AK67" s="574"/>
      <c r="AL67" s="150"/>
      <c r="AM67" s="150"/>
      <c r="AN67" s="150"/>
      <c r="AO67" s="150"/>
      <c r="AP67" s="150"/>
      <c r="AQ67" s="150"/>
      <c r="AR67" s="150"/>
      <c r="AS67" s="150"/>
      <c r="AT67" s="150"/>
      <c r="AU67" s="312"/>
      <c r="AV67" s="176"/>
      <c r="AW67" s="200"/>
      <c r="AX67" s="160"/>
      <c r="AY67" s="142"/>
      <c r="AZ67" s="143"/>
      <c r="BA67" s="164"/>
      <c r="BB67" s="16" t="str">
        <f t="shared" si="187"/>
        <v>3J</v>
      </c>
      <c r="BC67" s="16" t="s">
        <v>5</v>
      </c>
      <c r="BD67" s="16" t="str">
        <f t="shared" ca="1" si="168"/>
        <v>Argelia</v>
      </c>
      <c r="BE67" s="16">
        <f t="shared" ca="1" si="188"/>
        <v>3</v>
      </c>
      <c r="BF67" s="16">
        <f t="shared" ca="1" si="189"/>
        <v>3</v>
      </c>
      <c r="BG67" s="16">
        <f t="shared" ca="1" si="169"/>
        <v>1</v>
      </c>
      <c r="BH67" s="16">
        <f t="shared" ca="1" si="170"/>
        <v>0</v>
      </c>
      <c r="BI67" s="16">
        <f t="shared" ca="1" si="171"/>
        <v>2</v>
      </c>
      <c r="BJ67" s="16">
        <f t="shared" ca="1" si="172"/>
        <v>2</v>
      </c>
      <c r="BK67" s="16">
        <f t="shared" ca="1" si="173"/>
        <v>5</v>
      </c>
      <c r="BL67" s="16">
        <f t="shared" ca="1" si="190"/>
        <v>-3</v>
      </c>
      <c r="BM67" s="16">
        <f t="shared" ca="1" si="191"/>
        <v>6</v>
      </c>
      <c r="BN67" s="16">
        <f t="shared" ca="1" si="192"/>
        <v>6</v>
      </c>
      <c r="BO67" s="16" t="str">
        <f t="shared" si="174"/>
        <v>4J</v>
      </c>
      <c r="BP67" s="16"/>
      <c r="BQ67" s="16"/>
      <c r="BR67" s="16">
        <f t="shared" ca="1" si="175"/>
        <v>3</v>
      </c>
      <c r="BS67" s="16">
        <f t="shared" ca="1" si="193"/>
        <v>5</v>
      </c>
      <c r="BT67" s="16" t="str">
        <f t="shared" ca="1" si="194"/>
        <v>Pos. 5 (4)</v>
      </c>
      <c r="BU67" s="16">
        <f t="shared" ca="1" si="176"/>
        <v>-3</v>
      </c>
      <c r="BV67" s="16">
        <f t="shared" ca="1" si="177"/>
        <v>6</v>
      </c>
      <c r="BW67" s="16" t="str">
        <f t="shared" ca="1" si="178"/>
        <v>Pos. 6 (2)</v>
      </c>
      <c r="BX67" s="16">
        <f t="shared" ca="1" si="179"/>
        <v>2</v>
      </c>
      <c r="BY67" s="16">
        <f t="shared" ca="1" si="180"/>
        <v>6</v>
      </c>
      <c r="BZ67" s="16" t="str">
        <f t="shared" ca="1" si="181"/>
        <v>Pos. 6 (2)</v>
      </c>
      <c r="CA67" s="16">
        <f t="shared" ca="1" si="182"/>
        <v>10</v>
      </c>
      <c r="CB67" s="16">
        <f t="shared" ca="1" si="195"/>
        <v>6</v>
      </c>
      <c r="CC67" s="16"/>
      <c r="CD67" s="16">
        <f t="shared" ca="1" si="183"/>
        <v>6.0060000000000002</v>
      </c>
      <c r="CE67" s="16">
        <f t="shared" ca="1" si="196"/>
        <v>5</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Suecia</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21" t="s">
        <v>448</v>
      </c>
      <c r="X68" s="24">
        <f ca="1">Horarios!C68</f>
        <v>46189.875</v>
      </c>
      <c r="Y68" s="25">
        <f ca="1">Horarios!C68</f>
        <v>46189.875</v>
      </c>
      <c r="Z68" s="26" t="str">
        <f>$Z$4</f>
        <v>J1</v>
      </c>
      <c r="AA68" s="27" t="str">
        <f ca="1">A69</f>
        <v>Francia</v>
      </c>
      <c r="AB68" s="49" t="e" cm="1" vm="35">
        <f t="array" aca="1" ref="AB68" ca="1">Ver_flag_local</f>
        <v>#VALUE!</v>
      </c>
      <c r="AC68" s="700">
        <v>2</v>
      </c>
      <c r="AD68" s="701">
        <v>1</v>
      </c>
      <c r="AE68" s="569" t="e" cm="1" vm="36">
        <f t="array" aca="1" ref="AE68" ca="1">Ver_flag_visit</f>
        <v>#VALUE!</v>
      </c>
      <c r="AF68" s="32" t="str">
        <f ca="1">A70</f>
        <v>Senegal</v>
      </c>
      <c r="AG68" s="304">
        <f t="shared" ref="AG68:AG73" si="230">IF(NOT(OR(ISBLANK(AC68),ISBLANK(AD68))),1,0)</f>
        <v>1</v>
      </c>
      <c r="AH68" s="183">
        <v>17</v>
      </c>
      <c r="AI68" s="169"/>
      <c r="AJ68" s="55" t="str">
        <f>CONCATENATE(AJ3," ",B68)</f>
        <v>Grupo I</v>
      </c>
      <c r="AK68" s="56"/>
      <c r="AL68" s="56"/>
      <c r="AM68" s="56"/>
      <c r="AN68" s="56"/>
      <c r="AO68" s="56"/>
      <c r="AP68" s="56"/>
      <c r="AQ68" s="56"/>
      <c r="AR68" s="56"/>
      <c r="AS68" s="56"/>
      <c r="AT68" s="57"/>
      <c r="AU68" s="312"/>
      <c r="AV68" s="268" t="str">
        <f ca="1">IF(AU69&gt;0,$AV$3,"")</f>
        <v>¡EMPATE! Puedes seleccionar el orden de los empatados.</v>
      </c>
      <c r="AW68" s="155"/>
      <c r="AX68" s="155"/>
      <c r="AY68" s="142"/>
      <c r="AZ68" s="143"/>
      <c r="BA68" s="164"/>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4</v>
      </c>
      <c r="BL68" s="16">
        <f t="shared" ca="1" si="190"/>
        <v>-2</v>
      </c>
      <c r="BM68" s="16">
        <f t="shared" ca="1" si="191"/>
        <v>5</v>
      </c>
      <c r="BN68" s="16">
        <f t="shared" ca="1" si="192"/>
        <v>5</v>
      </c>
      <c r="BO68" s="16" t="str">
        <f t="shared" si="174"/>
        <v>4K</v>
      </c>
      <c r="BP68" s="16"/>
      <c r="BQ68" s="16"/>
      <c r="BR68" s="16">
        <f t="shared" ca="1" si="175"/>
        <v>3</v>
      </c>
      <c r="BS68" s="16">
        <f t="shared" ca="1" si="193"/>
        <v>5</v>
      </c>
      <c r="BT68" s="16" t="str">
        <f t="shared" ca="1" si="194"/>
        <v>Pos. 5 (4)</v>
      </c>
      <c r="BU68" s="16">
        <f t="shared" ca="1" si="176"/>
        <v>-2</v>
      </c>
      <c r="BV68" s="16">
        <f t="shared" ca="1" si="177"/>
        <v>5</v>
      </c>
      <c r="BW68" s="16" t="str">
        <f t="shared" ca="1" si="178"/>
        <v>-</v>
      </c>
      <c r="BX68" s="16" t="str">
        <f t="shared" ca="1" si="179"/>
        <v>-</v>
      </c>
      <c r="BY68" s="16">
        <f t="shared" ca="1" si="180"/>
        <v>5</v>
      </c>
      <c r="BZ68" s="16" t="str">
        <f t="shared" ca="1" si="181"/>
        <v>-</v>
      </c>
      <c r="CA68" s="16" t="str">
        <f t="shared" ca="1" si="182"/>
        <v>-</v>
      </c>
      <c r="CB68" s="16">
        <f t="shared" ca="1" si="195"/>
        <v>5</v>
      </c>
      <c r="CC68" s="16"/>
      <c r="CD68" s="16">
        <f t="shared" ca="1" si="183"/>
        <v>5</v>
      </c>
      <c r="CE68" s="16" t="str">
        <f t="shared" ca="1" si="196"/>
        <v>-</v>
      </c>
      <c r="CF68" s="16">
        <f t="shared" ca="1" si="197"/>
        <v>5</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Ghana</v>
      </c>
    </row>
    <row r="69" spans="1:121" ht="16" customHeight="1" thickBo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21"/>
      <c r="X69" s="24">
        <f ca="1">Horarios!C69</f>
        <v>46190</v>
      </c>
      <c r="Y69" s="25">
        <f ca="1">Horarios!C69</f>
        <v>46190</v>
      </c>
      <c r="Z69" s="26" t="str">
        <f>$Z$4</f>
        <v>J1</v>
      </c>
      <c r="AA69" s="27" t="str">
        <f ca="1">A71</f>
        <v>Irak</v>
      </c>
      <c r="AB69" s="49" t="e" cm="1" vm="37">
        <f t="array" aca="1" ref="AB69" ca="1">Ver_flag_local</f>
        <v>#VALUE!</v>
      </c>
      <c r="AC69" s="700">
        <v>0</v>
      </c>
      <c r="AD69" s="701">
        <v>2</v>
      </c>
      <c r="AE69" s="569" t="e" cm="1" vm="38">
        <f t="array" aca="1" ref="AE69" ca="1">Ver_flag_visit</f>
        <v>#VALUE!</v>
      </c>
      <c r="AF69" s="32" t="str">
        <f ca="1">A72</f>
        <v>Noruega</v>
      </c>
      <c r="AG69" s="304">
        <f t="shared" si="230"/>
        <v>1</v>
      </c>
      <c r="AH69" s="183">
        <v>18</v>
      </c>
      <c r="AI69" s="169"/>
      <c r="AJ69" s="58" t="str">
        <f>AJ5</f>
        <v>Pos</v>
      </c>
      <c r="AK69" s="59"/>
      <c r="AL69" s="60" t="str">
        <f t="shared" ref="AL69:AT69" si="231">AL5</f>
        <v>Selección</v>
      </c>
      <c r="AM69" s="59" t="str">
        <f t="shared" si="231"/>
        <v>Pts</v>
      </c>
      <c r="AN69" s="59" t="str">
        <f t="shared" si="231"/>
        <v>J</v>
      </c>
      <c r="AO69" s="59" t="str">
        <f t="shared" si="231"/>
        <v>G</v>
      </c>
      <c r="AP69" s="59" t="str">
        <f t="shared" si="231"/>
        <v>E</v>
      </c>
      <c r="AQ69" s="59" t="str">
        <f t="shared" si="231"/>
        <v>P</v>
      </c>
      <c r="AR69" s="59" t="str">
        <f t="shared" si="231"/>
        <v>GF</v>
      </c>
      <c r="AS69" s="59" t="str">
        <f t="shared" si="231"/>
        <v>GC</v>
      </c>
      <c r="AT69" s="61" t="str">
        <f t="shared" si="231"/>
        <v>DG</v>
      </c>
      <c r="AU69" s="312">
        <f t="shared" ref="AU69" ca="1" si="232">COUNTIF(AU70:AU73,"&gt;1")</f>
        <v>2</v>
      </c>
      <c r="AV69" s="180"/>
      <c r="AW69" s="155"/>
      <c r="AX69" s="155"/>
      <c r="AY69" s="195" t="str">
        <f>AL69</f>
        <v>Selección</v>
      </c>
      <c r="AZ69" s="196" t="str">
        <f>+Idiomas!$D$67</f>
        <v>Puntos penalizados</v>
      </c>
      <c r="BA69" s="164"/>
      <c r="BB69" s="16" t="str">
        <f t="shared" si="187"/>
        <v>3L</v>
      </c>
      <c r="BC69" s="16" t="s">
        <v>247</v>
      </c>
      <c r="BD69" s="16" t="str">
        <f t="shared" ca="1" si="168"/>
        <v>Ghana</v>
      </c>
      <c r="BE69" s="16">
        <f t="shared" ca="1" si="188"/>
        <v>1</v>
      </c>
      <c r="BF69" s="16">
        <f t="shared" ca="1" si="189"/>
        <v>3</v>
      </c>
      <c r="BG69" s="16">
        <f t="shared" ca="1" si="169"/>
        <v>0</v>
      </c>
      <c r="BH69" s="16">
        <f t="shared" ca="1" si="170"/>
        <v>1</v>
      </c>
      <c r="BI69" s="16">
        <f t="shared" ca="1" si="171"/>
        <v>2</v>
      </c>
      <c r="BJ69" s="16">
        <f t="shared" ca="1" si="172"/>
        <v>3</v>
      </c>
      <c r="BK69" s="16">
        <f t="shared" ca="1" si="173"/>
        <v>6</v>
      </c>
      <c r="BL69" s="16">
        <f t="shared" ca="1" si="190"/>
        <v>-3</v>
      </c>
      <c r="BM69" s="16">
        <f t="shared" ca="1" si="191"/>
        <v>11</v>
      </c>
      <c r="BN69" s="16">
        <f t="shared" ca="1" si="192"/>
        <v>11</v>
      </c>
      <c r="BO69" s="16" t="str">
        <f t="shared" si="174"/>
        <v>4L</v>
      </c>
      <c r="BP69" s="16"/>
      <c r="BQ69" s="16"/>
      <c r="BR69" s="16">
        <f t="shared" ca="1" si="175"/>
        <v>1</v>
      </c>
      <c r="BS69" s="16">
        <f t="shared" ca="1" si="193"/>
        <v>11</v>
      </c>
      <c r="BT69" s="16" t="str">
        <f t="shared" ca="1" si="194"/>
        <v>Pos. 11 (2)</v>
      </c>
      <c r="BU69" s="16">
        <f t="shared" ca="1" si="176"/>
        <v>-3</v>
      </c>
      <c r="BV69" s="16">
        <f t="shared" ca="1" si="177"/>
        <v>11</v>
      </c>
      <c r="BW69" s="16" t="str">
        <f t="shared" ca="1" si="178"/>
        <v>-</v>
      </c>
      <c r="BX69" s="16" t="str">
        <f t="shared" ca="1" si="179"/>
        <v>-</v>
      </c>
      <c r="BY69" s="16">
        <f t="shared" ca="1" si="180"/>
        <v>11</v>
      </c>
      <c r="BZ69" s="16" t="str">
        <f t="shared" ca="1" si="181"/>
        <v>-</v>
      </c>
      <c r="CA69" s="16" t="str">
        <f t="shared" ca="1" si="182"/>
        <v>-</v>
      </c>
      <c r="CB69" s="16">
        <f ca="1">BY69+COUNTIFS(BZ$58:BZ$69,BZ69,CA$58:CA$69,"&gt;"&amp;CA69)</f>
        <v>11</v>
      </c>
      <c r="CC69" s="16"/>
      <c r="CD69" s="16">
        <f t="shared" ca="1" si="183"/>
        <v>11</v>
      </c>
      <c r="CE69" s="16" t="str">
        <f t="shared" ca="1" si="196"/>
        <v>-</v>
      </c>
      <c r="CF69" s="16">
        <f t="shared" ca="1" si="197"/>
        <v>11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Arabia Saudita</v>
      </c>
    </row>
    <row r="70" spans="1:121" ht="16" customHeight="1" thickBo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1"/>
      <c r="X70" s="24">
        <f ca="1">Horarios!C70</f>
        <v>46195.958333333336</v>
      </c>
      <c r="Y70" s="25">
        <f ca="1">Horarios!C70</f>
        <v>46195.958333333336</v>
      </c>
      <c r="Z70" s="26" t="str">
        <f>$Z$6</f>
        <v>J2</v>
      </c>
      <c r="AA70" s="27" t="str">
        <f ca="1">A69</f>
        <v>Francia</v>
      </c>
      <c r="AB70" s="49" t="e" cm="1" vm="35">
        <f t="array" aca="1" ref="AB70" ca="1">Ver_flag_local</f>
        <v>#VALUE!</v>
      </c>
      <c r="AC70" s="700">
        <v>3</v>
      </c>
      <c r="AD70" s="701">
        <v>0</v>
      </c>
      <c r="AE70" s="569" t="e" cm="1" vm="37">
        <f t="array" aca="1" ref="AE70" ca="1">Ver_flag_visit</f>
        <v>#VALUE!</v>
      </c>
      <c r="AF70" s="32" t="str">
        <f ca="1">A71</f>
        <v>Irak</v>
      </c>
      <c r="AG70" s="304">
        <f t="shared" si="230"/>
        <v>1</v>
      </c>
      <c r="AH70" s="183">
        <v>42</v>
      </c>
      <c r="AI70" s="169" t="str">
        <f>AJ70&amp;$B$68</f>
        <v>1I</v>
      </c>
      <c r="AJ70" s="40">
        <v>1</v>
      </c>
      <c r="AK70" s="575" t="e" cm="1" vm="35">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11">
        <f ca="1">INDEX($DL$6:$DL$53,MATCH(AI70,$DP$6:$DP$53,0))</f>
        <v>1</v>
      </c>
      <c r="AV70" s="170" t="str">
        <f ca="1">INDEX($BD$6:$BD$53,MATCH(AI70,$BM$6:$BM$53,0))</f>
        <v>Francia</v>
      </c>
      <c r="AW70" s="198"/>
      <c r="AX70" s="159"/>
      <c r="AY70" s="189" t="str">
        <f ca="1">+A69</f>
        <v>Francia</v>
      </c>
      <c r="AZ70" s="190"/>
      <c r="BA70" s="164"/>
      <c r="DN70" s="16"/>
    </row>
    <row r="71" spans="1:121" ht="16" customHeight="1" thickBo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21"/>
      <c r="X71" s="24">
        <f ca="1">Horarios!C71</f>
        <v>46196.083333333336</v>
      </c>
      <c r="Y71" s="25">
        <f ca="1">Horarios!C71</f>
        <v>46196.083333333336</v>
      </c>
      <c r="Z71" s="26" t="str">
        <f>$Z$6</f>
        <v>J2</v>
      </c>
      <c r="AA71" s="27" t="str">
        <f ca="1">A72</f>
        <v>Noruega</v>
      </c>
      <c r="AB71" s="49" t="e" cm="1" vm="38">
        <f t="array" aca="1" ref="AB71" ca="1">Ver_flag_local</f>
        <v>#VALUE!</v>
      </c>
      <c r="AC71" s="700">
        <v>1</v>
      </c>
      <c r="AD71" s="701">
        <v>1</v>
      </c>
      <c r="AE71" s="569" t="e" cm="1" vm="36">
        <f t="array" aca="1" ref="AE71" ca="1">Ver_flag_visit</f>
        <v>#VALUE!</v>
      </c>
      <c r="AF71" s="32" t="str">
        <f ca="1">A70</f>
        <v>Senegal</v>
      </c>
      <c r="AG71" s="304">
        <f t="shared" si="230"/>
        <v>1</v>
      </c>
      <c r="AH71" s="183">
        <v>41</v>
      </c>
      <c r="AI71" s="169" t="str">
        <f t="shared" ref="AI71:AI73" si="234">AJ71&amp;$B$68</f>
        <v>2I</v>
      </c>
      <c r="AJ71" s="42">
        <v>2</v>
      </c>
      <c r="AK71" s="576" t="e" cm="1" vm="36">
        <f t="array" aca="1" ref="AK71" ca="1">Ver_flag_visit</f>
        <v>#VALUE!</v>
      </c>
      <c r="AL71" s="37" t="str">
        <f ca="1">IFERROR(INDEX($BD$6:$BD$53,MATCH(AI71,$BN$6:$BN$53,0)),"")</f>
        <v>Senegal</v>
      </c>
      <c r="AM71" s="38">
        <f t="shared" ca="1" si="233"/>
        <v>4</v>
      </c>
      <c r="AN71" s="39">
        <f t="shared" ca="1" si="233"/>
        <v>3</v>
      </c>
      <c r="AO71" s="39">
        <f t="shared" ca="1" si="233"/>
        <v>1</v>
      </c>
      <c r="AP71" s="39">
        <f t="shared" ca="1" si="233"/>
        <v>1</v>
      </c>
      <c r="AQ71" s="39">
        <f t="shared" ca="1" si="233"/>
        <v>1</v>
      </c>
      <c r="AR71" s="39">
        <f t="shared" ca="1" si="233"/>
        <v>3</v>
      </c>
      <c r="AS71" s="39">
        <f t="shared" ca="1" si="233"/>
        <v>3</v>
      </c>
      <c r="AT71" s="43">
        <f t="shared" ca="1" si="233"/>
        <v>0</v>
      </c>
      <c r="AU71" s="311">
        <f ca="1">INDEX($DL$6:$DL$53,MATCH(AI71,$DP$6:$DP$53,0))</f>
        <v>2</v>
      </c>
      <c r="AV71" s="170" t="str">
        <f ca="1">INDEX($BD$6:$BD$53,MATCH(AI71,$BM$6:$BM$53,0))</f>
        <v>Senegal</v>
      </c>
      <c r="AW71" s="198"/>
      <c r="AX71" s="159"/>
      <c r="AY71" s="191" t="str">
        <f ca="1">+A70</f>
        <v>Senegal</v>
      </c>
      <c r="AZ71" s="192"/>
      <c r="BA71" s="164"/>
      <c r="DN71" s="16"/>
    </row>
    <row r="72" spans="1:121" ht="16" customHeight="1" thickBo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21"/>
      <c r="X72" s="24">
        <f ca="1">Horarios!C72</f>
        <v>46199.875</v>
      </c>
      <c r="Y72" s="25">
        <f ca="1">Horarios!C72</f>
        <v>46199.875</v>
      </c>
      <c r="Z72" s="26" t="str">
        <f>$Z$8</f>
        <v>J3</v>
      </c>
      <c r="AA72" s="27" t="str">
        <f ca="1">A72</f>
        <v>Noruega</v>
      </c>
      <c r="AB72" s="49" t="e" cm="1" vm="38">
        <f t="array" aca="1" ref="AB72" ca="1">Ver_flag_local</f>
        <v>#VALUE!</v>
      </c>
      <c r="AC72" s="700">
        <v>0</v>
      </c>
      <c r="AD72" s="701">
        <v>2</v>
      </c>
      <c r="AE72" s="569" t="e" cm="1" vm="35">
        <f t="array" aca="1" ref="AE72" ca="1">Ver_flag_visit</f>
        <v>#VALUE!</v>
      </c>
      <c r="AF72" s="32" t="str">
        <f ca="1">A69</f>
        <v>Francia</v>
      </c>
      <c r="AG72" s="304">
        <f t="shared" si="230"/>
        <v>1</v>
      </c>
      <c r="AH72" s="183">
        <v>61</v>
      </c>
      <c r="AI72" s="169" t="str">
        <f t="shared" si="234"/>
        <v>3I</v>
      </c>
      <c r="AJ72" s="42">
        <v>3</v>
      </c>
      <c r="AK72" s="576" t="e" cm="1" vm="38">
        <f t="array" aca="1" ref="AK72" ca="1">Ver_flag_visit</f>
        <v>#VALUE!</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3</v>
      </c>
      <c r="AS72" s="39">
        <f t="shared" ca="1" si="233"/>
        <v>3</v>
      </c>
      <c r="AT72" s="43">
        <f t="shared" ca="1" si="233"/>
        <v>0</v>
      </c>
      <c r="AU72" s="311">
        <f ca="1">INDEX($DL$6:$DL$53,MATCH(AI72,$DP$6:$DP$53,0))</f>
        <v>2</v>
      </c>
      <c r="AV72" s="170" t="str">
        <f ca="1">INDEX($BD$6:$BD$53,MATCH(AI72,$BM$6:$BM$53,0))</f>
        <v>Noruega</v>
      </c>
      <c r="AW72" s="198"/>
      <c r="AX72" s="159"/>
      <c r="AY72" s="189" t="str">
        <f ca="1">+A71</f>
        <v>Irak</v>
      </c>
      <c r="AZ72" s="190"/>
      <c r="BA72" s="164"/>
      <c r="DN72" s="16"/>
    </row>
    <row r="73" spans="1:121" ht="16"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22"/>
      <c r="X73" s="28">
        <f ca="1">Horarios!C73</f>
        <v>46199.875</v>
      </c>
      <c r="Y73" s="29">
        <f ca="1">Horarios!C73</f>
        <v>46199.875</v>
      </c>
      <c r="Z73" s="30" t="str">
        <f>$Z$8</f>
        <v>J3</v>
      </c>
      <c r="AA73" s="31" t="str">
        <f ca="1">A70</f>
        <v>Senegal</v>
      </c>
      <c r="AB73" s="50" t="e" cm="1" vm="36">
        <f t="array" aca="1" ref="AB73" ca="1">Ver_flag_local</f>
        <v>#VALUE!</v>
      </c>
      <c r="AC73" s="700">
        <v>1</v>
      </c>
      <c r="AD73" s="701">
        <v>0</v>
      </c>
      <c r="AE73" s="570" t="e" cm="1" vm="37">
        <f t="array" aca="1" ref="AE73" ca="1">Ver_flag_visit</f>
        <v>#VALUE!</v>
      </c>
      <c r="AF73" s="33" t="str">
        <f ca="1">A71</f>
        <v>Irak</v>
      </c>
      <c r="AG73" s="304">
        <f t="shared" si="230"/>
        <v>1</v>
      </c>
      <c r="AH73" s="183">
        <v>62</v>
      </c>
      <c r="AI73" s="169" t="str">
        <f t="shared" si="234"/>
        <v>4I</v>
      </c>
      <c r="AJ73" s="44">
        <v>4</v>
      </c>
      <c r="AK73" s="578" t="e" cm="1" vm="37">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6</v>
      </c>
      <c r="AT73" s="48">
        <f t="shared" ca="1" si="233"/>
        <v>-6</v>
      </c>
      <c r="AU73" s="311">
        <f ca="1">INDEX($DL$6:$DL$53,MATCH(AI73,$DP$6:$DP$53,0))</f>
        <v>1</v>
      </c>
      <c r="AV73" s="170" t="str">
        <f ca="1">INDEX($BD$6:$BD$53,MATCH(AI73,$BM$6:$BM$53,0))</f>
        <v>Irak</v>
      </c>
      <c r="AW73" s="198"/>
      <c r="AX73" s="159"/>
      <c r="AY73" s="193" t="str">
        <f ca="1">+A72</f>
        <v>Noruega</v>
      </c>
      <c r="AZ73" s="194"/>
      <c r="BA73" s="164"/>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42"/>
      <c r="X74" s="143"/>
      <c r="Y74" s="142"/>
      <c r="Z74" s="144"/>
      <c r="AA74" s="145"/>
      <c r="AB74" s="146"/>
      <c r="AC74" s="139"/>
      <c r="AD74" s="139"/>
      <c r="AE74" s="146"/>
      <c r="AF74" s="147"/>
      <c r="AG74" s="306"/>
      <c r="AH74" s="183"/>
      <c r="AI74" s="168"/>
      <c r="AJ74" s="148"/>
      <c r="AK74" s="149"/>
      <c r="AL74" s="150"/>
      <c r="AM74" s="151"/>
      <c r="AN74" s="148"/>
      <c r="AO74" s="148"/>
      <c r="AP74" s="148"/>
      <c r="AQ74" s="148"/>
      <c r="AR74" s="148"/>
      <c r="AS74" s="148"/>
      <c r="AT74" s="148"/>
      <c r="AU74" s="311"/>
      <c r="AV74" s="177"/>
      <c r="AW74" s="199"/>
      <c r="AX74" s="159"/>
      <c r="AY74" s="142"/>
      <c r="AZ74" s="143"/>
      <c r="BA74" s="164"/>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5" t="str">
        <f>X3</f>
        <v>Fecha</v>
      </c>
      <c r="Y75" s="65" t="str">
        <f>Y3</f>
        <v>Hora</v>
      </c>
      <c r="Z75" s="51" t="str">
        <f>Z3</f>
        <v>Jor.</v>
      </c>
      <c r="AA75" s="53" t="str">
        <f>AA3</f>
        <v>Casa</v>
      </c>
      <c r="AB75" s="52"/>
      <c r="AC75" s="51" t="str">
        <f>AC3</f>
        <v>Gol</v>
      </c>
      <c r="AD75" s="51" t="str">
        <f>AD3</f>
        <v>Gol</v>
      </c>
      <c r="AE75" s="52"/>
      <c r="AF75" s="54" t="str">
        <f>AF3</f>
        <v>Fuera</v>
      </c>
      <c r="AG75" s="305"/>
      <c r="AH75" s="183"/>
      <c r="AI75" s="167"/>
      <c r="AJ75" s="150"/>
      <c r="AK75" s="574"/>
      <c r="AL75" s="150"/>
      <c r="AM75" s="150"/>
      <c r="AN75" s="150"/>
      <c r="AO75" s="150"/>
      <c r="AP75" s="150"/>
      <c r="AQ75" s="150"/>
      <c r="AR75" s="150"/>
      <c r="AS75" s="150"/>
      <c r="AT75" s="150"/>
      <c r="AU75" s="312"/>
      <c r="AV75" s="176"/>
      <c r="AW75" s="200"/>
      <c r="AX75" s="160"/>
      <c r="AY75" s="142"/>
      <c r="AZ75" s="143"/>
      <c r="BA75" s="164"/>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17" t="s">
        <v>5</v>
      </c>
      <c r="X76" s="24">
        <f ca="1">Horarios!C76</f>
        <v>46190.125</v>
      </c>
      <c r="Y76" s="25">
        <f ca="1">Horarios!C76</f>
        <v>46190.125</v>
      </c>
      <c r="Z76" s="26" t="str">
        <f>$Z$4</f>
        <v>J1</v>
      </c>
      <c r="AA76" s="27" t="str">
        <f ca="1">A77</f>
        <v>Argentina</v>
      </c>
      <c r="AB76" s="49" t="e" cm="1" vm="39">
        <f t="array" aca="1" ref="AB76" ca="1">Ver_flag_local</f>
        <v>#VALUE!</v>
      </c>
      <c r="AC76" s="700">
        <v>3</v>
      </c>
      <c r="AD76" s="701">
        <v>0</v>
      </c>
      <c r="AE76" s="569" t="e" cm="1" vm="40">
        <f t="array" aca="1" ref="AE76" ca="1">Ver_flag_visit</f>
        <v>#VALUE!</v>
      </c>
      <c r="AF76" s="32" t="str">
        <f ca="1">A78</f>
        <v>Argelia</v>
      </c>
      <c r="AG76" s="304">
        <f t="shared" ref="AG76:AG81" si="248">IF(NOT(OR(ISBLANK(AC76),ISBLANK(AD76))),1,0)</f>
        <v>1</v>
      </c>
      <c r="AH76" s="183">
        <v>19</v>
      </c>
      <c r="AI76" s="169"/>
      <c r="AJ76" s="55" t="str">
        <f>CONCATENATE(AJ3," ",B76)</f>
        <v>Grupo J</v>
      </c>
      <c r="AK76" s="56"/>
      <c r="AL76" s="56"/>
      <c r="AM76" s="56"/>
      <c r="AN76" s="56"/>
      <c r="AO76" s="56"/>
      <c r="AP76" s="56"/>
      <c r="AQ76" s="56"/>
      <c r="AR76" s="56"/>
      <c r="AS76" s="56"/>
      <c r="AT76" s="57"/>
      <c r="AU76" s="312"/>
      <c r="AV76" s="268" t="str">
        <f ca="1">IF(AU77&gt;0,$AV$3,"")</f>
        <v/>
      </c>
      <c r="AW76" s="155"/>
      <c r="AX76" s="155"/>
      <c r="AY76" s="142"/>
      <c r="AZ76" s="143"/>
      <c r="BA76" s="164"/>
      <c r="DN76" s="16"/>
    </row>
    <row r="77" spans="1:121" ht="16" customHeight="1" thickBo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17"/>
      <c r="X77" s="24">
        <f ca="1">Horarios!C77</f>
        <v>46190.25</v>
      </c>
      <c r="Y77" s="25">
        <f ca="1">Horarios!C77</f>
        <v>46190.25</v>
      </c>
      <c r="Z77" s="26" t="str">
        <f>$Z$4</f>
        <v>J1</v>
      </c>
      <c r="AA77" s="27" t="str">
        <f ca="1">A79</f>
        <v>Austria</v>
      </c>
      <c r="AB77" s="49" t="e" cm="1" vm="41">
        <f t="array" aca="1" ref="AB77" ca="1">Ver_flag_local</f>
        <v>#VALUE!</v>
      </c>
      <c r="AC77" s="700">
        <v>2</v>
      </c>
      <c r="AD77" s="701">
        <v>1</v>
      </c>
      <c r="AE77" s="569" t="e" cm="1" vm="42">
        <f t="array" aca="1" ref="AE77" ca="1">Ver_flag_visit</f>
        <v>#VALUE!</v>
      </c>
      <c r="AF77" s="32" t="str">
        <f ca="1">A80</f>
        <v>Jordania</v>
      </c>
      <c r="AG77" s="304">
        <f t="shared" si="248"/>
        <v>1</v>
      </c>
      <c r="AH77" s="183">
        <v>20</v>
      </c>
      <c r="AI77" s="169"/>
      <c r="AJ77" s="58" t="str">
        <f>AJ5</f>
        <v>Pos</v>
      </c>
      <c r="AK77" s="59"/>
      <c r="AL77" s="60" t="str">
        <f t="shared" ref="AL77:AT77" si="249">AL5</f>
        <v>Selección</v>
      </c>
      <c r="AM77" s="59" t="str">
        <f t="shared" si="249"/>
        <v>Pts</v>
      </c>
      <c r="AN77" s="59" t="str">
        <f t="shared" si="249"/>
        <v>J</v>
      </c>
      <c r="AO77" s="59" t="str">
        <f t="shared" si="249"/>
        <v>G</v>
      </c>
      <c r="AP77" s="59" t="str">
        <f t="shared" si="249"/>
        <v>E</v>
      </c>
      <c r="AQ77" s="59" t="str">
        <f t="shared" si="249"/>
        <v>P</v>
      </c>
      <c r="AR77" s="59" t="str">
        <f t="shared" si="249"/>
        <v>GF</v>
      </c>
      <c r="AS77" s="59" t="str">
        <f t="shared" si="249"/>
        <v>GC</v>
      </c>
      <c r="AT77" s="61" t="str">
        <f t="shared" si="249"/>
        <v>DG</v>
      </c>
      <c r="AU77" s="312">
        <f t="shared" ref="AU77" ca="1" si="250">COUNTIF(AU78:AU81,"&gt;1")</f>
        <v>0</v>
      </c>
      <c r="AV77" s="180"/>
      <c r="AW77" s="155"/>
      <c r="AX77" s="155"/>
      <c r="AY77" s="195" t="str">
        <f>AL77</f>
        <v>Selección</v>
      </c>
      <c r="AZ77" s="196" t="str">
        <f>+Idiomas!$D$67</f>
        <v>Puntos penalizados</v>
      </c>
      <c r="BA77" s="164"/>
      <c r="DN77" s="16"/>
    </row>
    <row r="78" spans="1:121" ht="16" customHeight="1" thickBo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17"/>
      <c r="X78" s="24">
        <f ca="1">Horarios!C78</f>
        <v>46195.791666666664</v>
      </c>
      <c r="Y78" s="25">
        <f ca="1">Horarios!C78</f>
        <v>46195.791666666664</v>
      </c>
      <c r="Z78" s="26" t="str">
        <f>$Z$6</f>
        <v>J2</v>
      </c>
      <c r="AA78" s="27" t="str">
        <f ca="1">A77</f>
        <v>Argentina</v>
      </c>
      <c r="AB78" s="49" t="e" cm="1" vm="39">
        <f t="array" aca="1" ref="AB78" ca="1">Ver_flag_local</f>
        <v>#VALUE!</v>
      </c>
      <c r="AC78" s="700">
        <v>2</v>
      </c>
      <c r="AD78" s="701">
        <v>1</v>
      </c>
      <c r="AE78" s="569" t="e" cm="1" vm="41">
        <f t="array" aca="1" ref="AE78" ca="1">Ver_flag_visit</f>
        <v>#VALUE!</v>
      </c>
      <c r="AF78" s="32" t="str">
        <f ca="1">A79</f>
        <v>Austria</v>
      </c>
      <c r="AG78" s="304">
        <f t="shared" si="248"/>
        <v>1</v>
      </c>
      <c r="AH78" s="183">
        <v>43</v>
      </c>
      <c r="AI78" s="169" t="str">
        <f>AJ78&amp;$B$76</f>
        <v>1J</v>
      </c>
      <c r="AJ78" s="40">
        <v>1</v>
      </c>
      <c r="AK78" s="575" t="e" cm="1" vm="39">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11">
        <f ca="1">INDEX($DL$6:$DL$53,MATCH(AI78,$DP$6:$DP$53,0))</f>
        <v>1</v>
      </c>
      <c r="AV78" s="170" t="str">
        <f ca="1">INDEX($BD$6:$BD$53,MATCH(AI78,$BM$6:$BM$53,0))</f>
        <v>Argentina</v>
      </c>
      <c r="AW78" s="198"/>
      <c r="AX78" s="159"/>
      <c r="AY78" s="189" t="str">
        <f ca="1">+A77</f>
        <v>Argentina</v>
      </c>
      <c r="AZ78" s="190"/>
      <c r="BA78" s="164"/>
      <c r="DN78" s="16"/>
    </row>
    <row r="79" spans="1:121" ht="16" customHeight="1" thickBo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17"/>
      <c r="X79" s="24">
        <f ca="1">Horarios!C79</f>
        <v>46196.208333333336</v>
      </c>
      <c r="Y79" s="25">
        <f ca="1">Horarios!C79</f>
        <v>46196.208333333336</v>
      </c>
      <c r="Z79" s="26" t="str">
        <f>$Z$6</f>
        <v>J2</v>
      </c>
      <c r="AA79" s="27" t="str">
        <f ca="1">A80</f>
        <v>Jordania</v>
      </c>
      <c r="AB79" s="49" t="e" cm="1" vm="42">
        <f t="array" aca="1" ref="AB79" ca="1">Ver_flag_local</f>
        <v>#VALUE!</v>
      </c>
      <c r="AC79" s="700">
        <v>0</v>
      </c>
      <c r="AD79" s="701">
        <v>1</v>
      </c>
      <c r="AE79" s="569" t="e" cm="1" vm="40">
        <f t="array" aca="1" ref="AE79" ca="1">Ver_flag_visit</f>
        <v>#VALUE!</v>
      </c>
      <c r="AF79" s="32" t="str">
        <f ca="1">A78</f>
        <v>Argelia</v>
      </c>
      <c r="AG79" s="304">
        <f t="shared" si="248"/>
        <v>1</v>
      </c>
      <c r="AH79" s="183">
        <v>44</v>
      </c>
      <c r="AI79" s="169" t="str">
        <f t="shared" ref="AI79:AI81" si="252">AJ79&amp;$B$76</f>
        <v>2J</v>
      </c>
      <c r="AJ79" s="42">
        <v>2</v>
      </c>
      <c r="AK79" s="576" t="e" cm="1" vm="41">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5</v>
      </c>
      <c r="AS79" s="39">
        <f t="shared" ca="1" si="251"/>
        <v>4</v>
      </c>
      <c r="AT79" s="43">
        <f t="shared" ca="1" si="251"/>
        <v>1</v>
      </c>
      <c r="AU79" s="311">
        <f ca="1">INDEX($DL$6:$DL$53,MATCH(AI79,$DP$6:$DP$53,0))</f>
        <v>1</v>
      </c>
      <c r="AV79" s="170" t="str">
        <f ca="1">INDEX($BD$6:$BD$53,MATCH(AI79,$BM$6:$BM$53,0))</f>
        <v>Austria</v>
      </c>
      <c r="AW79" s="198"/>
      <c r="AX79" s="159"/>
      <c r="AY79" s="191" t="str">
        <f ca="1">+A78</f>
        <v>Argelia</v>
      </c>
      <c r="AZ79" s="192"/>
      <c r="BA79" s="164"/>
      <c r="DN79" s="16"/>
    </row>
    <row r="80" spans="1:121" ht="16" customHeight="1" thickBo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17"/>
      <c r="X80" s="24">
        <f ca="1">Horarios!C80</f>
        <v>46201.166666666664</v>
      </c>
      <c r="Y80" s="25">
        <f ca="1">Horarios!C80</f>
        <v>46201.166666666664</v>
      </c>
      <c r="Z80" s="26" t="str">
        <f>$Z$8</f>
        <v>J3</v>
      </c>
      <c r="AA80" s="27" t="str">
        <f ca="1">A78</f>
        <v>Argelia</v>
      </c>
      <c r="AB80" s="49" t="e" cm="1" vm="40">
        <f t="array" aca="1" ref="AB80" ca="1">Ver_flag_local</f>
        <v>#VALUE!</v>
      </c>
      <c r="AC80" s="700">
        <v>1</v>
      </c>
      <c r="AD80" s="701">
        <v>2</v>
      </c>
      <c r="AE80" s="569" t="e" cm="1" vm="41">
        <f t="array" aca="1" ref="AE80" ca="1">Ver_flag_visit</f>
        <v>#VALUE!</v>
      </c>
      <c r="AF80" s="32" t="str">
        <f ca="1">A79</f>
        <v>Austria</v>
      </c>
      <c r="AG80" s="304">
        <f t="shared" si="248"/>
        <v>1</v>
      </c>
      <c r="AH80" s="183">
        <v>69</v>
      </c>
      <c r="AI80" s="169" t="str">
        <f t="shared" si="252"/>
        <v>3J</v>
      </c>
      <c r="AJ80" s="42">
        <v>3</v>
      </c>
      <c r="AK80" s="576" t="e" cm="1" vm="40">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2</v>
      </c>
      <c r="AS80" s="39">
        <f t="shared" ca="1" si="251"/>
        <v>5</v>
      </c>
      <c r="AT80" s="43">
        <f t="shared" ca="1" si="251"/>
        <v>-3</v>
      </c>
      <c r="AU80" s="311">
        <f ca="1">INDEX($DL$6:$DL$53,MATCH(AI80,$DP$6:$DP$53,0))</f>
        <v>1</v>
      </c>
      <c r="AV80" s="170" t="str">
        <f ca="1">INDEX($BD$6:$BD$53,MATCH(AI80,$BM$6:$BM$53,0))</f>
        <v>Argelia</v>
      </c>
      <c r="AW80" s="198"/>
      <c r="AX80" s="159"/>
      <c r="AY80" s="189" t="str">
        <f ca="1">+A79</f>
        <v>Austria</v>
      </c>
      <c r="AZ80" s="190"/>
      <c r="BA80" s="164"/>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18"/>
      <c r="X81" s="28">
        <f ca="1">Horarios!C81</f>
        <v>46201.166666666664</v>
      </c>
      <c r="Y81" s="29">
        <f ca="1">Horarios!C81</f>
        <v>46201.166666666664</v>
      </c>
      <c r="Z81" s="30" t="str">
        <f>$Z$8</f>
        <v>J3</v>
      </c>
      <c r="AA81" s="31" t="str">
        <f ca="1">A80</f>
        <v>Jordania</v>
      </c>
      <c r="AB81" s="50" t="e" cm="1" vm="42">
        <f t="array" aca="1" ref="AB81" ca="1">Ver_flag_local</f>
        <v>#VALUE!</v>
      </c>
      <c r="AC81" s="700">
        <v>0</v>
      </c>
      <c r="AD81" s="701">
        <v>2</v>
      </c>
      <c r="AE81" s="570" t="e" cm="1" vm="39">
        <f t="array" aca="1" ref="AE81" ca="1">Ver_flag_visit</f>
        <v>#VALUE!</v>
      </c>
      <c r="AF81" s="33" t="str">
        <f ca="1">A77</f>
        <v>Argentina</v>
      </c>
      <c r="AG81" s="304">
        <f t="shared" si="248"/>
        <v>1</v>
      </c>
      <c r="AH81" s="183">
        <v>70</v>
      </c>
      <c r="AI81" s="169" t="str">
        <f t="shared" si="252"/>
        <v>4J</v>
      </c>
      <c r="AJ81" s="44">
        <v>4</v>
      </c>
      <c r="AK81" s="578" t="e" cm="1" vm="42">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5</v>
      </c>
      <c r="AT81" s="48">
        <f t="shared" ca="1" si="251"/>
        <v>-4</v>
      </c>
      <c r="AU81" s="311">
        <f ca="1">INDEX($DL$6:$DL$53,MATCH(AI81,$DP$6:$DP$53,0))</f>
        <v>1</v>
      </c>
      <c r="AV81" s="170" t="str">
        <f ca="1">INDEX($BD$6:$BD$53,MATCH(AI81,$BM$6:$BM$53,0))</f>
        <v>Jordania</v>
      </c>
      <c r="AW81" s="198"/>
      <c r="AX81" s="159"/>
      <c r="AY81" s="193" t="str">
        <f ca="1">+A80</f>
        <v>Jordania</v>
      </c>
      <c r="AZ81" s="194"/>
      <c r="BA81" s="164"/>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42"/>
      <c r="X82" s="143"/>
      <c r="Y82" s="142"/>
      <c r="Z82" s="144"/>
      <c r="AA82" s="145"/>
      <c r="AB82" s="146"/>
      <c r="AC82" s="139"/>
      <c r="AD82" s="139"/>
      <c r="AE82" s="146"/>
      <c r="AF82" s="147"/>
      <c r="AG82" s="306"/>
      <c r="AH82" s="183"/>
      <c r="AI82" s="168"/>
      <c r="AJ82" s="148"/>
      <c r="AK82" s="149"/>
      <c r="AL82" s="150"/>
      <c r="AM82" s="151"/>
      <c r="AN82" s="148"/>
      <c r="AO82" s="148"/>
      <c r="AP82" s="148"/>
      <c r="AQ82" s="148"/>
      <c r="AR82" s="148"/>
      <c r="AS82" s="148"/>
      <c r="AT82" s="148"/>
      <c r="AU82" s="311"/>
      <c r="AV82" s="177"/>
      <c r="AW82" s="199"/>
      <c r="AX82" s="159"/>
      <c r="AY82" s="142"/>
      <c r="AZ82" s="143"/>
      <c r="BA82" s="164"/>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5" t="str">
        <f>X3</f>
        <v>Fecha</v>
      </c>
      <c r="Y83" s="65" t="str">
        <f>Y3</f>
        <v>Hora</v>
      </c>
      <c r="Z83" s="51" t="str">
        <f>Z3</f>
        <v>Jor.</v>
      </c>
      <c r="AA83" s="53" t="str">
        <f>AA3</f>
        <v>Casa</v>
      </c>
      <c r="AB83" s="52"/>
      <c r="AC83" s="51" t="str">
        <f>AC3</f>
        <v>Gol</v>
      </c>
      <c r="AD83" s="51" t="str">
        <f>AD3</f>
        <v>Gol</v>
      </c>
      <c r="AE83" s="52"/>
      <c r="AF83" s="54" t="str">
        <f>AF3</f>
        <v>Fuera</v>
      </c>
      <c r="AG83" s="305"/>
      <c r="AH83" s="183"/>
      <c r="AI83" s="167"/>
      <c r="AJ83" s="150"/>
      <c r="AK83" s="574"/>
      <c r="AL83" s="150"/>
      <c r="AM83" s="150"/>
      <c r="AN83" s="150"/>
      <c r="AO83" s="150"/>
      <c r="AP83" s="150"/>
      <c r="AQ83" s="150"/>
      <c r="AR83" s="150"/>
      <c r="AS83" s="150"/>
      <c r="AT83" s="150"/>
      <c r="AU83" s="312"/>
      <c r="AV83" s="176"/>
      <c r="AW83" s="200"/>
      <c r="AX83" s="160"/>
      <c r="AY83" s="142"/>
      <c r="AZ83" s="143"/>
      <c r="BA83" s="164"/>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23" t="s">
        <v>449</v>
      </c>
      <c r="X84" s="24">
        <f ca="1">Horarios!C84</f>
        <v>46190.791666666664</v>
      </c>
      <c r="Y84" s="25">
        <f ca="1">Horarios!C84</f>
        <v>46190.791666666664</v>
      </c>
      <c r="Z84" s="26" t="str">
        <f>$Z$4</f>
        <v>J1</v>
      </c>
      <c r="AA84" s="27" t="str">
        <f ca="1">A85</f>
        <v>Portugal</v>
      </c>
      <c r="AB84" s="49" t="e" cm="1" vm="43">
        <f t="array" aca="1" ref="AB84" ca="1">Ver_flag_local</f>
        <v>#VALUE!</v>
      </c>
      <c r="AC84" s="700">
        <v>2</v>
      </c>
      <c r="AD84" s="701">
        <v>0</v>
      </c>
      <c r="AE84" s="569" t="e" cm="1" vm="44">
        <f t="array" aca="1" ref="AE84" ca="1">Ver_flag_visit</f>
        <v>#VALUE!</v>
      </c>
      <c r="AF84" s="32" t="str">
        <f ca="1">A86</f>
        <v>RD Congo</v>
      </c>
      <c r="AG84" s="304">
        <f t="shared" ref="AG84:AG89" si="266">IF(NOT(OR(ISBLANK(AC84),ISBLANK(AD84))),1,0)</f>
        <v>1</v>
      </c>
      <c r="AH84" s="183">
        <v>23</v>
      </c>
      <c r="AI84" s="169"/>
      <c r="AJ84" s="55" t="str">
        <f>CONCATENATE(AJ3," ",B84)</f>
        <v>Grupo K</v>
      </c>
      <c r="AK84" s="56"/>
      <c r="AL84" s="56"/>
      <c r="AM84" s="56"/>
      <c r="AN84" s="56"/>
      <c r="AO84" s="56"/>
      <c r="AP84" s="56"/>
      <c r="AQ84" s="56"/>
      <c r="AR84" s="56"/>
      <c r="AS84" s="56"/>
      <c r="AT84" s="57"/>
      <c r="AU84" s="312"/>
      <c r="AV84" s="268" t="str">
        <f ca="1">IF(AU85&gt;0,$AV$3,"")</f>
        <v>¡EMPATE! Puedes seleccionar el orden de los empatados.</v>
      </c>
      <c r="AW84" s="155"/>
      <c r="AX84" s="155"/>
      <c r="AY84" s="142"/>
      <c r="AZ84" s="143"/>
      <c r="BA84" s="164"/>
      <c r="DN84" s="16"/>
    </row>
    <row r="85" spans="1:118" ht="16" customHeight="1" thickBo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23"/>
      <c r="X85" s="24">
        <f ca="1">Horarios!C85</f>
        <v>46191.166666666664</v>
      </c>
      <c r="Y85" s="25">
        <f ca="1">Horarios!C85</f>
        <v>46191.166666666664</v>
      </c>
      <c r="Z85" s="26" t="str">
        <f>$Z$4</f>
        <v>J1</v>
      </c>
      <c r="AA85" s="27" t="str">
        <f ca="1">A87</f>
        <v>Uzbekistán</v>
      </c>
      <c r="AB85" s="49" t="e" cm="1" vm="45">
        <f t="array" aca="1" ref="AB85" ca="1">Ver_flag_local</f>
        <v>#VALUE!</v>
      </c>
      <c r="AC85" s="700">
        <v>0</v>
      </c>
      <c r="AD85" s="701">
        <v>3</v>
      </c>
      <c r="AE85" s="569" t="e" cm="1" vm="46">
        <f t="array" aca="1" ref="AE85" ca="1">Ver_flag_visit</f>
        <v>#VALUE!</v>
      </c>
      <c r="AF85" s="32" t="str">
        <f ca="1">A88</f>
        <v>Colombia</v>
      </c>
      <c r="AG85" s="304">
        <f t="shared" si="266"/>
        <v>1</v>
      </c>
      <c r="AH85" s="183">
        <v>24</v>
      </c>
      <c r="AI85" s="169"/>
      <c r="AJ85" s="58" t="str">
        <f>AJ5</f>
        <v>Pos</v>
      </c>
      <c r="AK85" s="59"/>
      <c r="AL85" s="60" t="str">
        <f t="shared" ref="AL85:AT85" si="267">AL5</f>
        <v>Selección</v>
      </c>
      <c r="AM85" s="59" t="str">
        <f t="shared" si="267"/>
        <v>Pts</v>
      </c>
      <c r="AN85" s="59" t="str">
        <f t="shared" si="267"/>
        <v>J</v>
      </c>
      <c r="AO85" s="59" t="str">
        <f t="shared" si="267"/>
        <v>G</v>
      </c>
      <c r="AP85" s="59" t="str">
        <f t="shared" si="267"/>
        <v>E</v>
      </c>
      <c r="AQ85" s="59" t="str">
        <f t="shared" si="267"/>
        <v>P</v>
      </c>
      <c r="AR85" s="59" t="str">
        <f t="shared" si="267"/>
        <v>GF</v>
      </c>
      <c r="AS85" s="59" t="str">
        <f t="shared" si="267"/>
        <v>GC</v>
      </c>
      <c r="AT85" s="61" t="str">
        <f t="shared" si="267"/>
        <v>DG</v>
      </c>
      <c r="AU85" s="312">
        <f t="shared" ref="AU85" ca="1" si="268">COUNTIF(AU86:AU89,"&gt;1")</f>
        <v>2</v>
      </c>
      <c r="AV85" s="180"/>
      <c r="AW85" s="155"/>
      <c r="AX85" s="155"/>
      <c r="AY85" s="195" t="str">
        <f>AL85</f>
        <v>Selección</v>
      </c>
      <c r="AZ85" s="196" t="str">
        <f>+Idiomas!$D$67</f>
        <v>Puntos penalizados</v>
      </c>
      <c r="BA85" s="164"/>
      <c r="DN85" s="16"/>
    </row>
    <row r="86" spans="1:118" ht="16" customHeight="1" thickBo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23"/>
      <c r="X86" s="24">
        <f ca="1">Horarios!C86</f>
        <v>46196.791666666664</v>
      </c>
      <c r="Y86" s="25">
        <f ca="1">Horarios!C86</f>
        <v>46196.791666666664</v>
      </c>
      <c r="Z86" s="26" t="str">
        <f>$Z$6</f>
        <v>J2</v>
      </c>
      <c r="AA86" s="27" t="str">
        <f ca="1">A85</f>
        <v>Portugal</v>
      </c>
      <c r="AB86" s="49" t="e" cm="1" vm="43">
        <f t="array" aca="1" ref="AB86" ca="1">Ver_flag_local</f>
        <v>#VALUE!</v>
      </c>
      <c r="AC86" s="700">
        <v>3</v>
      </c>
      <c r="AD86" s="701">
        <v>1</v>
      </c>
      <c r="AE86" s="569" t="e" cm="1" vm="45">
        <f t="array" aca="1" ref="AE86" ca="1">Ver_flag_visit</f>
        <v>#VALUE!</v>
      </c>
      <c r="AF86" s="32" t="str">
        <f ca="1">A87</f>
        <v>Uzbekistán</v>
      </c>
      <c r="AG86" s="304">
        <f t="shared" si="266"/>
        <v>1</v>
      </c>
      <c r="AH86" s="183">
        <v>47</v>
      </c>
      <c r="AI86" s="169" t="str">
        <f>AJ86&amp;$B$84</f>
        <v>1K</v>
      </c>
      <c r="AJ86" s="40">
        <v>1</v>
      </c>
      <c r="AK86" s="575" t="e" cm="1" vm="43">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2</v>
      </c>
      <c r="AT86" s="41">
        <f t="shared" ca="1" si="269"/>
        <v>4</v>
      </c>
      <c r="AU86" s="311">
        <f ca="1">INDEX($DL$6:$DL$53,MATCH(AI86,$DP$6:$DP$53,0))</f>
        <v>2</v>
      </c>
      <c r="AV86" s="170" t="str">
        <f ca="1">INDEX($BD$6:$BD$53,MATCH(AI86,$BM$6:$BM$53,0))</f>
        <v>Portugal</v>
      </c>
      <c r="AW86" s="198"/>
      <c r="AX86" s="159"/>
      <c r="AY86" s="189" t="str">
        <f ca="1">+A85</f>
        <v>Portugal</v>
      </c>
      <c r="AZ86" s="190"/>
      <c r="BA86" s="164"/>
      <c r="DN86" s="16"/>
    </row>
    <row r="87" spans="1:118" ht="16" customHeight="1" thickBo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23"/>
      <c r="X87" s="24">
        <f ca="1">Horarios!C87</f>
        <v>46197.166666666664</v>
      </c>
      <c r="Y87" s="25">
        <f ca="1">Horarios!C87</f>
        <v>46197.166666666664</v>
      </c>
      <c r="Z87" s="26" t="str">
        <f>$Z$6</f>
        <v>J2</v>
      </c>
      <c r="AA87" s="27" t="str">
        <f ca="1">A88</f>
        <v>Colombia</v>
      </c>
      <c r="AB87" s="49" t="e" cm="1" vm="46">
        <f t="array" aca="1" ref="AB87" ca="1">Ver_flag_local</f>
        <v>#VALUE!</v>
      </c>
      <c r="AC87" s="700">
        <v>2</v>
      </c>
      <c r="AD87" s="701">
        <v>1</v>
      </c>
      <c r="AE87" s="569" t="e" cm="1" vm="44">
        <f t="array" aca="1" ref="AE87" ca="1">Ver_flag_visit</f>
        <v>#VALUE!</v>
      </c>
      <c r="AF87" s="32" t="str">
        <f ca="1">A86</f>
        <v>RD Congo</v>
      </c>
      <c r="AG87" s="304">
        <f t="shared" si="266"/>
        <v>1</v>
      </c>
      <c r="AH87" s="183">
        <v>48</v>
      </c>
      <c r="AI87" s="169" t="str">
        <f t="shared" ref="AI87:AI89" si="270">AJ87&amp;$B$84</f>
        <v>2K</v>
      </c>
      <c r="AJ87" s="42">
        <v>2</v>
      </c>
      <c r="AK87" s="576" t="e" cm="1" vm="46">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6</v>
      </c>
      <c r="AS87" s="39">
        <f t="shared" ca="1" si="269"/>
        <v>2</v>
      </c>
      <c r="AT87" s="43">
        <f t="shared" ca="1" si="269"/>
        <v>4</v>
      </c>
      <c r="AU87" s="311">
        <f ca="1">INDEX($DL$6:$DL$53,MATCH(AI87,$DP$6:$DP$53,0))</f>
        <v>2</v>
      </c>
      <c r="AV87" s="170" t="str">
        <f ca="1">INDEX($BD$6:$BD$53,MATCH(AI87,$BM$6:$BM$53,0))</f>
        <v>Colombia</v>
      </c>
      <c r="AW87" s="198"/>
      <c r="AX87" s="159"/>
      <c r="AY87" s="191" t="str">
        <f ca="1">+A86</f>
        <v>RD Congo</v>
      </c>
      <c r="AZ87" s="192"/>
      <c r="BA87" s="164"/>
      <c r="DN87" s="16"/>
    </row>
    <row r="88" spans="1:118" ht="16" customHeight="1" thickBo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23"/>
      <c r="X88" s="24">
        <f ca="1">Horarios!C88</f>
        <v>46201.0625</v>
      </c>
      <c r="Y88" s="25">
        <f ca="1">Horarios!C88</f>
        <v>46201.0625</v>
      </c>
      <c r="Z88" s="26" t="str">
        <f>$Z$8</f>
        <v>J3</v>
      </c>
      <c r="AA88" s="27" t="str">
        <f ca="1">A88</f>
        <v>Colombia</v>
      </c>
      <c r="AB88" s="49" t="e" cm="1" vm="46">
        <f t="array" aca="1" ref="AB88" ca="1">Ver_flag_local</f>
        <v>#VALUE!</v>
      </c>
      <c r="AC88" s="700">
        <v>1</v>
      </c>
      <c r="AD88" s="701">
        <v>1</v>
      </c>
      <c r="AE88" s="569" t="e" cm="1" vm="43">
        <f t="array" aca="1" ref="AE88" ca="1">Ver_flag_visit</f>
        <v>#VALUE!</v>
      </c>
      <c r="AF88" s="32" t="str">
        <f ca="1">A85</f>
        <v>Portugal</v>
      </c>
      <c r="AG88" s="304">
        <f t="shared" si="266"/>
        <v>1</v>
      </c>
      <c r="AH88" s="183">
        <v>71</v>
      </c>
      <c r="AI88" s="169" t="str">
        <f t="shared" si="270"/>
        <v>3K</v>
      </c>
      <c r="AJ88" s="42">
        <v>3</v>
      </c>
      <c r="AK88" s="576" t="e" cm="1" vm="44">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4</v>
      </c>
      <c r="AT88" s="43">
        <f t="shared" ca="1" si="269"/>
        <v>-2</v>
      </c>
      <c r="AU88" s="311">
        <f ca="1">INDEX($DL$6:$DL$53,MATCH(AI88,$DP$6:$DP$53,0))</f>
        <v>1</v>
      </c>
      <c r="AV88" s="170" t="str">
        <f ca="1">INDEX($BD$6:$BD$53,MATCH(AI88,$BM$6:$BM$53,0))</f>
        <v>RD Congo</v>
      </c>
      <c r="AW88" s="198"/>
      <c r="AX88" s="159"/>
      <c r="AY88" s="189" t="str">
        <f ca="1">+A87</f>
        <v>Uzbekistán</v>
      </c>
      <c r="AZ88" s="190"/>
      <c r="BA88" s="164"/>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24"/>
      <c r="X89" s="28">
        <f ca="1">Horarios!C89</f>
        <v>46201.0625</v>
      </c>
      <c r="Y89" s="29">
        <f ca="1">Horarios!C89</f>
        <v>46201.0625</v>
      </c>
      <c r="Z89" s="30" t="str">
        <f>$Z$8</f>
        <v>J3</v>
      </c>
      <c r="AA89" s="31" t="str">
        <f ca="1">A86</f>
        <v>RD Congo</v>
      </c>
      <c r="AB89" s="50" t="e" cm="1" vm="44">
        <f t="array" aca="1" ref="AB89" ca="1">Ver_flag_local</f>
        <v>#VALUE!</v>
      </c>
      <c r="AC89" s="700">
        <v>1</v>
      </c>
      <c r="AD89" s="701">
        <v>0</v>
      </c>
      <c r="AE89" s="570" t="e" cm="1" vm="45">
        <f t="array" aca="1" ref="AE89" ca="1">Ver_flag_visit</f>
        <v>#VALUE!</v>
      </c>
      <c r="AF89" s="33" t="str">
        <f ca="1">A87</f>
        <v>Uzbekistán</v>
      </c>
      <c r="AG89" s="304">
        <f t="shared" si="266"/>
        <v>1</v>
      </c>
      <c r="AH89" s="183">
        <v>72</v>
      </c>
      <c r="AI89" s="169" t="str">
        <f t="shared" si="270"/>
        <v>4K</v>
      </c>
      <c r="AJ89" s="44">
        <v>4</v>
      </c>
      <c r="AK89" s="578" t="e" cm="1" vm="45">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1</v>
      </c>
      <c r="AS89" s="47">
        <f t="shared" ca="1" si="269"/>
        <v>7</v>
      </c>
      <c r="AT89" s="48">
        <f t="shared" ca="1" si="269"/>
        <v>-6</v>
      </c>
      <c r="AU89" s="311">
        <f ca="1">INDEX($DL$6:$DL$53,MATCH(AI89,$DP$6:$DP$53,0))</f>
        <v>1</v>
      </c>
      <c r="AV89" s="170" t="str">
        <f ca="1">INDEX($BD$6:$BD$53,MATCH(AI89,$BM$6:$BM$53,0))</f>
        <v>Uzbekistán</v>
      </c>
      <c r="AW89" s="198"/>
      <c r="AX89" s="159"/>
      <c r="AY89" s="193" t="str">
        <f ca="1">+A88</f>
        <v>Colombia</v>
      </c>
      <c r="AZ89" s="194"/>
      <c r="BA89" s="164"/>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42"/>
      <c r="X90" s="143"/>
      <c r="Y90" s="142"/>
      <c r="Z90" s="144"/>
      <c r="AA90" s="145"/>
      <c r="AB90" s="146"/>
      <c r="AC90" s="139"/>
      <c r="AD90" s="139"/>
      <c r="AE90" s="146"/>
      <c r="AF90" s="147"/>
      <c r="AG90" s="306"/>
      <c r="AH90" s="183"/>
      <c r="AI90" s="168"/>
      <c r="AJ90" s="148"/>
      <c r="AK90" s="149"/>
      <c r="AL90" s="150"/>
      <c r="AM90" s="151"/>
      <c r="AN90" s="148"/>
      <c r="AO90" s="148"/>
      <c r="AP90" s="148"/>
      <c r="AQ90" s="148"/>
      <c r="AR90" s="148"/>
      <c r="AS90" s="148"/>
      <c r="AT90" s="148"/>
      <c r="AU90" s="311"/>
      <c r="AV90" s="177"/>
      <c r="AW90" s="199"/>
      <c r="AX90" s="159"/>
      <c r="AY90" s="142"/>
      <c r="AZ90" s="143"/>
      <c r="BA90" s="164"/>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5" t="str">
        <f>X3</f>
        <v>Fecha</v>
      </c>
      <c r="Y91" s="65" t="str">
        <f>Y3</f>
        <v>Hora</v>
      </c>
      <c r="Z91" s="63" t="str">
        <f>Z3</f>
        <v>Jor.</v>
      </c>
      <c r="AA91" s="64" t="str">
        <f>AA3</f>
        <v>Casa</v>
      </c>
      <c r="AB91" s="63"/>
      <c r="AC91" s="65" t="str">
        <f>AC3</f>
        <v>Gol</v>
      </c>
      <c r="AD91" s="65" t="str">
        <f>AD3</f>
        <v>Gol</v>
      </c>
      <c r="AE91" s="63"/>
      <c r="AF91" s="66" t="str">
        <f>AF3</f>
        <v>Fuera</v>
      </c>
      <c r="AG91" s="305"/>
      <c r="AH91" s="183"/>
      <c r="AI91" s="167"/>
      <c r="AJ91" s="150"/>
      <c r="AK91" s="574"/>
      <c r="AL91" s="150"/>
      <c r="AM91" s="150"/>
      <c r="AN91" s="150"/>
      <c r="AO91" s="150"/>
      <c r="AP91" s="150"/>
      <c r="AQ91" s="150"/>
      <c r="AR91" s="150"/>
      <c r="AS91" s="150"/>
      <c r="AT91" s="150"/>
      <c r="AU91" s="312"/>
      <c r="AV91" s="176"/>
      <c r="AW91" s="200"/>
      <c r="AX91" s="160"/>
      <c r="AY91" s="142"/>
      <c r="AZ91" s="143"/>
      <c r="BA91" s="164"/>
    </row>
    <row r="92" spans="1:118" ht="16"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19" t="s">
        <v>247</v>
      </c>
      <c r="X92" s="24">
        <f ca="1">Horarios!C92</f>
        <v>46190.916666666664</v>
      </c>
      <c r="Y92" s="25">
        <f ca="1">Horarios!C92</f>
        <v>46190.916666666664</v>
      </c>
      <c r="Z92" s="26" t="str">
        <f>$Z$4</f>
        <v>J1</v>
      </c>
      <c r="AA92" s="27" t="str">
        <f ca="1">A93</f>
        <v>Inglaterra</v>
      </c>
      <c r="AB92" s="49" t="e" cm="1" vm="47">
        <f t="array" aca="1" ref="AB92" ca="1">Ver_flag_local</f>
        <v>#VALUE!</v>
      </c>
      <c r="AC92" s="700">
        <v>1</v>
      </c>
      <c r="AD92" s="701">
        <v>1</v>
      </c>
      <c r="AE92" s="569" t="e" cm="1" vm="48">
        <f t="array" aca="1" ref="AE92" ca="1">Ver_flag_visit</f>
        <v>#VALUE!</v>
      </c>
      <c r="AF92" s="32" t="str">
        <f ca="1">A94</f>
        <v>Croacia</v>
      </c>
      <c r="AG92" s="304">
        <f t="shared" ref="AG92:AG97" si="284">IF(NOT(OR(ISBLANK(AC92),ISBLANK(AD92))),1,0)</f>
        <v>1</v>
      </c>
      <c r="AH92" s="183">
        <v>22</v>
      </c>
      <c r="AI92" s="169"/>
      <c r="AJ92" s="55" t="str">
        <f>CONCATENATE(AJ3," ",B92)</f>
        <v>Grupo L</v>
      </c>
      <c r="AK92" s="56"/>
      <c r="AL92" s="56"/>
      <c r="AM92" s="56"/>
      <c r="AN92" s="56"/>
      <c r="AO92" s="56"/>
      <c r="AP92" s="56"/>
      <c r="AQ92" s="56"/>
      <c r="AR92" s="56"/>
      <c r="AS92" s="56"/>
      <c r="AT92" s="57"/>
      <c r="AU92" s="312"/>
      <c r="AV92" s="268" t="str">
        <f ca="1">IF(AU93&gt;0,$AV$3,"")</f>
        <v/>
      </c>
      <c r="AW92" s="155"/>
      <c r="AX92" s="155"/>
      <c r="AY92" s="142"/>
      <c r="AZ92" s="143"/>
      <c r="BA92" s="164"/>
    </row>
    <row r="93" spans="1:118" ht="16" customHeight="1" thickBot="1">
      <c r="A93" s="16" t="str">
        <f ca="1">+Equipos!B46</f>
        <v>Inglaterra</v>
      </c>
      <c r="B93" s="16"/>
      <c r="C93" s="16"/>
      <c r="D93" s="16" t="str">
        <f t="shared" si="271"/>
        <v>Empate</v>
      </c>
      <c r="E93" s="16" t="str">
        <f t="shared" ca="1" si="272"/>
        <v>P.3 (2)</v>
      </c>
      <c r="F93" s="16" t="str">
        <f t="shared" ca="1" si="273"/>
        <v>P.3 (2)</v>
      </c>
      <c r="G93" s="16"/>
      <c r="H93" s="16" t="str">
        <f t="shared" ca="1" si="274"/>
        <v>P.3 (2)</v>
      </c>
      <c r="I93" s="16" t="str">
        <f t="shared" ca="1" si="275"/>
        <v>P.3 (2)</v>
      </c>
      <c r="J93" s="16"/>
      <c r="K93" s="16" t="str">
        <f t="shared" ca="1" si="276"/>
        <v>P.3 (2)</v>
      </c>
      <c r="L93" s="16" t="str">
        <f t="shared" ca="1" si="277"/>
        <v>P.3 (2)</v>
      </c>
      <c r="M93" s="16"/>
      <c r="N93" s="16" t="str">
        <f t="shared" ca="1" si="278"/>
        <v>P.3 (2)</v>
      </c>
      <c r="O93" s="16" t="str">
        <f t="shared" ca="1" si="279"/>
        <v>P.3 (2)</v>
      </c>
      <c r="P93" s="16"/>
      <c r="Q93" s="16" t="str">
        <f t="shared" ca="1" si="280"/>
        <v>P.3 (2)</v>
      </c>
      <c r="R93" s="16" t="str">
        <f t="shared" ca="1" si="281"/>
        <v>P.3 (2)</v>
      </c>
      <c r="S93" s="16"/>
      <c r="T93" s="16" t="str">
        <f t="shared" ca="1" si="282"/>
        <v>P.3 (2)</v>
      </c>
      <c r="U93" s="16" t="str">
        <f t="shared" ca="1" si="283"/>
        <v>P.3 (2)</v>
      </c>
      <c r="V93" s="17"/>
      <c r="W93" s="619"/>
      <c r="X93" s="24">
        <f ca="1">Horarios!C93</f>
        <v>46191.041666666664</v>
      </c>
      <c r="Y93" s="25">
        <f ca="1">Horarios!C93</f>
        <v>46191.041666666664</v>
      </c>
      <c r="Z93" s="26" t="str">
        <f>$Z$4</f>
        <v>J1</v>
      </c>
      <c r="AA93" s="27" t="str">
        <f ca="1">A95</f>
        <v>Ghana</v>
      </c>
      <c r="AB93" s="49" t="e" cm="1" vm="49">
        <f t="array" aca="1" ref="AB93" ca="1">Ver_flag_local</f>
        <v>#VALUE!</v>
      </c>
      <c r="AC93" s="700">
        <v>1</v>
      </c>
      <c r="AD93" s="701">
        <v>1</v>
      </c>
      <c r="AE93" s="569" t="e" cm="1" vm="50">
        <f t="array" aca="1" ref="AE93" ca="1">Ver_flag_visit</f>
        <v>#VALUE!</v>
      </c>
      <c r="AF93" s="32" t="str">
        <f ca="1">A96</f>
        <v>Panamá</v>
      </c>
      <c r="AG93" s="304">
        <f t="shared" si="284"/>
        <v>1</v>
      </c>
      <c r="AH93" s="183">
        <v>21</v>
      </c>
      <c r="AI93" s="169"/>
      <c r="AJ93" s="58" t="str">
        <f>AJ5</f>
        <v>Pos</v>
      </c>
      <c r="AK93" s="59"/>
      <c r="AL93" s="60" t="str">
        <f t="shared" ref="AL93:AT93" si="285">AL5</f>
        <v>Selección</v>
      </c>
      <c r="AM93" s="59" t="str">
        <f t="shared" si="285"/>
        <v>Pts</v>
      </c>
      <c r="AN93" s="59" t="str">
        <f t="shared" si="285"/>
        <v>J</v>
      </c>
      <c r="AO93" s="59" t="str">
        <f t="shared" si="285"/>
        <v>G</v>
      </c>
      <c r="AP93" s="59" t="str">
        <f t="shared" si="285"/>
        <v>E</v>
      </c>
      <c r="AQ93" s="59" t="str">
        <f t="shared" si="285"/>
        <v>P</v>
      </c>
      <c r="AR93" s="59" t="str">
        <f t="shared" si="285"/>
        <v>GF</v>
      </c>
      <c r="AS93" s="59" t="str">
        <f t="shared" si="285"/>
        <v>GC</v>
      </c>
      <c r="AT93" s="61" t="str">
        <f t="shared" si="285"/>
        <v>DG</v>
      </c>
      <c r="AU93" s="312">
        <f t="shared" ref="AU93" ca="1" si="286">COUNTIF(AU94:AU97,"&gt;1")</f>
        <v>0</v>
      </c>
      <c r="AV93" s="180"/>
      <c r="AW93" s="155"/>
      <c r="AX93" s="155"/>
      <c r="AY93" s="195" t="str">
        <f>AL93</f>
        <v>Selección</v>
      </c>
      <c r="AZ93" s="196" t="str">
        <f>+Idiomas!$D$67</f>
        <v>Puntos penalizados</v>
      </c>
      <c r="BA93" s="164"/>
    </row>
    <row r="94" spans="1:118" ht="16" customHeight="1" thickBot="1">
      <c r="A94" s="16" t="str">
        <f ca="1">+Equipos!B47</f>
        <v>Croacia</v>
      </c>
      <c r="B94" s="16"/>
      <c r="C94" s="16"/>
      <c r="D94" s="16" t="str">
        <f t="shared" si="271"/>
        <v>Local</v>
      </c>
      <c r="E94" s="16" t="str">
        <f t="shared" ca="1" si="272"/>
        <v>P.1 (2)</v>
      </c>
      <c r="F94" s="16" t="str">
        <f t="shared" ca="1" si="273"/>
        <v>P.3 (2)</v>
      </c>
      <c r="G94" s="16"/>
      <c r="H94" s="16" t="str">
        <f t="shared" ca="1" si="274"/>
        <v>P.1 (2)</v>
      </c>
      <c r="I94" s="16" t="str">
        <f t="shared" ca="1" si="275"/>
        <v>P.3 (2)</v>
      </c>
      <c r="J94" s="16"/>
      <c r="K94" s="16" t="str">
        <f t="shared" ca="1" si="276"/>
        <v>P.1 (2)</v>
      </c>
      <c r="L94" s="16" t="str">
        <f t="shared" ca="1" si="277"/>
        <v>P.3 (2)</v>
      </c>
      <c r="M94" s="16"/>
      <c r="N94" s="16" t="str">
        <f t="shared" ca="1" si="278"/>
        <v>P.1 (2)</v>
      </c>
      <c r="O94" s="16" t="str">
        <f t="shared" ca="1" si="279"/>
        <v>P.3 (2)</v>
      </c>
      <c r="P94" s="16"/>
      <c r="Q94" s="16" t="str">
        <f t="shared" ca="1" si="280"/>
        <v>P.1 (2)</v>
      </c>
      <c r="R94" s="16" t="str">
        <f t="shared" ca="1" si="281"/>
        <v>P.3 (2)</v>
      </c>
      <c r="S94" s="16"/>
      <c r="T94" s="16" t="str">
        <f t="shared" ca="1" si="282"/>
        <v>P.1 (2)</v>
      </c>
      <c r="U94" s="16" t="str">
        <f t="shared" ca="1" si="283"/>
        <v>P.3 (2)</v>
      </c>
      <c r="V94" s="17"/>
      <c r="W94" s="619"/>
      <c r="X94" s="24">
        <f ca="1">Horarios!C94</f>
        <v>46196.916666666664</v>
      </c>
      <c r="Y94" s="25">
        <f ca="1">Horarios!C94</f>
        <v>46196.916666666664</v>
      </c>
      <c r="Z94" s="26" t="str">
        <f>$Z$6</f>
        <v>J2</v>
      </c>
      <c r="AA94" s="27" t="str">
        <f ca="1">A93</f>
        <v>Inglaterra</v>
      </c>
      <c r="AB94" s="49" t="e" cm="1" vm="47">
        <f t="array" aca="1" ref="AB94" ca="1">Ver_flag_local</f>
        <v>#VALUE!</v>
      </c>
      <c r="AC94" s="700">
        <v>3</v>
      </c>
      <c r="AD94" s="701">
        <v>1</v>
      </c>
      <c r="AE94" s="569" t="e" cm="1" vm="49">
        <f t="array" aca="1" ref="AE94" ca="1">Ver_flag_visit</f>
        <v>#VALUE!</v>
      </c>
      <c r="AF94" s="32" t="str">
        <f ca="1">A95</f>
        <v>Ghana</v>
      </c>
      <c r="AG94" s="304">
        <f t="shared" si="284"/>
        <v>1</v>
      </c>
      <c r="AH94" s="183">
        <v>45</v>
      </c>
      <c r="AI94" s="169" t="str">
        <f>AJ94&amp;$B$92</f>
        <v>1L</v>
      </c>
      <c r="AJ94" s="40">
        <v>1</v>
      </c>
      <c r="AK94" s="575" t="e" cm="1" vm="47">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11">
        <f ca="1">INDEX($DL$6:$DL$53,MATCH(AI94,$DP$6:$DP$53,0))</f>
        <v>1</v>
      </c>
      <c r="AV94" s="170" t="str">
        <f ca="1">INDEX($BD$6:$BD$53,MATCH(AI94,$BM$6:$BM$53,0))</f>
        <v>Inglaterra</v>
      </c>
      <c r="AW94" s="198"/>
      <c r="AX94" s="159"/>
      <c r="AY94" s="189" t="str">
        <f ca="1">+A93</f>
        <v>Inglaterra</v>
      </c>
      <c r="AZ94" s="190"/>
      <c r="BA94" s="164"/>
    </row>
    <row r="95" spans="1:118" ht="16" customHeight="1" thickBot="1">
      <c r="A95" s="16" t="str">
        <f ca="1">+Equipos!B48</f>
        <v>Ghana</v>
      </c>
      <c r="B95" s="16"/>
      <c r="C95" s="16"/>
      <c r="D95" s="16" t="str">
        <f t="shared" si="271"/>
        <v>Visitante</v>
      </c>
      <c r="E95" s="16" t="str">
        <f t="shared" ca="1" si="272"/>
        <v>P.3 (2)</v>
      </c>
      <c r="F95" s="16" t="str">
        <f t="shared" ca="1" si="273"/>
        <v>P.1 (2)</v>
      </c>
      <c r="G95" s="16"/>
      <c r="H95" s="16" t="str">
        <f t="shared" ca="1" si="274"/>
        <v>P.3 (2)</v>
      </c>
      <c r="I95" s="16" t="str">
        <f t="shared" ca="1" si="275"/>
        <v>P.1 (2)</v>
      </c>
      <c r="J95" s="16"/>
      <c r="K95" s="16" t="str">
        <f t="shared" ca="1" si="276"/>
        <v>P.3 (2)</v>
      </c>
      <c r="L95" s="16" t="str">
        <f t="shared" ca="1" si="277"/>
        <v>P.1 (2)</v>
      </c>
      <c r="M95" s="16"/>
      <c r="N95" s="16" t="str">
        <f t="shared" ca="1" si="278"/>
        <v>P.3 (2)</v>
      </c>
      <c r="O95" s="16" t="str">
        <f t="shared" ca="1" si="279"/>
        <v>P.1 (2)</v>
      </c>
      <c r="P95" s="16"/>
      <c r="Q95" s="16" t="str">
        <f t="shared" ca="1" si="280"/>
        <v>P.3 (2)</v>
      </c>
      <c r="R95" s="16" t="str">
        <f t="shared" ca="1" si="281"/>
        <v>P.1 (2)</v>
      </c>
      <c r="S95" s="16"/>
      <c r="T95" s="16" t="str">
        <f t="shared" ca="1" si="282"/>
        <v>P.3 (2)</v>
      </c>
      <c r="U95" s="16" t="str">
        <f t="shared" ca="1" si="283"/>
        <v>P.1 (2)</v>
      </c>
      <c r="V95" s="17"/>
      <c r="W95" s="619"/>
      <c r="X95" s="24">
        <f ca="1">Horarios!C95</f>
        <v>46197.041666666664</v>
      </c>
      <c r="Y95" s="25">
        <f ca="1">Horarios!C95</f>
        <v>46197.041666666664</v>
      </c>
      <c r="Z95" s="26" t="str">
        <f>$Z$6</f>
        <v>J2</v>
      </c>
      <c r="AA95" s="27" t="str">
        <f ca="1">A96</f>
        <v>Panamá</v>
      </c>
      <c r="AB95" s="49" t="e" cm="1" vm="50">
        <f t="array" aca="1" ref="AB95" ca="1">Ver_flag_local</f>
        <v>#VALUE!</v>
      </c>
      <c r="AC95" s="700">
        <v>0</v>
      </c>
      <c r="AD95" s="701">
        <v>2</v>
      </c>
      <c r="AE95" s="569" t="e" cm="1" vm="48">
        <f t="array" aca="1" ref="AE95" ca="1">Ver_flag_visit</f>
        <v>#VALUE!</v>
      </c>
      <c r="AF95" s="32" t="str">
        <f ca="1">A94</f>
        <v>Croacia</v>
      </c>
      <c r="AG95" s="304">
        <f t="shared" si="284"/>
        <v>1</v>
      </c>
      <c r="AH95" s="183">
        <v>46</v>
      </c>
      <c r="AI95" s="169" t="str">
        <f t="shared" ref="AI95:AI97" si="288">AJ95&amp;$B$92</f>
        <v>2L</v>
      </c>
      <c r="AJ95" s="42">
        <v>2</v>
      </c>
      <c r="AK95" s="576" t="e" cm="1" vm="48">
        <f t="array" aca="1" ref="AK95" ca="1">Ver_flag_visit</f>
        <v>#VALUE!</v>
      </c>
      <c r="AL95" s="37" t="str">
        <f ca="1">IFERROR(INDEX($BD$6:$BD$53,MATCH(AI95,$BN$6:$BN$53,0)),"")</f>
        <v>Croacia</v>
      </c>
      <c r="AM95" s="38">
        <f t="shared" ca="1" si="287"/>
        <v>7</v>
      </c>
      <c r="AN95" s="39">
        <f t="shared" ca="1" si="287"/>
        <v>3</v>
      </c>
      <c r="AO95" s="39">
        <f t="shared" ca="1" si="287"/>
        <v>2</v>
      </c>
      <c r="AP95" s="39">
        <f t="shared" ca="1" si="287"/>
        <v>1</v>
      </c>
      <c r="AQ95" s="39">
        <f t="shared" ca="1" si="287"/>
        <v>0</v>
      </c>
      <c r="AR95" s="39">
        <f t="shared" ca="1" si="287"/>
        <v>5</v>
      </c>
      <c r="AS95" s="39">
        <f t="shared" ca="1" si="287"/>
        <v>2</v>
      </c>
      <c r="AT95" s="43">
        <f t="shared" ca="1" si="287"/>
        <v>3</v>
      </c>
      <c r="AU95" s="311">
        <f ca="1">INDEX($DL$6:$DL$53,MATCH(AI95,$DP$6:$DP$53,0))</f>
        <v>1</v>
      </c>
      <c r="AV95" s="170" t="str">
        <f ca="1">INDEX($BD$6:$BD$53,MATCH(AI95,$BM$6:$BM$53,0))</f>
        <v>Croacia</v>
      </c>
      <c r="AW95" s="198"/>
      <c r="AX95" s="159"/>
      <c r="AY95" s="191" t="str">
        <f ca="1">+A94</f>
        <v>Croacia</v>
      </c>
      <c r="AZ95" s="192"/>
      <c r="BA95" s="164"/>
    </row>
    <row r="96" spans="1:118" ht="16" customHeight="1" thickBot="1">
      <c r="A96" s="16" t="str">
        <f ca="1">+Equipos!B49</f>
        <v>Panamá</v>
      </c>
      <c r="B96" s="16"/>
      <c r="C96" s="16"/>
      <c r="D96" s="16" t="str">
        <f t="shared" si="271"/>
        <v>Visitante</v>
      </c>
      <c r="E96" s="16" t="str">
        <f t="shared" ca="1" si="272"/>
        <v>P.3 (2)</v>
      </c>
      <c r="F96" s="16" t="str">
        <f t="shared" ca="1" si="273"/>
        <v>P.1 (2)</v>
      </c>
      <c r="G96" s="16"/>
      <c r="H96" s="16" t="str">
        <f t="shared" ca="1" si="274"/>
        <v>P.3 (2)</v>
      </c>
      <c r="I96" s="16" t="str">
        <f t="shared" ca="1" si="275"/>
        <v>P.1 (2)</v>
      </c>
      <c r="J96" s="16"/>
      <c r="K96" s="16" t="str">
        <f t="shared" ca="1" si="276"/>
        <v>P.3 (2)</v>
      </c>
      <c r="L96" s="16" t="str">
        <f t="shared" ca="1" si="277"/>
        <v>P.1 (2)</v>
      </c>
      <c r="M96" s="16"/>
      <c r="N96" s="16" t="str">
        <f t="shared" ca="1" si="278"/>
        <v>P.3 (2)</v>
      </c>
      <c r="O96" s="16" t="str">
        <f t="shared" ca="1" si="279"/>
        <v>P.1 (2)</v>
      </c>
      <c r="P96" s="16"/>
      <c r="Q96" s="16" t="str">
        <f t="shared" ca="1" si="280"/>
        <v>P.3 (2)</v>
      </c>
      <c r="R96" s="16" t="str">
        <f t="shared" ca="1" si="281"/>
        <v>P.1 (2)</v>
      </c>
      <c r="S96" s="16"/>
      <c r="T96" s="16" t="str">
        <f t="shared" ca="1" si="282"/>
        <v>P.3 (2)</v>
      </c>
      <c r="U96" s="16" t="str">
        <f t="shared" ca="1" si="283"/>
        <v>P.1 (2)</v>
      </c>
      <c r="V96" s="17"/>
      <c r="W96" s="619"/>
      <c r="X96" s="24">
        <f ca="1">Horarios!C96</f>
        <v>46200.958333333336</v>
      </c>
      <c r="Y96" s="25">
        <f ca="1">Horarios!C96</f>
        <v>46200.958333333336</v>
      </c>
      <c r="Z96" s="26" t="str">
        <f>$Z$8</f>
        <v>J3</v>
      </c>
      <c r="AA96" s="27" t="str">
        <f ca="1">A96</f>
        <v>Panamá</v>
      </c>
      <c r="AB96" s="49" t="e" cm="1" vm="50">
        <f t="array" aca="1" ref="AB96" ca="1">Ver_flag_local</f>
        <v>#VALUE!</v>
      </c>
      <c r="AC96" s="700">
        <v>0</v>
      </c>
      <c r="AD96" s="701">
        <v>2</v>
      </c>
      <c r="AE96" s="569" t="e" cm="1" vm="47">
        <f t="array" aca="1" ref="AE96" ca="1">Ver_flag_visit</f>
        <v>#VALUE!</v>
      </c>
      <c r="AF96" s="32" t="str">
        <f ca="1">A93</f>
        <v>Inglaterra</v>
      </c>
      <c r="AG96" s="304">
        <f t="shared" si="284"/>
        <v>1</v>
      </c>
      <c r="AH96" s="183">
        <v>67</v>
      </c>
      <c r="AI96" s="169" t="str">
        <f t="shared" si="288"/>
        <v>3L</v>
      </c>
      <c r="AJ96" s="42">
        <v>3</v>
      </c>
      <c r="AK96" s="576" t="e" cm="1" vm="49">
        <f t="array" aca="1" ref="AK96" ca="1">Ver_flag_visit</f>
        <v>#VALUE!</v>
      </c>
      <c r="AL96" s="37" t="str">
        <f ca="1">IFERROR(INDEX($BD$6:$BD$53,MATCH(AI96,$BN$6:$BN$53,0)),"")</f>
        <v>Ghana</v>
      </c>
      <c r="AM96" s="38">
        <f t="shared" ca="1" si="287"/>
        <v>1</v>
      </c>
      <c r="AN96" s="39">
        <f t="shared" ca="1" si="287"/>
        <v>3</v>
      </c>
      <c r="AO96" s="39">
        <f t="shared" ca="1" si="287"/>
        <v>0</v>
      </c>
      <c r="AP96" s="39">
        <f t="shared" ca="1" si="287"/>
        <v>1</v>
      </c>
      <c r="AQ96" s="39">
        <f t="shared" ca="1" si="287"/>
        <v>2</v>
      </c>
      <c r="AR96" s="39">
        <f t="shared" ca="1" si="287"/>
        <v>3</v>
      </c>
      <c r="AS96" s="39">
        <f t="shared" ca="1" si="287"/>
        <v>6</v>
      </c>
      <c r="AT96" s="43">
        <f t="shared" ca="1" si="287"/>
        <v>-3</v>
      </c>
      <c r="AU96" s="311">
        <f ca="1">INDEX($DL$6:$DL$53,MATCH(AI96,$DP$6:$DP$53,0))</f>
        <v>1</v>
      </c>
      <c r="AV96" s="170" t="str">
        <f ca="1">INDEX($BD$6:$BD$53,MATCH(AI96,$BM$6:$BM$53,0))</f>
        <v>Ghana</v>
      </c>
      <c r="AW96" s="198"/>
      <c r="AX96" s="159"/>
      <c r="AY96" s="189" t="str">
        <f ca="1">+A95</f>
        <v>Ghana</v>
      </c>
      <c r="AZ96" s="190"/>
      <c r="BA96" s="164"/>
    </row>
    <row r="97" spans="1:62" ht="16" customHeight="1" thickBot="1">
      <c r="A97" s="16"/>
      <c r="B97" s="16"/>
      <c r="C97" s="16"/>
      <c r="D97" s="16" t="str">
        <f t="shared" si="271"/>
        <v>Local</v>
      </c>
      <c r="E97" s="16" t="str">
        <f t="shared" ca="1" si="272"/>
        <v>P.1 (2)</v>
      </c>
      <c r="F97" s="16" t="str">
        <f t="shared" ca="1" si="273"/>
        <v>P.3 (2)</v>
      </c>
      <c r="G97" s="16"/>
      <c r="H97" s="16" t="str">
        <f t="shared" ca="1" si="274"/>
        <v>P.1 (2)</v>
      </c>
      <c r="I97" s="16" t="str">
        <f t="shared" ca="1" si="275"/>
        <v>P.3 (2)</v>
      </c>
      <c r="J97" s="16"/>
      <c r="K97" s="16" t="str">
        <f t="shared" ca="1" si="276"/>
        <v>P.1 (2)</v>
      </c>
      <c r="L97" s="16" t="str">
        <f t="shared" ca="1" si="277"/>
        <v>P.3 (2)</v>
      </c>
      <c r="M97" s="16"/>
      <c r="N97" s="16" t="str">
        <f t="shared" ca="1" si="278"/>
        <v>P.1 (2)</v>
      </c>
      <c r="O97" s="16" t="str">
        <f t="shared" ca="1" si="279"/>
        <v>P.3 (2)</v>
      </c>
      <c r="P97" s="16"/>
      <c r="Q97" s="16" t="str">
        <f t="shared" ca="1" si="280"/>
        <v>P.1 (2)</v>
      </c>
      <c r="R97" s="16" t="str">
        <f t="shared" ca="1" si="281"/>
        <v>P.3 (2)</v>
      </c>
      <c r="S97" s="16"/>
      <c r="T97" s="16" t="str">
        <f t="shared" ca="1" si="282"/>
        <v>P.1 (2)</v>
      </c>
      <c r="U97" s="16" t="str">
        <f t="shared" ca="1" si="283"/>
        <v>P.3 (2)</v>
      </c>
      <c r="V97" s="17"/>
      <c r="W97" s="620"/>
      <c r="X97" s="28">
        <f ca="1">Horarios!C97</f>
        <v>46200.958333333336</v>
      </c>
      <c r="Y97" s="29">
        <f ca="1">Horarios!C97</f>
        <v>46200.958333333336</v>
      </c>
      <c r="Z97" s="30" t="str">
        <f>$Z$8</f>
        <v>J3</v>
      </c>
      <c r="AA97" s="31" t="str">
        <f ca="1">A94</f>
        <v>Croacia</v>
      </c>
      <c r="AB97" s="50" t="e" cm="1" vm="48">
        <f t="array" aca="1" ref="AB97" ca="1">Ver_flag_local</f>
        <v>#VALUE!</v>
      </c>
      <c r="AC97" s="700">
        <v>2</v>
      </c>
      <c r="AD97" s="701">
        <v>1</v>
      </c>
      <c r="AE97" s="570" t="e" cm="1" vm="49">
        <f t="array" aca="1" ref="AE97" ca="1">Ver_flag_visit</f>
        <v>#VALUE!</v>
      </c>
      <c r="AF97" s="33" t="str">
        <f ca="1">A95</f>
        <v>Ghana</v>
      </c>
      <c r="AG97" s="304">
        <f t="shared" si="284"/>
        <v>1</v>
      </c>
      <c r="AH97" s="183">
        <v>68</v>
      </c>
      <c r="AI97" s="169" t="str">
        <f t="shared" si="288"/>
        <v>4L</v>
      </c>
      <c r="AJ97" s="44">
        <v>4</v>
      </c>
      <c r="AK97" s="578" t="e" cm="1" vm="50">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1</v>
      </c>
      <c r="AS97" s="47">
        <f t="shared" ca="1" si="287"/>
        <v>5</v>
      </c>
      <c r="AT97" s="48">
        <f t="shared" ca="1" si="287"/>
        <v>-4</v>
      </c>
      <c r="AU97" s="311">
        <f ca="1">INDEX($DL$6:$DL$53,MATCH(AI97,$DP$6:$DP$53,0))</f>
        <v>1</v>
      </c>
      <c r="AV97" s="170" t="str">
        <f ca="1">INDEX($BD$6:$BD$53,MATCH(AI97,$BM$6:$BM$53,0))</f>
        <v>Panamá</v>
      </c>
      <c r="AW97" s="198"/>
      <c r="AX97" s="159"/>
      <c r="AY97" s="193" t="str">
        <f ca="1">+A96</f>
        <v>Panamá</v>
      </c>
      <c r="AZ97" s="194"/>
      <c r="BA97" s="164"/>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2"/>
      <c r="X98" s="143"/>
      <c r="Y98" s="142"/>
      <c r="Z98" s="144"/>
      <c r="AA98" s="145"/>
      <c r="AB98" s="146"/>
      <c r="AC98" s="139"/>
      <c r="AD98" s="139"/>
      <c r="AE98" s="146"/>
      <c r="AF98" s="147"/>
      <c r="AG98" s="306"/>
      <c r="AH98" s="168"/>
      <c r="AI98" s="168"/>
      <c r="AJ98" s="148"/>
      <c r="AK98" s="149"/>
      <c r="AL98" s="150"/>
      <c r="AM98" s="151"/>
      <c r="AN98" s="148"/>
      <c r="AO98" s="148"/>
      <c r="AP98" s="148"/>
      <c r="AQ98" s="148"/>
      <c r="AR98" s="148"/>
      <c r="AS98" s="148"/>
      <c r="AT98" s="148"/>
      <c r="AU98" s="311"/>
      <c r="AV98" s="177"/>
      <c r="AW98" s="201"/>
      <c r="AX98" s="162"/>
      <c r="AY98" s="142"/>
      <c r="AZ98" s="143"/>
      <c r="BA98" s="164"/>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2" t="str">
        <f>Idiomas!D27</f>
        <v>Dieciseisavos de final</v>
      </c>
      <c r="X99" s="10"/>
      <c r="Y99" s="11"/>
      <c r="Z99" s="11"/>
      <c r="AA99" s="11"/>
      <c r="AB99" s="11"/>
      <c r="AC99" s="11"/>
      <c r="AD99" s="11"/>
      <c r="AE99" s="11"/>
      <c r="AF99" s="12"/>
      <c r="AG99" s="307"/>
      <c r="AH99" s="170"/>
      <c r="AI99" s="168"/>
      <c r="AJ99" s="553"/>
      <c r="AK99" s="584" t="str">
        <f ca="1">+IF(OR($H$113&gt;=48,$AJ$99&gt;=48),"",Idiomas!D69)</f>
        <v/>
      </c>
      <c r="AL99" s="585"/>
      <c r="AM99" s="585"/>
      <c r="AN99" s="585"/>
      <c r="AO99" s="585"/>
      <c r="AP99" s="585"/>
      <c r="AQ99" s="585"/>
      <c r="AR99" s="585"/>
      <c r="AS99" s="585"/>
      <c r="AT99" s="585"/>
      <c r="AU99" s="312"/>
      <c r="AV99" s="176"/>
      <c r="AW99" s="202"/>
      <c r="AX99" s="157"/>
      <c r="AY99" s="142"/>
      <c r="AZ99" s="143"/>
      <c r="BA99" s="164"/>
    </row>
    <row r="100" spans="1:62" ht="16"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5" t="str">
        <f>X3</f>
        <v>Fecha</v>
      </c>
      <c r="Y100" s="65" t="str">
        <f>Y3</f>
        <v>Hora</v>
      </c>
      <c r="Z100" s="65" t="s">
        <v>729</v>
      </c>
      <c r="AA100" s="64" t="str">
        <f>AA3</f>
        <v>Casa</v>
      </c>
      <c r="AB100" s="63" t="s">
        <v>13</v>
      </c>
      <c r="AC100" s="65" t="str">
        <f>AC3</f>
        <v>Gol</v>
      </c>
      <c r="AD100" s="65" t="str">
        <f>AD3</f>
        <v>Gol</v>
      </c>
      <c r="AE100" s="63" t="s">
        <v>13</v>
      </c>
      <c r="AF100" s="66" t="str">
        <f>AF3</f>
        <v>Fuera</v>
      </c>
      <c r="AG100" s="379"/>
      <c r="AH100" s="170"/>
      <c r="AI100" s="168"/>
      <c r="AJ100" s="55" t="str">
        <f>Idiomas!D26</f>
        <v>Mejores terceros</v>
      </c>
      <c r="AK100" s="56"/>
      <c r="AL100" s="56"/>
      <c r="AM100" s="56"/>
      <c r="AN100" s="56"/>
      <c r="AO100" s="56"/>
      <c r="AP100" s="56"/>
      <c r="AQ100" s="56"/>
      <c r="AR100" s="56"/>
      <c r="AS100" s="56"/>
      <c r="AT100" s="57"/>
      <c r="AU100" s="314"/>
      <c r="AV100" s="268" t="str">
        <f ca="1">IF(AU101&gt;0,$AV$3,"")</f>
        <v>¡EMPATE! Puedes seleccionar el orden de los empatados.</v>
      </c>
      <c r="AW100" s="139"/>
      <c r="AX100" s="139"/>
      <c r="AY100" s="142"/>
      <c r="AZ100" s="143"/>
      <c r="BA100" s="164"/>
    </row>
    <row r="101" spans="1:62" ht="16"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5" t="s">
        <v>493</v>
      </c>
      <c r="X101" s="24">
        <f ca="1">Horarios!C101</f>
        <v>46201.875</v>
      </c>
      <c r="Y101" s="25">
        <f ca="1">Horarios!C101</f>
        <v>46201.875</v>
      </c>
      <c r="Z101" s="262">
        <f>AH101</f>
        <v>73</v>
      </c>
      <c r="AA101" s="84" t="str">
        <f t="shared" ref="AA101:AA116" ca="1" si="292">+INDEX($M$101:$M$147,MATCH(AH101,$J$101:$J$147,0))</f>
        <v>Corea del Sur</v>
      </c>
      <c r="AB101" s="85">
        <v>3</v>
      </c>
      <c r="AC101" s="701">
        <v>1</v>
      </c>
      <c r="AD101" s="701">
        <v>1</v>
      </c>
      <c r="AE101" s="86">
        <v>4</v>
      </c>
      <c r="AF101" s="87" t="str">
        <f t="shared" ref="AF101:AF116" ca="1" si="293">+INDEX($N$101:$N$147,MATCH(AH101,$J$101:$J$147,0))</f>
        <v>Canadá</v>
      </c>
      <c r="AG101" s="308">
        <f t="shared" ref="AG101:AG116" ca="1" si="294">IF(D101="W"&amp;AH101,0,1)</f>
        <v>1</v>
      </c>
      <c r="AH101" s="183">
        <v>73</v>
      </c>
      <c r="AI101" s="168"/>
      <c r="AJ101" s="58" t="str">
        <f>AJ5</f>
        <v>Pos</v>
      </c>
      <c r="AK101" s="59"/>
      <c r="AL101" s="60" t="str">
        <f t="shared" ref="AL101:AT101" si="295">AL5</f>
        <v>Selección</v>
      </c>
      <c r="AM101" s="59" t="str">
        <f t="shared" si="295"/>
        <v>Pts</v>
      </c>
      <c r="AN101" s="59" t="str">
        <f t="shared" si="295"/>
        <v>J</v>
      </c>
      <c r="AO101" s="59" t="str">
        <f t="shared" si="295"/>
        <v>G</v>
      </c>
      <c r="AP101" s="59" t="str">
        <f t="shared" si="295"/>
        <v>E</v>
      </c>
      <c r="AQ101" s="59" t="str">
        <f t="shared" si="295"/>
        <v>P</v>
      </c>
      <c r="AR101" s="59" t="str">
        <f t="shared" si="295"/>
        <v>GF</v>
      </c>
      <c r="AS101" s="59" t="str">
        <f t="shared" si="295"/>
        <v>GC</v>
      </c>
      <c r="AT101" s="61" t="str">
        <f t="shared" si="295"/>
        <v>DG</v>
      </c>
      <c r="AU101" s="312">
        <f ca="1">COUNTIF(AU102:AU113,"&gt;1")</f>
        <v>5</v>
      </c>
      <c r="AV101" s="176"/>
      <c r="AW101" s="202"/>
      <c r="AX101" s="202"/>
      <c r="AY101" s="316" t="str">
        <f ca="1">+IF(OR($H$113&gt;=48,$AJ$99=144),Idiomas!D68,"")</f>
        <v xml:space="preserve">Grupos mejores 3ºs: </v>
      </c>
      <c r="AZ101" s="317" t="str">
        <f ca="1">+IF(OR($H$113&gt;=48,$AJ$99=144),BI112,"")</f>
        <v>ABCEGIJK</v>
      </c>
      <c r="BA101" s="164"/>
    </row>
    <row r="102" spans="1:62" ht="16" customHeight="1" thickBot="1">
      <c r="A102" s="16" t="s">
        <v>673</v>
      </c>
      <c r="B102" s="16" t="s">
        <v>734</v>
      </c>
      <c r="C102" s="16"/>
      <c r="D102" s="16" t="str">
        <f t="shared" ca="1" si="289"/>
        <v>Marruecos</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Brasil</v>
      </c>
      <c r="O102" s="16"/>
      <c r="P102" s="16"/>
      <c r="Q102" s="16"/>
      <c r="R102" s="16"/>
      <c r="S102" s="16"/>
      <c r="T102" s="16"/>
      <c r="U102" s="16"/>
      <c r="V102" s="17"/>
      <c r="W102" s="625"/>
      <c r="X102" s="24">
        <f ca="1">Horarios!C102</f>
        <v>46202.791666666664</v>
      </c>
      <c r="Y102" s="25">
        <f ca="1">Horarios!C102</f>
        <v>46202.791666666664</v>
      </c>
      <c r="Z102" s="262">
        <f t="shared" ref="Z102:Z116" si="296">AH102</f>
        <v>76</v>
      </c>
      <c r="AA102" s="84" t="str">
        <f t="shared" ca="1" si="292"/>
        <v>Marruecos</v>
      </c>
      <c r="AB102" s="85">
        <v>3</v>
      </c>
      <c r="AC102" s="701">
        <v>1</v>
      </c>
      <c r="AD102" s="701">
        <v>1</v>
      </c>
      <c r="AE102" s="85">
        <v>2</v>
      </c>
      <c r="AF102" s="87" t="str">
        <f t="shared" ca="1" si="293"/>
        <v>Países Bajos</v>
      </c>
      <c r="AG102" s="308">
        <f t="shared" ca="1" si="294"/>
        <v>1</v>
      </c>
      <c r="AH102" s="183">
        <v>76</v>
      </c>
      <c r="AI102" s="170">
        <v>1</v>
      </c>
      <c r="AJ102" s="76">
        <v>1</v>
      </c>
      <c r="AK102" s="579" t="e" cm="1" vm="9">
        <f t="array" aca="1" ref="AK102" ca="1">Ver_flag_visit</f>
        <v>#VALUE!</v>
      </c>
      <c r="AL102" s="77" t="str">
        <f t="shared" ref="AL102:AL113" ca="1" si="297">+IF($H$113&gt;=48,INDEX($BD$58:$BD$69,MATCH(AI102,$BN$58:$BN$69,0)),BB58)</f>
        <v>Brasil</v>
      </c>
      <c r="AM102" s="562">
        <f ca="1">+IF($H$113&gt;=48,INDEX($BE$58:$BN$69,MATCH($AL102,$BD$58:$BD$69,0),MATCH(AM$5,$BE$57:$BN$57,0)),$BB58)</f>
        <v>4</v>
      </c>
      <c r="AN102" s="78">
        <f ca="1">+IF($H$113&gt;=48,INDEX($BE$58:$BN$69,MATCH($AL102,$BD$58:$BD$69,0),MATCH(AN$5,$BE$57:$BN$57,0)),$BB58)</f>
        <v>3</v>
      </c>
      <c r="AO102" s="78">
        <f t="shared" ref="AO102:AT102" ca="1" si="298">+IF($H$113&gt;=48,INDEX($BE$58:$BN$69,MATCH($AL102,$BD$58:$BD$69,0),MATCH(AO$5,$BE$57:$BN$57,0)),$BB58)</f>
        <v>1</v>
      </c>
      <c r="AP102" s="78">
        <f t="shared" ca="1" si="298"/>
        <v>1</v>
      </c>
      <c r="AQ102" s="79">
        <f t="shared" ca="1" si="298"/>
        <v>1</v>
      </c>
      <c r="AR102" s="79">
        <f t="shared" ca="1" si="298"/>
        <v>5</v>
      </c>
      <c r="AS102" s="79">
        <f t="shared" ca="1" si="298"/>
        <v>4</v>
      </c>
      <c r="AT102" s="80">
        <f t="shared" ca="1" si="298"/>
        <v>1</v>
      </c>
      <c r="AU102" s="311">
        <f t="shared" ref="AU102:AU113" ca="1" si="299">IF($H$113=144,INDEX($DL$58:$DL$69,MATCH(AI102,$DP$58:$DP$69,0)),"")</f>
        <v>1</v>
      </c>
      <c r="AV102" s="170" t="str">
        <f t="shared" ref="AV102:AV113" ca="1" si="300">INDEX($BD$58:$BD$69,MATCH(AI102,$BM$58:$BM$69,0))</f>
        <v>Brasil</v>
      </c>
      <c r="AW102" s="203"/>
      <c r="AX102" s="158"/>
      <c r="AY102" s="142"/>
      <c r="AZ102" s="143"/>
      <c r="BA102" s="164"/>
      <c r="BE102" t="s">
        <v>454</v>
      </c>
      <c r="BF102" t="s">
        <v>731</v>
      </c>
      <c r="BG102" t="s">
        <v>776</v>
      </c>
      <c r="BI102" t="s">
        <v>86</v>
      </c>
    </row>
    <row r="103" spans="1:62" ht="16" customHeight="1" thickBo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6"/>
      <c r="P103" s="16"/>
      <c r="Q103" s="16"/>
      <c r="R103" s="16"/>
      <c r="S103" s="16"/>
      <c r="T103" s="16"/>
      <c r="U103" s="16"/>
      <c r="V103" s="17"/>
      <c r="W103" s="625"/>
      <c r="X103" s="24">
        <f ca="1">Horarios!C103</f>
        <v>46202.9375</v>
      </c>
      <c r="Y103" s="25">
        <f ca="1">Horarios!C103</f>
        <v>46202.9375</v>
      </c>
      <c r="Z103" s="262">
        <f t="shared" si="296"/>
        <v>74</v>
      </c>
      <c r="AA103" s="84" t="str">
        <f t="shared" ca="1" si="292"/>
        <v>Alemania</v>
      </c>
      <c r="AB103" s="85"/>
      <c r="AC103" s="701">
        <v>2</v>
      </c>
      <c r="AD103" s="701">
        <v>1</v>
      </c>
      <c r="AE103" s="85"/>
      <c r="AF103" s="87" t="str">
        <f t="shared" ca="1" si="293"/>
        <v>Brasil</v>
      </c>
      <c r="AG103" s="308">
        <f t="shared" ca="1" si="294"/>
        <v>1</v>
      </c>
      <c r="AH103" s="183">
        <v>74</v>
      </c>
      <c r="AI103" s="170">
        <v>2</v>
      </c>
      <c r="AJ103" s="42">
        <v>2</v>
      </c>
      <c r="AK103" s="576" t="e" cm="1" vm="20">
        <f t="array" aca="1" ref="AK103" ca="1">Ver_flag_visit</f>
        <v>#VALUE!</v>
      </c>
      <c r="AL103" s="81" t="str">
        <f t="shared" ca="1" si="297"/>
        <v>Ecuador</v>
      </c>
      <c r="AM103" s="563">
        <f t="shared" ref="AM103:AM113" ca="1" si="301">+IF($H$113&gt;=48,INDEX($BE$58:$BN$69,MATCH($AL103,$BD$58:$BD$69,0),MATCH(AM$5,$BE$57:$BN$57,0)),$BB59)</f>
        <v>4</v>
      </c>
      <c r="AN103" s="82">
        <f t="shared" ref="AN103:AT103" ca="1" si="302">+IF($H$113&gt;=48,INDEX($BE$58:$BN$69,MATCH($AL103,$BD$58:$BD$69,0),MATCH(AN$5,$BE$57:$BN$57,0)),$BB59)</f>
        <v>3</v>
      </c>
      <c r="AO103" s="82">
        <f t="shared" ca="1" si="302"/>
        <v>1</v>
      </c>
      <c r="AP103" s="82">
        <f t="shared" ca="1" si="302"/>
        <v>1</v>
      </c>
      <c r="AQ103" s="82">
        <f t="shared" ca="1" si="302"/>
        <v>1</v>
      </c>
      <c r="AR103" s="82">
        <f t="shared" ca="1" si="302"/>
        <v>3</v>
      </c>
      <c r="AS103" s="82">
        <f t="shared" ca="1" si="302"/>
        <v>3</v>
      </c>
      <c r="AT103" s="83">
        <f t="shared" ca="1" si="302"/>
        <v>0</v>
      </c>
      <c r="AU103" s="311">
        <f t="shared" ca="1" si="299"/>
        <v>3</v>
      </c>
      <c r="AV103" s="170" t="str">
        <f t="shared" ca="1" si="300"/>
        <v>Ecuador</v>
      </c>
      <c r="AW103" s="203"/>
      <c r="AX103" s="158"/>
      <c r="AY103" s="259"/>
      <c r="AZ103" s="261" t="str">
        <f t="shared" ref="AZ103:AZ110" ca="1" si="303">+IF(OR($H$113&gt;=48,$AJ$99=144),BF117&amp;" - "&amp;BG117,"")</f>
        <v>1A - 3E</v>
      </c>
      <c r="BA103" s="164"/>
      <c r="BF103" t="str">
        <f t="shared" ref="BF103:BF110" ca="1" si="304">IFERROR(INDEX($BC$6:$BC$53,MATCH(AL102,$BD$6:$BD$53,0)),"")</f>
        <v>C</v>
      </c>
      <c r="BG103">
        <f t="shared" ref="BG103:BG110" ca="1" si="305">COUNTIF($BF$103:$BF$110,"&lt;="&amp;BF103)</f>
        <v>3</v>
      </c>
      <c r="BI103">
        <v>1</v>
      </c>
      <c r="BJ103" t="str">
        <f t="shared" ref="BJ103:BJ110" ca="1" si="306">IFERROR(INDEX($BF$103:$BF$110,MATCH(BI103,$BG$103:$BG$110,0)),"Grupo")</f>
        <v>A</v>
      </c>
    </row>
    <row r="104" spans="1:62" ht="16" customHeight="1" thickBot="1">
      <c r="A104" s="16" t="s">
        <v>663</v>
      </c>
      <c r="B104" s="16" t="s">
        <v>677</v>
      </c>
      <c r="C104" s="16"/>
      <c r="D104" s="16" t="str">
        <f t="shared" ca="1" si="289"/>
        <v>Japón</v>
      </c>
      <c r="E104" s="16" t="s">
        <v>2</v>
      </c>
      <c r="F104" s="16" t="s">
        <v>4</v>
      </c>
      <c r="G104" s="16" t="s">
        <v>74</v>
      </c>
      <c r="H104" s="16">
        <f t="shared" ca="1" si="290"/>
        <v>12</v>
      </c>
      <c r="I104" s="16"/>
      <c r="J104" s="16">
        <v>76</v>
      </c>
      <c r="K104" s="16">
        <v>46202.75</v>
      </c>
      <c r="L104" s="16" t="s">
        <v>700</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25"/>
      <c r="X104" s="24">
        <f ca="1">Horarios!C104</f>
        <v>46203.125</v>
      </c>
      <c r="Y104" s="25">
        <f ca="1">Horarios!C104</f>
        <v>46203.125</v>
      </c>
      <c r="Z104" s="262">
        <f t="shared" si="296"/>
        <v>75</v>
      </c>
      <c r="AA104" s="84" t="str">
        <f t="shared" ca="1" si="292"/>
        <v>Japón</v>
      </c>
      <c r="AB104" s="85"/>
      <c r="AC104" s="701">
        <v>2</v>
      </c>
      <c r="AD104" s="701">
        <v>0</v>
      </c>
      <c r="AE104" s="85"/>
      <c r="AF104" s="87" t="str">
        <f t="shared" ca="1" si="293"/>
        <v>Escocia</v>
      </c>
      <c r="AG104" s="308">
        <f t="shared" ca="1" si="294"/>
        <v>1</v>
      </c>
      <c r="AH104" s="183">
        <v>75</v>
      </c>
      <c r="AI104" s="170">
        <v>3</v>
      </c>
      <c r="AJ104" s="42">
        <v>3</v>
      </c>
      <c r="AK104" s="576" t="e" cm="1" vm="38">
        <f t="array" aca="1" ref="AK104" ca="1">Ver_flag_visit</f>
        <v>#VALUE!</v>
      </c>
      <c r="AL104" s="81" t="str">
        <f t="shared" ca="1" si="297"/>
        <v>Noruega</v>
      </c>
      <c r="AM104" s="563">
        <f t="shared" ca="1" si="301"/>
        <v>4</v>
      </c>
      <c r="AN104" s="82">
        <f t="shared" ref="AN104:AT104" ca="1" si="307">+IF($H$113&gt;=48,INDEX($BE$58:$BN$69,MATCH($AL104,$BD$58:$BD$69,0),MATCH(AN$5,$BE$57:$BN$57,0)),$BB60)</f>
        <v>3</v>
      </c>
      <c r="AO104" s="82">
        <f t="shared" ca="1" si="307"/>
        <v>1</v>
      </c>
      <c r="AP104" s="82">
        <f t="shared" ca="1" si="307"/>
        <v>1</v>
      </c>
      <c r="AQ104" s="82">
        <f t="shared" ca="1" si="307"/>
        <v>1</v>
      </c>
      <c r="AR104" s="82">
        <f t="shared" ca="1" si="307"/>
        <v>3</v>
      </c>
      <c r="AS104" s="82">
        <f t="shared" ca="1" si="307"/>
        <v>3</v>
      </c>
      <c r="AT104" s="83">
        <f t="shared" ca="1" si="307"/>
        <v>0</v>
      </c>
      <c r="AU104" s="311">
        <f t="shared" ca="1" si="299"/>
        <v>3</v>
      </c>
      <c r="AV104" s="170" t="str">
        <f t="shared" ca="1" si="300"/>
        <v>Noruega</v>
      </c>
      <c r="AW104" s="203"/>
      <c r="AX104" s="158"/>
      <c r="AY104" s="259"/>
      <c r="AZ104" s="261" t="str">
        <f t="shared" ca="1" si="303"/>
        <v>1B - 3J</v>
      </c>
      <c r="BA104" s="164"/>
      <c r="BF104" t="str">
        <f t="shared" ca="1" si="304"/>
        <v>E</v>
      </c>
      <c r="BG104">
        <f t="shared" ca="1" si="305"/>
        <v>4</v>
      </c>
      <c r="BI104">
        <v>2</v>
      </c>
      <c r="BJ104" t="str">
        <f t="shared" ca="1" si="306"/>
        <v>B</v>
      </c>
    </row>
    <row r="105" spans="1:62" ht="16" customHeight="1" thickBot="1">
      <c r="A105" s="16" t="s">
        <v>685</v>
      </c>
      <c r="B105" s="16" t="s">
        <v>735</v>
      </c>
      <c r="C105" s="16"/>
      <c r="D105" s="16" t="str">
        <f t="shared" ca="1" si="289"/>
        <v>Senegal</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Nueva Zelanda</v>
      </c>
      <c r="O105" s="16"/>
      <c r="P105" s="16"/>
      <c r="Q105" s="16"/>
      <c r="R105" s="16"/>
      <c r="S105" s="16"/>
      <c r="T105" s="16"/>
      <c r="U105" s="16"/>
      <c r="V105" s="17"/>
      <c r="W105" s="625"/>
      <c r="X105" s="24">
        <f ca="1">Horarios!C105</f>
        <v>46203.791666666664</v>
      </c>
      <c r="Y105" s="25">
        <f ca="1">Horarios!C105</f>
        <v>46203.791666666664</v>
      </c>
      <c r="Z105" s="262">
        <f t="shared" si="296"/>
        <v>78</v>
      </c>
      <c r="AA105" s="84" t="str">
        <f t="shared" ca="1" si="292"/>
        <v>Costa de Marfil</v>
      </c>
      <c r="AB105" s="85">
        <v>3</v>
      </c>
      <c r="AC105" s="701">
        <v>1</v>
      </c>
      <c r="AD105" s="701">
        <v>1</v>
      </c>
      <c r="AE105" s="85">
        <v>4</v>
      </c>
      <c r="AF105" s="87" t="str">
        <f t="shared" ca="1" si="293"/>
        <v>Senegal</v>
      </c>
      <c r="AG105" s="308">
        <f t="shared" ca="1" si="294"/>
        <v>1</v>
      </c>
      <c r="AH105" s="183">
        <v>78</v>
      </c>
      <c r="AI105" s="170">
        <v>4</v>
      </c>
      <c r="AJ105" s="42">
        <v>4</v>
      </c>
      <c r="AK105" s="576" t="e" cm="1" vm="4">
        <f t="array" aca="1" ref="AK105" ca="1">Ver_flag_visit</f>
        <v>#VALUE!</v>
      </c>
      <c r="AL105" s="81" t="str">
        <f t="shared" ca="1" si="297"/>
        <v>República Checa</v>
      </c>
      <c r="AM105" s="563">
        <f t="shared" ca="1" si="301"/>
        <v>4</v>
      </c>
      <c r="AN105" s="82">
        <f t="shared" ref="AN105:AT105" ca="1" si="308">+IF($H$113&gt;=48,INDEX($BE$58:$BN$69,MATCH($AL105,$BD$58:$BD$69,0),MATCH(AN$5,$BE$57:$BN$57,0)),$BB61)</f>
        <v>3</v>
      </c>
      <c r="AO105" s="82">
        <f t="shared" ca="1" si="308"/>
        <v>1</v>
      </c>
      <c r="AP105" s="82">
        <f t="shared" ca="1" si="308"/>
        <v>1</v>
      </c>
      <c r="AQ105" s="82">
        <f t="shared" ca="1" si="308"/>
        <v>1</v>
      </c>
      <c r="AR105" s="82">
        <f t="shared" ca="1" si="308"/>
        <v>3</v>
      </c>
      <c r="AS105" s="82">
        <f t="shared" ca="1" si="308"/>
        <v>3</v>
      </c>
      <c r="AT105" s="83">
        <f t="shared" ca="1" si="308"/>
        <v>0</v>
      </c>
      <c r="AU105" s="311">
        <f t="shared" ca="1" si="299"/>
        <v>3</v>
      </c>
      <c r="AV105" s="170" t="str">
        <f t="shared" ca="1" si="300"/>
        <v>República Checa</v>
      </c>
      <c r="AW105" s="203"/>
      <c r="AX105" s="158"/>
      <c r="AY105" s="259"/>
      <c r="AZ105" s="261" t="str">
        <f t="shared" ca="1" si="303"/>
        <v>1D - 3B</v>
      </c>
      <c r="BA105" s="164"/>
      <c r="BF105" t="str">
        <f t="shared" ca="1" si="304"/>
        <v>I</v>
      </c>
      <c r="BG105">
        <f t="shared" ca="1" si="305"/>
        <v>6</v>
      </c>
      <c r="BI105">
        <v>3</v>
      </c>
      <c r="BJ105" t="str">
        <f t="shared" ca="1" si="306"/>
        <v>C</v>
      </c>
    </row>
    <row r="106" spans="1:62" ht="16" customHeight="1" thickBo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25"/>
      <c r="X106" s="24">
        <f ca="1">Horarios!C106</f>
        <v>46203.958333333336</v>
      </c>
      <c r="Y106" s="25">
        <f ca="1">Horarios!C106</f>
        <v>46203.958333333336</v>
      </c>
      <c r="Z106" s="262">
        <f t="shared" si="296"/>
        <v>77</v>
      </c>
      <c r="AA106" s="84" t="str">
        <f t="shared" ca="1" si="292"/>
        <v>Francia</v>
      </c>
      <c r="AB106" s="85"/>
      <c r="AC106" s="701">
        <v>3</v>
      </c>
      <c r="AD106" s="701">
        <v>0</v>
      </c>
      <c r="AE106" s="85"/>
      <c r="AF106" s="87" t="str">
        <f t="shared" ca="1" si="293"/>
        <v>Nueva Zelanda</v>
      </c>
      <c r="AG106" s="308">
        <f t="shared" ca="1" si="294"/>
        <v>1</v>
      </c>
      <c r="AH106" s="183">
        <v>77</v>
      </c>
      <c r="AI106" s="170">
        <v>5</v>
      </c>
      <c r="AJ106" s="42">
        <v>5</v>
      </c>
      <c r="AK106" s="576" t="e" cm="1" vm="44">
        <f t="array" aca="1" ref="AK106" ca="1">Ver_flag_visit</f>
        <v>#VALUE!</v>
      </c>
      <c r="AL106" s="81" t="str">
        <f t="shared" ca="1" si="297"/>
        <v>RD Congo</v>
      </c>
      <c r="AM106" s="563">
        <f t="shared" ca="1" si="301"/>
        <v>3</v>
      </c>
      <c r="AN106" s="82">
        <f t="shared" ref="AN106:AT106" ca="1" si="309">+IF($H$113&gt;=48,INDEX($BE$58:$BN$69,MATCH($AL106,$BD$58:$BD$69,0),MATCH(AN$5,$BE$57:$BN$57,0)),$BB62)</f>
        <v>3</v>
      </c>
      <c r="AO106" s="82">
        <f t="shared" ca="1" si="309"/>
        <v>1</v>
      </c>
      <c r="AP106" s="82">
        <f t="shared" ca="1" si="309"/>
        <v>0</v>
      </c>
      <c r="AQ106" s="82">
        <f t="shared" ca="1" si="309"/>
        <v>2</v>
      </c>
      <c r="AR106" s="82">
        <f t="shared" ca="1" si="309"/>
        <v>2</v>
      </c>
      <c r="AS106" s="82">
        <f t="shared" ca="1" si="309"/>
        <v>4</v>
      </c>
      <c r="AT106" s="83">
        <f t="shared" ca="1" si="309"/>
        <v>-2</v>
      </c>
      <c r="AU106" s="311">
        <f t="shared" ca="1" si="299"/>
        <v>1</v>
      </c>
      <c r="AV106" s="170" t="str">
        <f t="shared" ca="1" si="300"/>
        <v>RD Congo</v>
      </c>
      <c r="AW106" s="203"/>
      <c r="AX106" s="158"/>
      <c r="AY106" s="259"/>
      <c r="AZ106" s="261" t="str">
        <f t="shared" ca="1" si="303"/>
        <v>1E - 3C</v>
      </c>
      <c r="BA106" s="164"/>
      <c r="BF106" t="str">
        <f t="shared" ca="1" si="304"/>
        <v>A</v>
      </c>
      <c r="BG106">
        <f t="shared" ca="1" si="305"/>
        <v>1</v>
      </c>
      <c r="BI106">
        <v>4</v>
      </c>
      <c r="BJ106" t="str">
        <f t="shared" ca="1" si="306"/>
        <v>E</v>
      </c>
    </row>
    <row r="107" spans="1:62" ht="16" customHeight="1" thickBot="1">
      <c r="A107" s="16" t="s">
        <v>657</v>
      </c>
      <c r="B107" s="16" t="s">
        <v>736</v>
      </c>
      <c r="C107" s="16"/>
      <c r="D107" s="16" t="str">
        <f t="shared" ca="1" si="289"/>
        <v>Ecuador</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25"/>
      <c r="X107" s="24">
        <f ca="1">Horarios!C107</f>
        <v>46204.125</v>
      </c>
      <c r="Y107" s="25">
        <f ca="1">Horarios!C107</f>
        <v>46204.125</v>
      </c>
      <c r="Z107" s="262">
        <f t="shared" si="296"/>
        <v>79</v>
      </c>
      <c r="AA107" s="84" t="str">
        <f t="shared" ca="1" si="292"/>
        <v>México</v>
      </c>
      <c r="AB107" s="85">
        <v>3</v>
      </c>
      <c r="AC107" s="701">
        <v>1</v>
      </c>
      <c r="AD107" s="701">
        <v>1</v>
      </c>
      <c r="AE107" s="85">
        <v>4</v>
      </c>
      <c r="AF107" s="87" t="str">
        <f t="shared" ca="1" si="293"/>
        <v>Ecuador</v>
      </c>
      <c r="AG107" s="308">
        <f t="shared" ca="1" si="294"/>
        <v>1</v>
      </c>
      <c r="AH107" s="183">
        <v>79</v>
      </c>
      <c r="AI107" s="170">
        <v>6</v>
      </c>
      <c r="AJ107" s="42">
        <v>6</v>
      </c>
      <c r="AK107" s="576" t="e" cm="1" vm="40">
        <f t="array" aca="1" ref="AK107" ca="1">Ver_flag_visit</f>
        <v>#VALUE!</v>
      </c>
      <c r="AL107" s="81" t="str">
        <f t="shared" ca="1" si="297"/>
        <v>Argelia</v>
      </c>
      <c r="AM107" s="563">
        <f t="shared" ca="1" si="301"/>
        <v>3</v>
      </c>
      <c r="AN107" s="82">
        <f t="shared" ref="AN107:AT107" ca="1" si="310">+IF($H$113&gt;=48,INDEX($BE$58:$BN$69,MATCH($AL107,$BD$58:$BD$69,0),MATCH(AN$5,$BE$57:$BN$57,0)),$BB63)</f>
        <v>3</v>
      </c>
      <c r="AO107" s="82">
        <f t="shared" ca="1" si="310"/>
        <v>1</v>
      </c>
      <c r="AP107" s="82">
        <f t="shared" ca="1" si="310"/>
        <v>0</v>
      </c>
      <c r="AQ107" s="82">
        <f t="shared" ca="1" si="310"/>
        <v>2</v>
      </c>
      <c r="AR107" s="82">
        <f t="shared" ca="1" si="310"/>
        <v>2</v>
      </c>
      <c r="AS107" s="82">
        <f t="shared" ca="1" si="310"/>
        <v>5</v>
      </c>
      <c r="AT107" s="83">
        <f t="shared" ca="1" si="310"/>
        <v>-3</v>
      </c>
      <c r="AU107" s="311">
        <f t="shared" ca="1" si="299"/>
        <v>2</v>
      </c>
      <c r="AV107" s="170" t="str">
        <f ca="1">INDEX($BD$58:$BD$69,MATCH(AI107,$BM$58:$BM$69,0))</f>
        <v>Argelia</v>
      </c>
      <c r="AW107" s="203">
        <v>6</v>
      </c>
      <c r="AX107" s="158"/>
      <c r="AY107" s="259"/>
      <c r="AZ107" s="261" t="str">
        <f t="shared" ca="1" si="303"/>
        <v>1G - 3A</v>
      </c>
      <c r="BA107" s="164"/>
      <c r="BF107" t="str">
        <f t="shared" ca="1" si="304"/>
        <v>K</v>
      </c>
      <c r="BG107">
        <f t="shared" ca="1" si="305"/>
        <v>8</v>
      </c>
      <c r="BI107">
        <v>5</v>
      </c>
      <c r="BJ107" t="str">
        <f t="shared" ca="1" si="306"/>
        <v>G</v>
      </c>
    </row>
    <row r="108" spans="1:62" ht="16" customHeight="1" thickBo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25"/>
      <c r="X108" s="24">
        <f ca="1">Horarios!C108</f>
        <v>46204.75</v>
      </c>
      <c r="Y108" s="25">
        <f ca="1">Horarios!C108</f>
        <v>46204.75</v>
      </c>
      <c r="Z108" s="262">
        <f t="shared" si="296"/>
        <v>80</v>
      </c>
      <c r="AA108" s="84" t="str">
        <f t="shared" ca="1" si="292"/>
        <v>Inglaterra</v>
      </c>
      <c r="AB108" s="85"/>
      <c r="AC108" s="701">
        <v>2</v>
      </c>
      <c r="AD108" s="701">
        <v>0</v>
      </c>
      <c r="AE108" s="85"/>
      <c r="AF108" s="87" t="str">
        <f t="shared" ca="1" si="293"/>
        <v>RD Congo</v>
      </c>
      <c r="AG108" s="308">
        <f t="shared" ca="1" si="294"/>
        <v>1</v>
      </c>
      <c r="AH108" s="183">
        <v>80</v>
      </c>
      <c r="AI108" s="170">
        <v>7</v>
      </c>
      <c r="AJ108" s="42">
        <v>7</v>
      </c>
      <c r="AK108" s="576" t="e" cm="1" vm="6">
        <f t="array" aca="1" ref="AK108" ca="1">Ver_flag_visit</f>
        <v>#VALUE!</v>
      </c>
      <c r="AL108" s="81" t="str">
        <f t="shared" ca="1" si="297"/>
        <v>Bosnia y Herzegovina</v>
      </c>
      <c r="AM108" s="563">
        <f t="shared" ca="1" si="301"/>
        <v>3</v>
      </c>
      <c r="AN108" s="82">
        <f t="shared" ref="AN108:AT108" ca="1" si="311">+IF($H$113&gt;=48,INDEX($BE$58:$BN$69,MATCH($AL108,$BD$58:$BD$69,0),MATCH(AN$5,$BE$57:$BN$57,0)),$BB64)</f>
        <v>3</v>
      </c>
      <c r="AO108" s="82">
        <f t="shared" ca="1" si="311"/>
        <v>1</v>
      </c>
      <c r="AP108" s="82">
        <f t="shared" ca="1" si="311"/>
        <v>0</v>
      </c>
      <c r="AQ108" s="82">
        <f t="shared" ca="1" si="311"/>
        <v>2</v>
      </c>
      <c r="AR108" s="82">
        <f t="shared" ca="1" si="311"/>
        <v>2</v>
      </c>
      <c r="AS108" s="82">
        <f t="shared" ca="1" si="311"/>
        <v>5</v>
      </c>
      <c r="AT108" s="83">
        <f t="shared" ca="1" si="311"/>
        <v>-3</v>
      </c>
      <c r="AU108" s="311">
        <f t="shared" ca="1" si="299"/>
        <v>2</v>
      </c>
      <c r="AV108" s="170" t="str">
        <f t="shared" ca="1" si="300"/>
        <v>Bosnia y Herzegovina</v>
      </c>
      <c r="AW108" s="203">
        <v>7</v>
      </c>
      <c r="AX108" s="158"/>
      <c r="AY108" s="259"/>
      <c r="AZ108" s="261" t="str">
        <f t="shared" ca="1" si="303"/>
        <v>1I - 3G</v>
      </c>
      <c r="BA108" s="164"/>
      <c r="BF108" t="str">
        <f t="shared" ca="1" si="304"/>
        <v>J</v>
      </c>
      <c r="BG108">
        <f t="shared" ca="1" si="305"/>
        <v>7</v>
      </c>
      <c r="BI108">
        <v>6</v>
      </c>
      <c r="BJ108" t="str">
        <f t="shared" ca="1" si="306"/>
        <v>I</v>
      </c>
    </row>
    <row r="109" spans="1:62" ht="16" customHeight="1" thickBo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5"/>
      <c r="X109" s="24">
        <f ca="1">Horarios!C109</f>
        <v>46204.916666666664</v>
      </c>
      <c r="Y109" s="25">
        <f ca="1">Horarios!C109</f>
        <v>46204.916666666664</v>
      </c>
      <c r="Z109" s="262">
        <f t="shared" si="296"/>
        <v>82</v>
      </c>
      <c r="AA109" s="84" t="str">
        <f t="shared" ca="1" si="292"/>
        <v>Bélgica</v>
      </c>
      <c r="AB109" s="85"/>
      <c r="AC109" s="701">
        <v>2</v>
      </c>
      <c r="AD109" s="701">
        <v>1</v>
      </c>
      <c r="AE109" s="85"/>
      <c r="AF109" s="87" t="str">
        <f t="shared" ca="1" si="293"/>
        <v>República Checa</v>
      </c>
      <c r="AG109" s="308">
        <f t="shared" ca="1" si="294"/>
        <v>1</v>
      </c>
      <c r="AH109" s="183">
        <v>82</v>
      </c>
      <c r="AI109" s="170">
        <v>8</v>
      </c>
      <c r="AJ109" s="42">
        <v>8</v>
      </c>
      <c r="AK109" s="576" t="e" cm="1" vm="29">
        <f t="array" aca="1" ref="AK109" ca="1">Ver_flag_visit</f>
        <v>#VALUE!</v>
      </c>
      <c r="AL109" s="81" t="str">
        <f t="shared" ca="1" si="297"/>
        <v>Nueva Zelanda</v>
      </c>
      <c r="AM109" s="563">
        <f t="shared" ca="1" si="301"/>
        <v>3</v>
      </c>
      <c r="AN109" s="82">
        <f t="shared" ref="AN109:AT109" ca="1" si="312">+IF($H$113&gt;=48,INDEX($BE$58:$BN$69,MATCH($AL109,$BD$58:$BD$69,0),MATCH(AN$5,$BE$57:$BN$57,0)),$BB65)</f>
        <v>3</v>
      </c>
      <c r="AO109" s="82">
        <f t="shared" ca="1" si="312"/>
        <v>1</v>
      </c>
      <c r="AP109" s="82">
        <f t="shared" ca="1" si="312"/>
        <v>0</v>
      </c>
      <c r="AQ109" s="82">
        <f t="shared" ca="1" si="312"/>
        <v>2</v>
      </c>
      <c r="AR109" s="82">
        <f t="shared" ca="1" si="312"/>
        <v>2</v>
      </c>
      <c r="AS109" s="82">
        <f t="shared" ca="1" si="312"/>
        <v>6</v>
      </c>
      <c r="AT109" s="83">
        <f t="shared" ca="1" si="312"/>
        <v>-4</v>
      </c>
      <c r="AU109" s="311">
        <f t="shared" ca="1" si="299"/>
        <v>1</v>
      </c>
      <c r="AV109" s="170" t="str">
        <f t="shared" ca="1" si="300"/>
        <v>Nueva Zelanda</v>
      </c>
      <c r="AW109" s="203">
        <v>8</v>
      </c>
      <c r="AX109" s="158"/>
      <c r="AY109" s="259"/>
      <c r="AZ109" s="261" t="str">
        <f t="shared" ca="1" si="303"/>
        <v>1K - 3I</v>
      </c>
      <c r="BA109" s="164"/>
      <c r="BF109" t="str">
        <f t="shared" ca="1" si="304"/>
        <v>B</v>
      </c>
      <c r="BG109">
        <f t="shared" ca="1" si="305"/>
        <v>2</v>
      </c>
      <c r="BI109">
        <v>7</v>
      </c>
      <c r="BJ109" t="str">
        <f t="shared" ca="1" si="306"/>
        <v>J</v>
      </c>
    </row>
    <row r="110" spans="1:62" ht="16" customHeight="1" thickBo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25"/>
      <c r="X110" s="24">
        <f ca="1">Horarios!C110</f>
        <v>46205.083333333336</v>
      </c>
      <c r="Y110" s="25">
        <f ca="1">Horarios!C110</f>
        <v>46205.083333333336</v>
      </c>
      <c r="Z110" s="262">
        <f t="shared" si="296"/>
        <v>81</v>
      </c>
      <c r="AA110" s="84" t="str">
        <f t="shared" ca="1" si="292"/>
        <v>Turquía</v>
      </c>
      <c r="AB110" s="85"/>
      <c r="AC110" s="701">
        <v>2</v>
      </c>
      <c r="AD110" s="701">
        <v>0</v>
      </c>
      <c r="AE110" s="85"/>
      <c r="AF110" s="87" t="str">
        <f t="shared" ca="1" si="293"/>
        <v>Bosnia y Herzegovina</v>
      </c>
      <c r="AG110" s="308">
        <f t="shared" ca="1" si="294"/>
        <v>1</v>
      </c>
      <c r="AH110" s="183">
        <v>81</v>
      </c>
      <c r="AI110" s="170">
        <v>9</v>
      </c>
      <c r="AJ110" s="42">
        <v>9</v>
      </c>
      <c r="AK110" s="576" t="e" cm="1" vm="14">
        <f t="array" aca="1" ref="AK110" ca="1">Ver_flag_visit</f>
        <v>#VALUE!</v>
      </c>
      <c r="AL110" s="81" t="str">
        <f t="shared" ca="1" si="297"/>
        <v>Paraguay</v>
      </c>
      <c r="AM110" s="563">
        <f t="shared" ca="1" si="301"/>
        <v>2</v>
      </c>
      <c r="AN110" s="82">
        <f t="shared" ref="AN110:AT110" ca="1" si="313">+IF($H$113&gt;=48,INDEX($BE$58:$BN$69,MATCH($AL110,$BD$58:$BD$69,0),MATCH(AN$5,$BE$57:$BN$57,0)),$BB66)</f>
        <v>3</v>
      </c>
      <c r="AO110" s="82">
        <f t="shared" ca="1" si="313"/>
        <v>0</v>
      </c>
      <c r="AP110" s="82">
        <f t="shared" ca="1" si="313"/>
        <v>2</v>
      </c>
      <c r="AQ110" s="82">
        <f t="shared" ca="1" si="313"/>
        <v>1</v>
      </c>
      <c r="AR110" s="82">
        <f t="shared" ca="1" si="313"/>
        <v>4</v>
      </c>
      <c r="AS110" s="82">
        <f t="shared" ca="1" si="313"/>
        <v>5</v>
      </c>
      <c r="AT110" s="83">
        <f t="shared" ca="1" si="313"/>
        <v>-1</v>
      </c>
      <c r="AU110" s="311">
        <f t="shared" ca="1" si="299"/>
        <v>1</v>
      </c>
      <c r="AV110" s="170" t="str">
        <f t="shared" ca="1" si="300"/>
        <v>Paraguay</v>
      </c>
      <c r="AW110" s="203"/>
      <c r="AX110" s="158"/>
      <c r="AY110" s="259"/>
      <c r="AZ110" s="261" t="str">
        <f t="shared" ca="1" si="303"/>
        <v>1L - 3K</v>
      </c>
      <c r="BA110" s="164"/>
      <c r="BF110" t="str">
        <f t="shared" ca="1" si="304"/>
        <v>G</v>
      </c>
      <c r="BG110">
        <f t="shared" ca="1" si="305"/>
        <v>5</v>
      </c>
      <c r="BI110">
        <v>8</v>
      </c>
      <c r="BJ110" t="str">
        <f t="shared" ca="1" si="306"/>
        <v>K</v>
      </c>
    </row>
    <row r="111" spans="1:62" ht="16" customHeight="1" thickBo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5"/>
      <c r="X111" s="24">
        <f ca="1">Horarios!C111</f>
        <v>46205.875</v>
      </c>
      <c r="Y111" s="25">
        <f ca="1">Horarios!C111</f>
        <v>46205.875</v>
      </c>
      <c r="Z111" s="262">
        <f t="shared" si="296"/>
        <v>84</v>
      </c>
      <c r="AA111" s="84" t="str">
        <f t="shared" ca="1" si="292"/>
        <v>España</v>
      </c>
      <c r="AB111" s="85"/>
      <c r="AC111" s="701">
        <v>2</v>
      </c>
      <c r="AD111" s="701">
        <v>0</v>
      </c>
      <c r="AE111" s="85"/>
      <c r="AF111" s="87" t="str">
        <f t="shared" ca="1" si="293"/>
        <v>Austria</v>
      </c>
      <c r="AG111" s="308">
        <f t="shared" ca="1" si="294"/>
        <v>1</v>
      </c>
      <c r="AH111" s="183">
        <v>84</v>
      </c>
      <c r="AI111" s="170">
        <v>10</v>
      </c>
      <c r="AJ111" s="42">
        <v>10</v>
      </c>
      <c r="AK111" s="576" t="e" cm="1" vm="24">
        <f t="array" aca="1" ref="AK111" ca="1">Ver_flag_visit</f>
        <v>#VALUE!</v>
      </c>
      <c r="AL111" s="81" t="str">
        <f t="shared" ca="1" si="297"/>
        <v>Suecia</v>
      </c>
      <c r="AM111" s="563">
        <f t="shared" ca="1" si="301"/>
        <v>2</v>
      </c>
      <c r="AN111" s="82">
        <f t="shared" ref="AN111:AT111" ca="1" si="314">+IF($H$113&gt;=48,INDEX($BE$58:$BN$69,MATCH($AL111,$BD$58:$BD$69,0),MATCH(AN$5,$BE$57:$BN$57,0)),$BB67)</f>
        <v>3</v>
      </c>
      <c r="AO111" s="82">
        <f t="shared" ca="1" si="314"/>
        <v>0</v>
      </c>
      <c r="AP111" s="82">
        <f t="shared" ca="1" si="314"/>
        <v>2</v>
      </c>
      <c r="AQ111" s="82">
        <f t="shared" ca="1" si="314"/>
        <v>1</v>
      </c>
      <c r="AR111" s="82">
        <f t="shared" ca="1" si="314"/>
        <v>3</v>
      </c>
      <c r="AS111" s="82">
        <f t="shared" ca="1" si="314"/>
        <v>4</v>
      </c>
      <c r="AT111" s="83">
        <f t="shared" ca="1" si="314"/>
        <v>-1</v>
      </c>
      <c r="AU111" s="311">
        <f t="shared" ca="1" si="299"/>
        <v>1</v>
      </c>
      <c r="AV111" s="170" t="str">
        <f t="shared" ca="1" si="300"/>
        <v>Suecia</v>
      </c>
      <c r="AW111" s="203"/>
      <c r="AX111" s="158"/>
      <c r="AY111" s="258"/>
      <c r="AZ111" s="258"/>
      <c r="BA111" s="164"/>
      <c r="BI111" t="s">
        <v>87</v>
      </c>
    </row>
    <row r="112" spans="1:62" ht="16" customHeight="1" thickBot="1">
      <c r="A112" s="16" t="s">
        <v>682</v>
      </c>
      <c r="B112" s="16" t="s">
        <v>689</v>
      </c>
      <c r="C112" s="16"/>
      <c r="D112" s="16" t="str">
        <f t="shared" ca="1" si="289"/>
        <v>Croacia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5"/>
      <c r="X112" s="24">
        <f ca="1">Horarios!C112</f>
        <v>46206.041666666664</v>
      </c>
      <c r="Y112" s="25">
        <f ca="1">Horarios!C112</f>
        <v>46206.041666666664</v>
      </c>
      <c r="Z112" s="262">
        <f t="shared" si="296"/>
        <v>83</v>
      </c>
      <c r="AA112" s="84" t="str">
        <f t="shared" ca="1" si="292"/>
        <v>Colombia</v>
      </c>
      <c r="AB112" s="85">
        <v>4</v>
      </c>
      <c r="AC112" s="701">
        <v>2</v>
      </c>
      <c r="AD112" s="701">
        <v>2</v>
      </c>
      <c r="AE112" s="85">
        <v>5</v>
      </c>
      <c r="AF112" s="87" t="str">
        <f t="shared" ca="1" si="293"/>
        <v>Croacia</v>
      </c>
      <c r="AG112" s="308">
        <f t="shared" ca="1" si="294"/>
        <v>1</v>
      </c>
      <c r="AH112" s="183">
        <v>83</v>
      </c>
      <c r="AI112" s="170">
        <v>11</v>
      </c>
      <c r="AJ112" s="42">
        <v>11</v>
      </c>
      <c r="AK112" s="576" t="e" cm="1" vm="49">
        <f t="array" aca="1" ref="AK112" ca="1">Ver_flag_visit</f>
        <v>#VALUE!</v>
      </c>
      <c r="AL112" s="81" t="str">
        <f t="shared" ca="1" si="297"/>
        <v>Ghana</v>
      </c>
      <c r="AM112" s="563">
        <f t="shared" ca="1" si="301"/>
        <v>1</v>
      </c>
      <c r="AN112" s="82">
        <f t="shared" ref="AN112:AT112" ca="1" si="315">+IF($H$113&gt;=48,INDEX($BE$58:$BN$69,MATCH($AL112,$BD$58:$BD$69,0),MATCH(AN$5,$BE$57:$BN$57,0)),$BB68)</f>
        <v>3</v>
      </c>
      <c r="AO112" s="82">
        <f t="shared" ca="1" si="315"/>
        <v>0</v>
      </c>
      <c r="AP112" s="82">
        <f t="shared" ca="1" si="315"/>
        <v>1</v>
      </c>
      <c r="AQ112" s="82">
        <f t="shared" ca="1" si="315"/>
        <v>2</v>
      </c>
      <c r="AR112" s="82">
        <f t="shared" ca="1" si="315"/>
        <v>3</v>
      </c>
      <c r="AS112" s="82">
        <f t="shared" ca="1" si="315"/>
        <v>6</v>
      </c>
      <c r="AT112" s="83">
        <f t="shared" ca="1" si="315"/>
        <v>-3</v>
      </c>
      <c r="AU112" s="311">
        <f t="shared" ca="1" si="299"/>
        <v>1</v>
      </c>
      <c r="AV112" s="170" t="str">
        <f t="shared" ca="1" si="300"/>
        <v>Ghana</v>
      </c>
      <c r="AW112" s="203"/>
      <c r="AX112" s="158"/>
      <c r="AY112" s="258"/>
      <c r="AZ112" s="258"/>
      <c r="BA112" s="164"/>
      <c r="BI112" t="str">
        <f ca="1">IFERROR(CONCATENATE(BJ103,BJ104,BJ105,BJ106,BJ107,BJ108,BJ109,BJ110),"¿A/B/C/D/E/F/G/H/I/J/K/L?")</f>
        <v>ABCEGIJK</v>
      </c>
    </row>
    <row r="113" spans="1:59" ht="16"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25"/>
      <c r="X113" s="24">
        <f ca="1">Horarios!C113</f>
        <v>46206.208333333336</v>
      </c>
      <c r="Y113" s="25">
        <f ca="1">Horarios!C113</f>
        <v>46206.208333333336</v>
      </c>
      <c r="Z113" s="262">
        <f t="shared" si="296"/>
        <v>85</v>
      </c>
      <c r="AA113" s="84" t="str">
        <f t="shared" ca="1" si="292"/>
        <v>Suiza</v>
      </c>
      <c r="AB113" s="85"/>
      <c r="AC113" s="701">
        <v>1</v>
      </c>
      <c r="AD113" s="701">
        <v>0</v>
      </c>
      <c r="AE113" s="86"/>
      <c r="AF113" s="87" t="str">
        <f t="shared" ca="1" si="293"/>
        <v>Argelia</v>
      </c>
      <c r="AG113" s="308">
        <f t="shared" ca="1" si="294"/>
        <v>1</v>
      </c>
      <c r="AH113" s="183">
        <v>85</v>
      </c>
      <c r="AI113" s="170">
        <v>12</v>
      </c>
      <c r="AJ113" s="44">
        <v>12</v>
      </c>
      <c r="AK113" s="578" t="e" cm="1" vm="33">
        <f t="array" aca="1" ref="AK113" ca="1">Ver_flag_visit</f>
        <v>#VALUE!</v>
      </c>
      <c r="AL113" s="45" t="str">
        <f t="shared" ca="1" si="297"/>
        <v>Arabia Saudita</v>
      </c>
      <c r="AM113" s="564">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11">
        <f t="shared" ca="1" si="299"/>
        <v>1</v>
      </c>
      <c r="AV113" s="170" t="str">
        <f t="shared" ca="1" si="300"/>
        <v>Arabia Saudita</v>
      </c>
      <c r="AW113" s="203"/>
      <c r="AX113" s="158"/>
      <c r="AY113" s="142"/>
      <c r="AZ113" s="143"/>
      <c r="BA113" s="164"/>
    </row>
    <row r="114" spans="1:59" ht="16" customHeight="1" thickBot="1">
      <c r="A114" s="16" t="s">
        <v>688</v>
      </c>
      <c r="B114" s="16" t="s">
        <v>683</v>
      </c>
      <c r="C114" s="16"/>
      <c r="D114" s="16" t="str">
        <f t="shared" ca="1" si="289"/>
        <v>Estados Unidos</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5"/>
      <c r="X114" s="24">
        <f ca="1">Horarios!C114</f>
        <v>46206.833333333336</v>
      </c>
      <c r="Y114" s="25">
        <f ca="1">Horarios!C114</f>
        <v>46206.833333333336</v>
      </c>
      <c r="Z114" s="262">
        <f t="shared" si="296"/>
        <v>88</v>
      </c>
      <c r="AA114" s="84" t="str">
        <f t="shared" ca="1" si="292"/>
        <v>Estados Unidos</v>
      </c>
      <c r="AB114" s="85"/>
      <c r="AC114" s="701">
        <v>1</v>
      </c>
      <c r="AD114" s="701">
        <v>0</v>
      </c>
      <c r="AE114" s="85"/>
      <c r="AF114" s="87" t="str">
        <f t="shared" ca="1" si="293"/>
        <v>Irán</v>
      </c>
      <c r="AG114" s="308">
        <f t="shared" ca="1" si="294"/>
        <v>1</v>
      </c>
      <c r="AH114" s="183">
        <v>88</v>
      </c>
      <c r="AI114" s="170"/>
      <c r="AJ114" s="148"/>
      <c r="AK114" s="149"/>
      <c r="AL114" s="150"/>
      <c r="AM114" s="151"/>
      <c r="AN114" s="148"/>
      <c r="AO114" s="148"/>
      <c r="AP114" s="148"/>
      <c r="AQ114" s="148"/>
      <c r="AR114" s="148"/>
      <c r="AS114" s="148"/>
      <c r="AT114" s="148"/>
      <c r="AU114" s="177"/>
      <c r="AV114" s="177"/>
      <c r="AW114" s="163"/>
      <c r="AX114" s="163"/>
      <c r="AY114" s="142"/>
      <c r="AZ114" s="143"/>
      <c r="BA114" s="164"/>
    </row>
    <row r="115" spans="1:59" ht="16" customHeight="1" thickBo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Noruega</v>
      </c>
      <c r="O115" s="16"/>
      <c r="P115" s="16"/>
      <c r="Q115" s="16"/>
      <c r="R115" s="16"/>
      <c r="S115" s="16"/>
      <c r="T115" s="16"/>
      <c r="U115" s="16"/>
      <c r="V115" s="17"/>
      <c r="W115" s="625"/>
      <c r="X115" s="24">
        <f ca="1">Horarios!C115</f>
        <v>46207</v>
      </c>
      <c r="Y115" s="25">
        <f ca="1">Horarios!C115</f>
        <v>46207</v>
      </c>
      <c r="Z115" s="262">
        <f t="shared" si="296"/>
        <v>86</v>
      </c>
      <c r="AA115" s="84" t="str">
        <f t="shared" ca="1" si="292"/>
        <v>Argentina</v>
      </c>
      <c r="AB115" s="85"/>
      <c r="AC115" s="701">
        <v>2</v>
      </c>
      <c r="AD115" s="701">
        <v>1</v>
      </c>
      <c r="AE115" s="85"/>
      <c r="AF115" s="87" t="str">
        <f t="shared" ca="1" si="293"/>
        <v>Uruguay</v>
      </c>
      <c r="AG115" s="308">
        <f t="shared" ca="1" si="294"/>
        <v>1</v>
      </c>
      <c r="AH115" s="183">
        <v>86</v>
      </c>
      <c r="AI115" s="170"/>
      <c r="AJ115" s="150"/>
      <c r="AK115" s="152"/>
      <c r="AL115" s="565" t="str">
        <f>+IF($AJ$99&gt;=48,Idiomas!D76,"")</f>
        <v/>
      </c>
      <c r="AM115" s="150"/>
      <c r="AN115" s="150"/>
      <c r="AO115" s="150"/>
      <c r="AP115" s="150"/>
      <c r="AQ115" s="150"/>
      <c r="AR115" s="150"/>
      <c r="AS115" s="150"/>
      <c r="AT115" s="150"/>
      <c r="AU115" s="176"/>
      <c r="AV115" s="176"/>
      <c r="AW115" s="154"/>
      <c r="AX115" s="154"/>
      <c r="AY115" s="142"/>
      <c r="AZ115" s="143"/>
      <c r="BA115" s="164"/>
    </row>
    <row r="116" spans="1:59" ht="16"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26"/>
      <c r="X116" s="28">
        <f ca="1">Horarios!C116</f>
        <v>46207.145833333336</v>
      </c>
      <c r="Y116" s="29">
        <f ca="1">Horarios!C116</f>
        <v>46207.145833333336</v>
      </c>
      <c r="Z116" s="263">
        <f t="shared" si="296"/>
        <v>87</v>
      </c>
      <c r="AA116" s="88" t="str">
        <f t="shared" ca="1" si="292"/>
        <v>Portugal</v>
      </c>
      <c r="AB116" s="89"/>
      <c r="AC116" s="701">
        <v>2</v>
      </c>
      <c r="AD116" s="701">
        <v>1</v>
      </c>
      <c r="AE116" s="89"/>
      <c r="AF116" s="90" t="str">
        <f t="shared" ca="1" si="293"/>
        <v>Noruega</v>
      </c>
      <c r="AG116" s="308">
        <f t="shared" ca="1" si="294"/>
        <v>1</v>
      </c>
      <c r="AH116" s="183">
        <v>87</v>
      </c>
      <c r="AI116" s="170"/>
      <c r="AJ116" s="136"/>
      <c r="AK116" s="136"/>
      <c r="AL116" s="589"/>
      <c r="AM116" s="141"/>
      <c r="AN116" s="141"/>
      <c r="AO116" s="141"/>
      <c r="AP116" s="141"/>
      <c r="AQ116" s="141"/>
      <c r="AR116" s="141"/>
      <c r="AS116" s="141"/>
      <c r="AT116" s="141"/>
      <c r="AU116" s="315"/>
      <c r="AV116" s="169"/>
      <c r="AW116" s="141"/>
      <c r="AX116" s="141"/>
      <c r="AY116" s="142"/>
      <c r="AZ116" s="143"/>
      <c r="BA116" s="164"/>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2"/>
      <c r="X117" s="143"/>
      <c r="Y117" s="142"/>
      <c r="Z117" s="144"/>
      <c r="AA117" s="145"/>
      <c r="AB117" s="146"/>
      <c r="AC117" s="139"/>
      <c r="AD117" s="139"/>
      <c r="AE117" s="146"/>
      <c r="AF117" s="147"/>
      <c r="AG117" s="307"/>
      <c r="AH117" s="183"/>
      <c r="AI117" s="170"/>
      <c r="AJ117" s="136"/>
      <c r="AK117" s="136"/>
      <c r="AL117" s="257"/>
      <c r="AM117" s="141"/>
      <c r="AN117" s="141"/>
      <c r="AO117" s="141"/>
      <c r="AP117" s="141"/>
      <c r="AQ117" s="141"/>
      <c r="AR117" s="141"/>
      <c r="AS117" s="141"/>
      <c r="AT117" s="141"/>
      <c r="AU117" s="315"/>
      <c r="AV117" s="169"/>
      <c r="AW117" s="141"/>
      <c r="AX117" s="141"/>
      <c r="AY117" s="142"/>
      <c r="AZ117" s="143"/>
      <c r="BA117" s="164"/>
      <c r="BF117" t="s">
        <v>657</v>
      </c>
      <c r="BG117" t="str">
        <f ca="1">+IFERROR(INDEX(Combinaciones!$P$2:$W$496,MATCH(1,Combinaciones!$B$2:$B$497,0),MATCH(WORLDCUP!BF117,Combinaciones!$P$1:$W$1,0)),"")</f>
        <v>3E</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2" t="str">
        <f>Idiomas!D28</f>
        <v>Octavos de final</v>
      </c>
      <c r="X118" s="10"/>
      <c r="Y118" s="11"/>
      <c r="Z118" s="11"/>
      <c r="AA118" s="11"/>
      <c r="AB118" s="11"/>
      <c r="AC118" s="11"/>
      <c r="AD118" s="11"/>
      <c r="AE118" s="11"/>
      <c r="AF118" s="12"/>
      <c r="AG118" s="307"/>
      <c r="AH118" s="183"/>
      <c r="AI118" s="170"/>
      <c r="AJ118" s="141"/>
      <c r="AK118" s="136"/>
      <c r="AL118" s="257"/>
      <c r="AM118" s="141"/>
      <c r="AN118" s="141"/>
      <c r="AO118" s="141"/>
      <c r="AP118" s="141"/>
      <c r="AQ118" s="141"/>
      <c r="AR118" s="141"/>
      <c r="AS118" s="141"/>
      <c r="AT118" s="141"/>
      <c r="AU118" s="315"/>
      <c r="AV118" s="169"/>
      <c r="AW118" s="141"/>
      <c r="AX118" s="141"/>
      <c r="AY118" s="142"/>
      <c r="AZ118" s="143"/>
      <c r="BA118" s="164"/>
      <c r="BF118" t="s">
        <v>660</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5" t="str">
        <f>X3</f>
        <v>Fecha</v>
      </c>
      <c r="Y119" s="65" t="str">
        <f>Y3</f>
        <v>Hora</v>
      </c>
      <c r="Z119" s="63"/>
      <c r="AA119" s="64" t="str">
        <f>AA3</f>
        <v>Casa</v>
      </c>
      <c r="AB119" s="63" t="s">
        <v>13</v>
      </c>
      <c r="AC119" s="65" t="str">
        <f>AC3</f>
        <v>Gol</v>
      </c>
      <c r="AD119" s="65" t="str">
        <f>AD3</f>
        <v>Gol</v>
      </c>
      <c r="AE119" s="63" t="s">
        <v>13</v>
      </c>
      <c r="AF119" s="66" t="str">
        <f>AF3</f>
        <v>Fuera</v>
      </c>
      <c r="AG119" s="307"/>
      <c r="AH119" s="183"/>
      <c r="AI119" s="170"/>
      <c r="AJ119" s="136"/>
      <c r="AK119" s="136"/>
      <c r="AL119" s="136"/>
      <c r="AM119" s="141"/>
      <c r="AN119" s="141"/>
      <c r="AO119" s="141"/>
      <c r="AP119" s="141"/>
      <c r="AQ119" s="141"/>
      <c r="AR119" s="141"/>
      <c r="AS119" s="141"/>
      <c r="AT119" s="141"/>
      <c r="AU119" s="315"/>
      <c r="AV119" s="169"/>
      <c r="AW119" s="141"/>
      <c r="AX119" s="141"/>
      <c r="AY119" s="142"/>
      <c r="AZ119" s="143"/>
      <c r="BA119" s="164"/>
      <c r="BF119" t="s">
        <v>670</v>
      </c>
      <c r="BG119" t="str">
        <f ca="1">+IFERROR(INDEX(Combinaciones!$P$2:$W$496,MATCH(1,Combinaciones!$B$2:$B$497,0),MATCH(WORLDCUP!BF119,Combinaciones!$P$1:$W$1,0)),"")</f>
        <v>3B</v>
      </c>
    </row>
    <row r="120" spans="1:59" ht="16" customHeight="1" thickBo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Japón</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7" t="s">
        <v>89</v>
      </c>
      <c r="X120" s="24">
        <f ca="1">Horarios!C120</f>
        <v>46207.791666666664</v>
      </c>
      <c r="Y120" s="25">
        <f ca="1">Horarios!C120</f>
        <v>46207.791666666664</v>
      </c>
      <c r="Z120" s="262">
        <f t="shared" ref="Z120:Z127" si="319">AH120</f>
        <v>90</v>
      </c>
      <c r="AA120" s="84" t="str">
        <f t="shared" ref="AA120:AA127" ca="1" si="320">+INDEX($M$101:$M$147,MATCH(AH120,$J$101:$J$147,0))</f>
        <v>Canadá</v>
      </c>
      <c r="AB120" s="85"/>
      <c r="AC120" s="701">
        <v>1</v>
      </c>
      <c r="AD120" s="701">
        <v>2</v>
      </c>
      <c r="AE120" s="85"/>
      <c r="AF120" s="87" t="str">
        <f t="shared" ref="AF120:AF127" ca="1" si="321">+INDEX($N$101:$N$147,MATCH(AH120,$J$101:$J$147,0))</f>
        <v>Japón</v>
      </c>
      <c r="AG120" s="308">
        <f t="shared" ref="AG120:AG127" ca="1" si="322">IF(D120="W"&amp;AH120,0,1)</f>
        <v>1</v>
      </c>
      <c r="AH120" s="183">
        <v>90</v>
      </c>
      <c r="AI120" s="170"/>
      <c r="AJ120" s="136"/>
      <c r="AK120" s="136"/>
      <c r="AL120" s="197"/>
      <c r="AM120" s="141"/>
      <c r="AN120" s="141"/>
      <c r="AO120" s="141"/>
      <c r="AP120" s="141"/>
      <c r="AQ120" s="141"/>
      <c r="AR120" s="141"/>
      <c r="AS120" s="141"/>
      <c r="AT120" s="141"/>
      <c r="AU120" s="315"/>
      <c r="AV120" s="169"/>
      <c r="AW120" s="141"/>
      <c r="AX120" s="141"/>
      <c r="AY120" s="142"/>
      <c r="AZ120" s="143"/>
      <c r="BA120" s="164"/>
      <c r="BF120" t="s">
        <v>673</v>
      </c>
      <c r="BG120" t="str">
        <f ca="1">+IFERROR(INDEX(Combinaciones!$P$2:$W$496,MATCH(1,Combinaciones!$B$2:$B$497,0),MATCH(WORLDCUP!BF120,Combinaciones!$P$1:$W$1,0)),"")</f>
        <v>3C</v>
      </c>
    </row>
    <row r="121" spans="1:59" ht="16" customHeight="1" thickBo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Canadá</v>
      </c>
      <c r="N121" s="16" t="str">
        <f t="shared" ca="1" si="318"/>
        <v>Japón</v>
      </c>
      <c r="O121" s="16"/>
      <c r="P121" s="16"/>
      <c r="Q121" s="16"/>
      <c r="R121" s="16"/>
      <c r="S121" s="16"/>
      <c r="T121" s="16"/>
      <c r="U121" s="16"/>
      <c r="V121" s="17"/>
      <c r="W121" s="627"/>
      <c r="X121" s="24">
        <f ca="1">Horarios!C121</f>
        <v>46207.958333333336</v>
      </c>
      <c r="Y121" s="25">
        <f ca="1">Horarios!C121</f>
        <v>46207.958333333336</v>
      </c>
      <c r="Z121" s="262">
        <f t="shared" si="319"/>
        <v>89</v>
      </c>
      <c r="AA121" s="84" t="str">
        <f t="shared" ca="1" si="320"/>
        <v>Alemania</v>
      </c>
      <c r="AB121" s="85"/>
      <c r="AC121" s="701">
        <v>1</v>
      </c>
      <c r="AD121" s="701">
        <v>2</v>
      </c>
      <c r="AE121" s="85"/>
      <c r="AF121" s="87" t="str">
        <f t="shared" ca="1" si="321"/>
        <v>Francia</v>
      </c>
      <c r="AG121" s="308">
        <f t="shared" ca="1" si="322"/>
        <v>1</v>
      </c>
      <c r="AH121" s="183">
        <v>89</v>
      </c>
      <c r="AI121" s="170"/>
      <c r="AJ121" s="136"/>
      <c r="AK121" s="136"/>
      <c r="AL121" s="136"/>
      <c r="AM121" s="141"/>
      <c r="AN121" s="141"/>
      <c r="AO121" s="141"/>
      <c r="AP121" s="141"/>
      <c r="AQ121" s="141"/>
      <c r="AR121" s="141"/>
      <c r="AS121" s="141"/>
      <c r="AT121" s="141"/>
      <c r="AU121" s="315"/>
      <c r="AV121" s="169"/>
      <c r="AW121" s="141"/>
      <c r="AX121" s="141"/>
      <c r="AY121" s="142"/>
      <c r="AZ121" s="143"/>
      <c r="BA121" s="164"/>
      <c r="BF121" t="s">
        <v>679</v>
      </c>
      <c r="BG121" t="str">
        <f ca="1">+IFERROR(INDEX(Combinaciones!$P$2:$W$496,MATCH(1,Combinaciones!$B$2:$B$497,0),MATCH(WORLDCUP!BF121,Combinaciones!$P$1:$W$1,0)),"")</f>
        <v>3A</v>
      </c>
    </row>
    <row r="122" spans="1:59" ht="16" customHeight="1" thickBot="1">
      <c r="A122" s="16" t="s">
        <v>746</v>
      </c>
      <c r="B122" s="16" t="s">
        <v>747</v>
      </c>
      <c r="C122" s="16"/>
      <c r="D122" s="16" t="str">
        <f t="shared" ca="1" si="317"/>
        <v>Senegal</v>
      </c>
      <c r="E122" s="16">
        <v>76</v>
      </c>
      <c r="F122" s="16">
        <v>78</v>
      </c>
      <c r="G122" s="16"/>
      <c r="H122" s="16"/>
      <c r="I122" s="16"/>
      <c r="J122" s="16">
        <v>91</v>
      </c>
      <c r="K122" s="16">
        <v>46208.75</v>
      </c>
      <c r="L122" s="16" t="s">
        <v>715</v>
      </c>
      <c r="M122" s="16" t="str">
        <f t="shared" ca="1" si="318"/>
        <v>Marruecos</v>
      </c>
      <c r="N122" s="16" t="str">
        <f t="shared" ca="1" si="318"/>
        <v>Senegal</v>
      </c>
      <c r="O122" s="16"/>
      <c r="P122" s="16"/>
      <c r="Q122" s="16"/>
      <c r="R122" s="16"/>
      <c r="S122" s="16"/>
      <c r="T122" s="16"/>
      <c r="U122" s="16"/>
      <c r="V122" s="17"/>
      <c r="W122" s="627"/>
      <c r="X122" s="24">
        <f ca="1">Horarios!C122</f>
        <v>46208.916666666664</v>
      </c>
      <c r="Y122" s="25">
        <f ca="1">Horarios!C122</f>
        <v>46208.916666666664</v>
      </c>
      <c r="Z122" s="262">
        <f t="shared" si="319"/>
        <v>91</v>
      </c>
      <c r="AA122" s="84" t="str">
        <f t="shared" ca="1" si="320"/>
        <v>Marruecos</v>
      </c>
      <c r="AB122" s="85">
        <v>2</v>
      </c>
      <c r="AC122" s="701">
        <v>1</v>
      </c>
      <c r="AD122" s="701">
        <v>1</v>
      </c>
      <c r="AE122" s="85">
        <v>4</v>
      </c>
      <c r="AF122" s="87" t="str">
        <f t="shared" ca="1" si="321"/>
        <v>Senegal</v>
      </c>
      <c r="AG122" s="308">
        <f t="shared" ca="1" si="322"/>
        <v>1</v>
      </c>
      <c r="AH122" s="183">
        <v>91</v>
      </c>
      <c r="AI122" s="170"/>
      <c r="AJ122" s="136"/>
      <c r="AK122" s="136"/>
      <c r="AL122" s="136"/>
      <c r="AM122" s="141"/>
      <c r="AN122" s="141"/>
      <c r="AO122" s="141"/>
      <c r="AP122" s="141"/>
      <c r="AQ122" s="141"/>
      <c r="AR122" s="141"/>
      <c r="AS122" s="141"/>
      <c r="AT122" s="141"/>
      <c r="AU122" s="315"/>
      <c r="AV122" s="169"/>
      <c r="AW122" s="141"/>
      <c r="AX122" s="141"/>
      <c r="AY122" s="142"/>
      <c r="AZ122" s="143"/>
      <c r="BA122" s="164"/>
      <c r="BF122" t="s">
        <v>685</v>
      </c>
      <c r="BG122" t="str">
        <f ca="1">+IFERROR(INDEX(Combinaciones!$P$2:$W$496,MATCH(1,Combinaciones!$B$2:$B$497,0),MATCH(WORLDCUP!BF122,Combinaciones!$P$1:$W$1,0)),"")</f>
        <v>3G</v>
      </c>
    </row>
    <row r="123" spans="1:59" ht="16" customHeight="1" thickBo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Ecuador</v>
      </c>
      <c r="N123" s="16" t="str">
        <f t="shared" ca="1" si="318"/>
        <v>Inglaterra</v>
      </c>
      <c r="O123" s="16"/>
      <c r="P123" s="16"/>
      <c r="Q123" s="16"/>
      <c r="R123" s="16"/>
      <c r="S123" s="16"/>
      <c r="T123" s="16"/>
      <c r="U123" s="16"/>
      <c r="V123" s="17"/>
      <c r="W123" s="627"/>
      <c r="X123" s="24">
        <f ca="1">Horarios!C123</f>
        <v>46209.083333333336</v>
      </c>
      <c r="Y123" s="25">
        <f ca="1">Horarios!C123</f>
        <v>46209.083333333336</v>
      </c>
      <c r="Z123" s="262">
        <f t="shared" si="319"/>
        <v>92</v>
      </c>
      <c r="AA123" s="84" t="str">
        <f t="shared" ca="1" si="320"/>
        <v>Ecuador</v>
      </c>
      <c r="AB123" s="85"/>
      <c r="AC123" s="701">
        <v>0</v>
      </c>
      <c r="AD123" s="701">
        <v>2</v>
      </c>
      <c r="AE123" s="85"/>
      <c r="AF123" s="87" t="str">
        <f t="shared" ca="1" si="321"/>
        <v>Inglaterra</v>
      </c>
      <c r="AG123" s="308">
        <f t="shared" ca="1" si="322"/>
        <v>1</v>
      </c>
      <c r="AH123" s="183">
        <v>92</v>
      </c>
      <c r="AI123" s="170"/>
      <c r="AJ123" s="136"/>
      <c r="AK123" s="136"/>
      <c r="AL123" s="136"/>
      <c r="AM123" s="141"/>
      <c r="AN123" s="141"/>
      <c r="AO123" s="141"/>
      <c r="AP123" s="141"/>
      <c r="AQ123" s="141"/>
      <c r="AR123" s="141"/>
      <c r="AS123" s="141"/>
      <c r="AT123" s="141"/>
      <c r="AU123" s="315"/>
      <c r="AV123" s="169"/>
      <c r="AW123" s="141"/>
      <c r="AX123" s="141"/>
      <c r="AY123" s="142"/>
      <c r="AZ123" s="143"/>
      <c r="BA123" s="164"/>
      <c r="BF123" t="s">
        <v>691</v>
      </c>
      <c r="BG123" t="str">
        <f ca="1">+IFERROR(INDEX(Combinaciones!$P$2:$W$496,MATCH(1,Combinaciones!$B$2:$B$497,0),MATCH(WORLDCUP!BF123,Combinaciones!$P$1:$W$1,0)),"")</f>
        <v>3I</v>
      </c>
    </row>
    <row r="124" spans="1:59" ht="16" customHeight="1" thickBo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Croacia</v>
      </c>
      <c r="N124" s="16" t="str">
        <f t="shared" ca="1" si="318"/>
        <v>España</v>
      </c>
      <c r="O124" s="16"/>
      <c r="P124" s="16"/>
      <c r="Q124" s="16"/>
      <c r="R124" s="16"/>
      <c r="S124" s="16"/>
      <c r="T124" s="16"/>
      <c r="U124" s="16"/>
      <c r="V124" s="17"/>
      <c r="W124" s="627"/>
      <c r="X124" s="24">
        <f ca="1">Horarios!C124</f>
        <v>46209.875</v>
      </c>
      <c r="Y124" s="25">
        <f ca="1">Horarios!C124</f>
        <v>46209.875</v>
      </c>
      <c r="Z124" s="262">
        <f t="shared" si="319"/>
        <v>93</v>
      </c>
      <c r="AA124" s="84" t="str">
        <f t="shared" ca="1" si="320"/>
        <v>Croacia</v>
      </c>
      <c r="AB124" s="91"/>
      <c r="AC124" s="702">
        <v>1</v>
      </c>
      <c r="AD124" s="701">
        <v>2</v>
      </c>
      <c r="AE124" s="86"/>
      <c r="AF124" s="87" t="str">
        <f t="shared" ca="1" si="321"/>
        <v>España</v>
      </c>
      <c r="AG124" s="308">
        <f t="shared" ca="1" si="322"/>
        <v>1</v>
      </c>
      <c r="AH124" s="183">
        <v>93</v>
      </c>
      <c r="AI124" s="170"/>
      <c r="AJ124" s="136"/>
      <c r="AK124" s="136"/>
      <c r="AL124" s="136"/>
      <c r="AM124" s="141"/>
      <c r="AN124" s="141"/>
      <c r="AO124" s="141"/>
      <c r="AP124" s="141"/>
      <c r="AQ124" s="141"/>
      <c r="AR124" s="141"/>
      <c r="AS124" s="141"/>
      <c r="AT124" s="141"/>
      <c r="AU124" s="315"/>
      <c r="AV124" s="169"/>
      <c r="AW124" s="141"/>
      <c r="AX124" s="141"/>
      <c r="AY124" s="142"/>
      <c r="AZ124" s="143"/>
      <c r="BA124" s="164"/>
      <c r="BF124" t="s">
        <v>694</v>
      </c>
      <c r="BG124" t="str">
        <f ca="1">+IFERROR(INDEX(Combinaciones!$P$2:$W$496,MATCH(1,Combinaciones!$B$2:$B$497,0),MATCH(WORLDCUP!BF124,Combinaciones!$P$1:$W$1,0)),"")</f>
        <v>3K</v>
      </c>
    </row>
    <row r="125" spans="1:59" ht="16" customHeight="1" thickBo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27"/>
      <c r="X125" s="24">
        <f ca="1">Horarios!C125</f>
        <v>46210.083333333336</v>
      </c>
      <c r="Y125" s="25">
        <f ca="1">Horarios!C125</f>
        <v>46210.083333333336</v>
      </c>
      <c r="Z125" s="262">
        <f t="shared" si="319"/>
        <v>94</v>
      </c>
      <c r="AA125" s="84" t="str">
        <f t="shared" ca="1" si="320"/>
        <v>Turquía</v>
      </c>
      <c r="AB125" s="85"/>
      <c r="AC125" s="701">
        <v>1</v>
      </c>
      <c r="AD125" s="701">
        <v>2</v>
      </c>
      <c r="AE125" s="85"/>
      <c r="AF125" s="87" t="str">
        <f t="shared" ca="1" si="321"/>
        <v>Bélgica</v>
      </c>
      <c r="AG125" s="308">
        <f t="shared" ca="1" si="322"/>
        <v>1</v>
      </c>
      <c r="AH125" s="183">
        <v>94</v>
      </c>
      <c r="AI125" s="170"/>
      <c r="AJ125" s="136"/>
      <c r="AK125" s="136"/>
      <c r="AL125" s="136"/>
      <c r="AM125" s="141"/>
      <c r="AN125" s="141"/>
      <c r="AO125" s="141"/>
      <c r="AP125" s="141"/>
      <c r="AQ125" s="141"/>
      <c r="AR125" s="141"/>
      <c r="AS125" s="141"/>
      <c r="AT125" s="141"/>
      <c r="AU125" s="315"/>
      <c r="AV125" s="169"/>
      <c r="AW125" s="141"/>
      <c r="AX125" s="141"/>
      <c r="AY125" s="142"/>
      <c r="AZ125" s="143"/>
      <c r="BA125" s="164"/>
    </row>
    <row r="126" spans="1:59" ht="16" customHeight="1" thickBo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Estados Unidos</v>
      </c>
      <c r="O126" s="16"/>
      <c r="P126" s="16"/>
      <c r="Q126" s="16"/>
      <c r="R126" s="16"/>
      <c r="S126" s="16"/>
      <c r="T126" s="16"/>
      <c r="U126" s="16"/>
      <c r="V126" s="17"/>
      <c r="W126" s="627"/>
      <c r="X126" s="24">
        <f ca="1">Horarios!C126</f>
        <v>46210.75</v>
      </c>
      <c r="Y126" s="25">
        <f ca="1">Horarios!C126</f>
        <v>46210.75</v>
      </c>
      <c r="Z126" s="262">
        <f t="shared" si="319"/>
        <v>95</v>
      </c>
      <c r="AA126" s="84" t="str">
        <f t="shared" ca="1" si="320"/>
        <v>Argentina</v>
      </c>
      <c r="AB126" s="85"/>
      <c r="AC126" s="701">
        <v>2</v>
      </c>
      <c r="AD126" s="701">
        <v>0</v>
      </c>
      <c r="AE126" s="85"/>
      <c r="AF126" s="87" t="str">
        <f t="shared" ca="1" si="321"/>
        <v>Estados Unidos</v>
      </c>
      <c r="AG126" s="308">
        <f t="shared" ca="1" si="322"/>
        <v>1</v>
      </c>
      <c r="AH126" s="183">
        <v>95</v>
      </c>
      <c r="AI126" s="170"/>
      <c r="AJ126" s="136"/>
      <c r="AK126" s="136"/>
      <c r="AL126" s="136"/>
      <c r="AM126" s="141"/>
      <c r="AN126" s="141"/>
      <c r="AO126" s="141"/>
      <c r="AP126" s="141"/>
      <c r="AQ126" s="141"/>
      <c r="AR126" s="141"/>
      <c r="AS126" s="141"/>
      <c r="AT126" s="141"/>
      <c r="AU126" s="315"/>
      <c r="AV126" s="169"/>
      <c r="AW126" s="141"/>
      <c r="AX126" s="141"/>
      <c r="AY126" s="142"/>
      <c r="AZ126" s="143"/>
      <c r="BA126" s="164"/>
    </row>
    <row r="127" spans="1:59" ht="16"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28"/>
      <c r="X127" s="28">
        <f ca="1">Horarios!C127</f>
        <v>46210.916666666664</v>
      </c>
      <c r="Y127" s="29">
        <f ca="1">Horarios!C127</f>
        <v>46210.916666666664</v>
      </c>
      <c r="Z127" s="263">
        <f t="shared" si="319"/>
        <v>96</v>
      </c>
      <c r="AA127" s="88" t="str">
        <f t="shared" ca="1" si="320"/>
        <v>Suiza</v>
      </c>
      <c r="AB127" s="89"/>
      <c r="AC127" s="701">
        <v>0</v>
      </c>
      <c r="AD127" s="701">
        <v>2</v>
      </c>
      <c r="AE127" s="89"/>
      <c r="AF127" s="90" t="str">
        <f t="shared" ca="1" si="321"/>
        <v>Portugal</v>
      </c>
      <c r="AG127" s="308">
        <f t="shared" ca="1" si="322"/>
        <v>1</v>
      </c>
      <c r="AH127" s="183">
        <v>96</v>
      </c>
      <c r="AI127" s="170"/>
      <c r="AJ127" s="136"/>
      <c r="AK127" s="136"/>
      <c r="AL127" s="136"/>
      <c r="AM127" s="141"/>
      <c r="AN127" s="141"/>
      <c r="AO127" s="141"/>
      <c r="AP127" s="141"/>
      <c r="AQ127" s="141"/>
      <c r="AR127" s="141"/>
      <c r="AS127" s="141"/>
      <c r="AT127" s="141"/>
      <c r="AU127" s="315"/>
      <c r="AV127" s="169"/>
      <c r="AW127" s="141"/>
      <c r="AX127" s="141"/>
      <c r="AY127" s="142"/>
      <c r="AZ127" s="143"/>
      <c r="BA127" s="164"/>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2"/>
      <c r="X128" s="143"/>
      <c r="Y128" s="142"/>
      <c r="Z128" s="144"/>
      <c r="AA128" s="145"/>
      <c r="AB128" s="146"/>
      <c r="AC128" s="139"/>
      <c r="AD128" s="139"/>
      <c r="AE128" s="146"/>
      <c r="AF128" s="147"/>
      <c r="AG128" s="307"/>
      <c r="AH128" s="183"/>
      <c r="AI128" s="170"/>
      <c r="AJ128" s="136"/>
      <c r="AK128" s="136"/>
      <c r="AL128" s="136"/>
      <c r="AM128" s="141"/>
      <c r="AN128" s="141"/>
      <c r="AO128" s="141"/>
      <c r="AP128" s="141"/>
      <c r="AQ128" s="141"/>
      <c r="AR128" s="141"/>
      <c r="AS128" s="141"/>
      <c r="AT128" s="141"/>
      <c r="AU128" s="315"/>
      <c r="AV128" s="169"/>
      <c r="AW128" s="141"/>
      <c r="AX128" s="141"/>
      <c r="AY128" s="142"/>
      <c r="AZ128" s="143"/>
      <c r="BA128" s="164"/>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2" t="str">
        <f>Idiomas!D29</f>
        <v>Cuartos de final</v>
      </c>
      <c r="X129" s="10"/>
      <c r="Y129" s="11"/>
      <c r="Z129" s="11"/>
      <c r="AA129" s="11"/>
      <c r="AB129" s="11"/>
      <c r="AC129" s="11"/>
      <c r="AD129" s="11"/>
      <c r="AE129" s="11"/>
      <c r="AF129" s="12"/>
      <c r="AG129" s="305"/>
      <c r="AH129" s="169"/>
      <c r="AI129" s="170"/>
      <c r="AJ129" s="136"/>
      <c r="AK129" s="136"/>
      <c r="AL129" s="136"/>
      <c r="AM129" s="141"/>
      <c r="AN129" s="141"/>
      <c r="AO129" s="141"/>
      <c r="AP129" s="141"/>
      <c r="AQ129" s="141"/>
      <c r="AR129" s="141"/>
      <c r="AS129" s="141"/>
      <c r="AT129" s="141"/>
      <c r="AU129" s="315"/>
      <c r="AV129" s="169"/>
      <c r="AW129" s="141"/>
      <c r="AX129" s="141"/>
      <c r="AY129" s="142"/>
      <c r="AZ129" s="143"/>
      <c r="BA129" s="164"/>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5" t="str">
        <f>X3</f>
        <v>Fecha</v>
      </c>
      <c r="Y130" s="65" t="str">
        <f>Y3</f>
        <v>Hora</v>
      </c>
      <c r="Z130" s="63"/>
      <c r="AA130" s="64" t="str">
        <f>AA3</f>
        <v>Casa</v>
      </c>
      <c r="AB130" s="63" t="s">
        <v>13</v>
      </c>
      <c r="AC130" s="65" t="str">
        <f>AC3</f>
        <v>Gol</v>
      </c>
      <c r="AD130" s="65" t="str">
        <f>AD3</f>
        <v>Gol</v>
      </c>
      <c r="AE130" s="63" t="s">
        <v>13</v>
      </c>
      <c r="AF130" s="66" t="str">
        <f>AF3</f>
        <v>Fuera</v>
      </c>
      <c r="AG130" s="305"/>
      <c r="AH130" s="169"/>
      <c r="AI130" s="170"/>
      <c r="AJ130" s="136"/>
      <c r="AK130" s="136"/>
      <c r="AL130" s="136"/>
      <c r="AM130" s="141"/>
      <c r="AN130" s="141"/>
      <c r="AO130" s="141"/>
      <c r="AP130" s="141"/>
      <c r="AQ130" s="141"/>
      <c r="AR130" s="141"/>
      <c r="AS130" s="141"/>
      <c r="AT130" s="141"/>
      <c r="AU130" s="315"/>
      <c r="AV130" s="169"/>
      <c r="AW130" s="141"/>
      <c r="AX130" s="141"/>
      <c r="AY130" s="142"/>
      <c r="AZ130" s="143"/>
      <c r="BA130" s="164"/>
    </row>
    <row r="131" spans="1:53" ht="16" customHeight="1" thickBo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Japón</v>
      </c>
      <c r="O131" s="16"/>
      <c r="P131" s="16"/>
      <c r="Q131" s="16"/>
      <c r="R131" s="16"/>
      <c r="S131" s="16"/>
      <c r="T131" s="16"/>
      <c r="U131" s="16"/>
      <c r="V131" s="17"/>
      <c r="W131" s="629" t="s">
        <v>36</v>
      </c>
      <c r="X131" s="24">
        <f ca="1">Horarios!C131</f>
        <v>46212.916666666664</v>
      </c>
      <c r="Y131" s="25">
        <f ca="1">Horarios!C131</f>
        <v>46212.916666666664</v>
      </c>
      <c r="Z131" s="264">
        <f t="shared" ref="Z131:Z134" si="324">AH131</f>
        <v>97</v>
      </c>
      <c r="AA131" s="84" t="str">
        <f t="shared" ref="AA131:AA134" ca="1" si="325">+INDEX($M$101:$M$147,MATCH(AH131,$J$101:$J$147,0))</f>
        <v>Francia</v>
      </c>
      <c r="AB131" s="91"/>
      <c r="AC131" s="702">
        <v>2</v>
      </c>
      <c r="AD131" s="701">
        <v>1</v>
      </c>
      <c r="AE131" s="86"/>
      <c r="AF131" s="104" t="str">
        <f ca="1">+INDEX($N$101:$N$147,MATCH(AH131,$J$101:$J$147,0))</f>
        <v>Japón</v>
      </c>
      <c r="AG131" s="308">
        <f ca="1">IF(D131="W"&amp;AH131,0,1)</f>
        <v>1</v>
      </c>
      <c r="AH131" s="184">
        <v>97</v>
      </c>
      <c r="AI131" s="170"/>
      <c r="AJ131" s="136"/>
      <c r="AK131" s="136"/>
      <c r="AL131" s="136"/>
      <c r="AM131" s="141"/>
      <c r="AN131" s="141"/>
      <c r="AO131" s="141"/>
      <c r="AP131" s="141"/>
      <c r="AQ131" s="141"/>
      <c r="AR131" s="141"/>
      <c r="AS131" s="141"/>
      <c r="AT131" s="141"/>
      <c r="AU131" s="315"/>
      <c r="AV131" s="169"/>
      <c r="AW131" s="141"/>
      <c r="AX131" s="141"/>
      <c r="AY131" s="142"/>
      <c r="AZ131" s="143"/>
      <c r="BA131" s="164"/>
    </row>
    <row r="132" spans="1:53" ht="16" customHeight="1" thickBo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29"/>
      <c r="X132" s="24">
        <f ca="1">Horarios!C132</f>
        <v>46213.875</v>
      </c>
      <c r="Y132" s="25">
        <f ca="1">Horarios!C132</f>
        <v>46213.875</v>
      </c>
      <c r="Z132" s="264">
        <f t="shared" si="324"/>
        <v>98</v>
      </c>
      <c r="AA132" s="84" t="str">
        <f t="shared" ca="1" si="325"/>
        <v>España</v>
      </c>
      <c r="AB132" s="85"/>
      <c r="AC132" s="701">
        <v>2</v>
      </c>
      <c r="AD132" s="701">
        <v>1</v>
      </c>
      <c r="AE132" s="85"/>
      <c r="AF132" s="104" t="str">
        <f ca="1">+INDEX($N$101:$N$147,MATCH(AH132,$J$101:$J$147,0))</f>
        <v>Bélgica</v>
      </c>
      <c r="AG132" s="308">
        <f ca="1">IF(D132="W"&amp;AH132,0,1)</f>
        <v>1</v>
      </c>
      <c r="AH132" s="184">
        <v>98</v>
      </c>
      <c r="AI132" s="170"/>
      <c r="AJ132" s="136"/>
      <c r="AK132" s="136"/>
      <c r="AL132" s="136"/>
      <c r="AM132" s="141"/>
      <c r="AN132" s="141"/>
      <c r="AO132" s="141"/>
      <c r="AP132" s="141"/>
      <c r="AQ132" s="141"/>
      <c r="AR132" s="141"/>
      <c r="AS132" s="141"/>
      <c r="AT132" s="141"/>
      <c r="AU132" s="315"/>
      <c r="AV132" s="169"/>
      <c r="AW132" s="141"/>
      <c r="AX132" s="141"/>
      <c r="AY132" s="142"/>
      <c r="AZ132" s="143"/>
      <c r="BA132" s="164"/>
    </row>
    <row r="133" spans="1:53" ht="16" customHeight="1" thickBo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Senegal</v>
      </c>
      <c r="N133" s="16" t="str">
        <f t="shared" ca="1" si="323"/>
        <v>Inglaterra</v>
      </c>
      <c r="O133" s="16"/>
      <c r="P133" s="16"/>
      <c r="Q133" s="16"/>
      <c r="R133" s="16"/>
      <c r="S133" s="16"/>
      <c r="T133" s="16"/>
      <c r="U133" s="16"/>
      <c r="V133" s="17"/>
      <c r="W133" s="629"/>
      <c r="X133" s="24">
        <f ca="1">Horarios!C133</f>
        <v>46214.958333333336</v>
      </c>
      <c r="Y133" s="25">
        <f ca="1">Horarios!C133</f>
        <v>46214.958333333336</v>
      </c>
      <c r="Z133" s="264">
        <f t="shared" si="324"/>
        <v>99</v>
      </c>
      <c r="AA133" s="84" t="str">
        <f t="shared" ca="1" si="325"/>
        <v>Senegal</v>
      </c>
      <c r="AB133" s="85"/>
      <c r="AC133" s="701">
        <v>0</v>
      </c>
      <c r="AD133" s="701">
        <v>2</v>
      </c>
      <c r="AE133" s="85"/>
      <c r="AF133" s="104" t="str">
        <f ca="1">+INDEX($N$101:$N$147,MATCH(AH133,$J$101:$J$147,0))</f>
        <v>Inglaterra</v>
      </c>
      <c r="AG133" s="308">
        <f ca="1">IF(D133="W"&amp;AH133,0,1)</f>
        <v>1</v>
      </c>
      <c r="AH133" s="184">
        <v>99</v>
      </c>
      <c r="AI133" s="170"/>
      <c r="AJ133" s="136"/>
      <c r="AK133" s="136"/>
      <c r="AL133" s="136"/>
      <c r="AM133" s="141"/>
      <c r="AN133" s="141"/>
      <c r="AO133" s="141"/>
      <c r="AP133" s="141"/>
      <c r="AQ133" s="141"/>
      <c r="AR133" s="141"/>
      <c r="AS133" s="141"/>
      <c r="AT133" s="141"/>
      <c r="AU133" s="315"/>
      <c r="AV133" s="169"/>
      <c r="AW133" s="141"/>
      <c r="AX133" s="141"/>
      <c r="AY133" s="142"/>
      <c r="AZ133" s="143"/>
      <c r="BA133" s="164"/>
    </row>
    <row r="134" spans="1:53" ht="16"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0"/>
      <c r="X134" s="28">
        <f ca="1">Horarios!C134</f>
        <v>46215.125</v>
      </c>
      <c r="Y134" s="29">
        <f ca="1">Horarios!C134</f>
        <v>46215.125</v>
      </c>
      <c r="Z134" s="265">
        <f t="shared" si="324"/>
        <v>100</v>
      </c>
      <c r="AA134" s="88" t="str">
        <f t="shared" ca="1" si="325"/>
        <v>Argentina</v>
      </c>
      <c r="AB134" s="89"/>
      <c r="AC134" s="701">
        <v>1</v>
      </c>
      <c r="AD134" s="701">
        <v>2</v>
      </c>
      <c r="AE134" s="89"/>
      <c r="AF134" s="105" t="str">
        <f ca="1">+INDEX($N$101:$N$147,MATCH(AH134,$J$101:$J$147,0))</f>
        <v>Portugal</v>
      </c>
      <c r="AG134" s="308">
        <f ca="1">IF(D134="W"&amp;AH134,0,1)</f>
        <v>1</v>
      </c>
      <c r="AH134" s="184">
        <v>100</v>
      </c>
      <c r="AI134" s="170"/>
      <c r="AJ134" s="136"/>
      <c r="AK134" s="136"/>
      <c r="AL134" s="136"/>
      <c r="AM134" s="141"/>
      <c r="AN134" s="141"/>
      <c r="AO134" s="141"/>
      <c r="AP134" s="141"/>
      <c r="AQ134" s="141"/>
      <c r="AR134" s="141"/>
      <c r="AS134" s="141"/>
      <c r="AT134" s="141"/>
      <c r="AU134" s="315"/>
      <c r="AV134" s="169"/>
      <c r="AW134" s="141"/>
      <c r="AX134" s="141"/>
      <c r="AY134" s="142"/>
      <c r="AZ134" s="143"/>
      <c r="BA134" s="164"/>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2"/>
      <c r="X135" s="143"/>
      <c r="Y135" s="142"/>
      <c r="Z135" s="144"/>
      <c r="AA135" s="145"/>
      <c r="AB135" s="146"/>
      <c r="AC135" s="139"/>
      <c r="AD135" s="139"/>
      <c r="AE135" s="146"/>
      <c r="AF135" s="147"/>
      <c r="AG135" s="309"/>
      <c r="AH135" s="185"/>
      <c r="AI135" s="170"/>
      <c r="AJ135" s="136"/>
      <c r="AK135" s="136"/>
      <c r="AL135" s="136"/>
      <c r="AM135" s="141"/>
      <c r="AN135" s="141"/>
      <c r="AO135" s="141"/>
      <c r="AP135" s="141"/>
      <c r="AQ135" s="141"/>
      <c r="AR135" s="141"/>
      <c r="AS135" s="141"/>
      <c r="AT135" s="141"/>
      <c r="AU135" s="315"/>
      <c r="AV135" s="169"/>
      <c r="AW135" s="141"/>
      <c r="AX135" s="141"/>
      <c r="AY135" s="142"/>
      <c r="AZ135" s="143"/>
      <c r="BA135" s="164"/>
    </row>
    <row r="136" spans="1:53" ht="16"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6" t="str">
        <f>Idiomas!D30</f>
        <v>Semifinales</v>
      </c>
      <c r="X136" s="107"/>
      <c r="Y136" s="108"/>
      <c r="Z136" s="108"/>
      <c r="AA136" s="108"/>
      <c r="AB136" s="108"/>
      <c r="AC136" s="108"/>
      <c r="AD136" s="108"/>
      <c r="AE136" s="108"/>
      <c r="AF136" s="109"/>
      <c r="AG136" s="309"/>
      <c r="AH136" s="185"/>
      <c r="AI136" s="170"/>
      <c r="AJ136" s="136"/>
      <c r="AK136" s="136"/>
      <c r="AL136" s="136"/>
      <c r="AM136" s="141"/>
      <c r="AN136" s="141"/>
      <c r="AO136" s="141"/>
      <c r="AP136" s="141"/>
      <c r="AQ136" s="141"/>
      <c r="AR136" s="141"/>
      <c r="AS136" s="141"/>
      <c r="AT136" s="141"/>
      <c r="AU136" s="315"/>
      <c r="AV136" s="169"/>
      <c r="AW136" s="141"/>
      <c r="AX136" s="141"/>
      <c r="AY136" s="142"/>
      <c r="AZ136" s="143"/>
      <c r="BA136" s="164"/>
    </row>
    <row r="137" spans="1:53" ht="16"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6"/>
      <c r="X137" s="65" t="str">
        <f>X3</f>
        <v>Fecha</v>
      </c>
      <c r="Y137" s="65" t="str">
        <f>Y3</f>
        <v>Hora</v>
      </c>
      <c r="Z137" s="63"/>
      <c r="AA137" s="64" t="str">
        <f>AA3</f>
        <v>Casa</v>
      </c>
      <c r="AB137" s="63" t="s">
        <v>13</v>
      </c>
      <c r="AC137" s="65" t="s">
        <v>18</v>
      </c>
      <c r="AD137" s="65" t="s">
        <v>18</v>
      </c>
      <c r="AE137" s="63" t="s">
        <v>13</v>
      </c>
      <c r="AF137" s="92" t="str">
        <f>AF3</f>
        <v>Fuera</v>
      </c>
      <c r="AG137" s="309"/>
      <c r="AH137" s="185"/>
      <c r="AI137" s="170"/>
      <c r="AJ137" s="136"/>
      <c r="AK137" s="136"/>
      <c r="AL137" s="136"/>
      <c r="AM137" s="141"/>
      <c r="AN137" s="141"/>
      <c r="AO137" s="141"/>
      <c r="AP137" s="141"/>
      <c r="AQ137" s="141"/>
      <c r="AR137" s="141"/>
      <c r="AS137" s="141"/>
      <c r="AT137" s="141"/>
      <c r="AU137" s="315"/>
      <c r="AV137" s="169"/>
      <c r="AW137" s="141"/>
      <c r="AX137" s="141"/>
      <c r="AY137" s="142"/>
      <c r="AZ137" s="143"/>
      <c r="BA137" s="164"/>
    </row>
    <row r="138" spans="1:53" ht="16" customHeight="1" thickBo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1" t="s">
        <v>37</v>
      </c>
      <c r="X138" s="24">
        <f ca="1">Horarios!C138</f>
        <v>46217.875</v>
      </c>
      <c r="Y138" s="25">
        <f ca="1">Horarios!C138</f>
        <v>46217.875</v>
      </c>
      <c r="Z138" s="264">
        <f t="shared" ref="Z138:Z139" si="326">AH138</f>
        <v>101</v>
      </c>
      <c r="AA138" s="84" t="str">
        <f t="shared" ref="AA138:AA139" ca="1" si="327">+INDEX($M$101:$M$147,MATCH(AH138,$J$101:$J$147,0))</f>
        <v>Francia</v>
      </c>
      <c r="AB138" s="85">
        <v>3</v>
      </c>
      <c r="AC138" s="701">
        <v>2</v>
      </c>
      <c r="AD138" s="701">
        <v>2</v>
      </c>
      <c r="AE138" s="85">
        <v>4</v>
      </c>
      <c r="AF138" s="104" t="str">
        <f ca="1">+INDEX($N$101:$N$147,MATCH(AH138,$J$101:$J$147,0))</f>
        <v>España</v>
      </c>
      <c r="AG138" s="308">
        <f ca="1">IF(D138="W"&amp;AH138,0,1)</f>
        <v>1</v>
      </c>
      <c r="AH138" s="184">
        <v>101</v>
      </c>
      <c r="AI138" s="170"/>
      <c r="AJ138" s="136"/>
      <c r="AK138" s="136"/>
      <c r="AL138" s="136"/>
      <c r="AM138" s="141"/>
      <c r="AN138" s="141"/>
      <c r="AO138" s="141"/>
      <c r="AP138" s="141"/>
      <c r="AQ138" s="141"/>
      <c r="AR138" s="141"/>
      <c r="AS138" s="141"/>
      <c r="AT138" s="141"/>
      <c r="AU138" s="315"/>
      <c r="AV138" s="169"/>
      <c r="AW138" s="141"/>
      <c r="AX138" s="141"/>
      <c r="AY138" s="142"/>
      <c r="AZ138" s="143"/>
      <c r="BA138" s="164"/>
    </row>
    <row r="139" spans="1:53" ht="16"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32"/>
      <c r="X139" s="111">
        <f ca="1">Horarios!C139</f>
        <v>46218.875</v>
      </c>
      <c r="Y139" s="112">
        <f ca="1">Horarios!C139</f>
        <v>46218.875</v>
      </c>
      <c r="Z139" s="266">
        <f t="shared" si="326"/>
        <v>102</v>
      </c>
      <c r="AA139" s="127" t="str">
        <f t="shared" ca="1" si="327"/>
        <v>Inglaterra</v>
      </c>
      <c r="AB139" s="128"/>
      <c r="AC139" s="701">
        <v>1</v>
      </c>
      <c r="AD139" s="701">
        <v>2</v>
      </c>
      <c r="AE139" s="128"/>
      <c r="AF139" s="129" t="str">
        <f ca="1">+INDEX($N$101:$N$147,MATCH(AH139,$J$101:$J$147,0))</f>
        <v>Portugal</v>
      </c>
      <c r="AG139" s="308">
        <f ca="1">IF(D139="W"&amp;AH139,0,1)</f>
        <v>1</v>
      </c>
      <c r="AH139" s="184">
        <v>102</v>
      </c>
      <c r="AI139" s="170"/>
      <c r="AJ139" s="136"/>
      <c r="AK139" s="136"/>
      <c r="AL139" s="136"/>
      <c r="AM139" s="141"/>
      <c r="AN139" s="141"/>
      <c r="AO139" s="141"/>
      <c r="AP139" s="141"/>
      <c r="AQ139" s="141"/>
      <c r="AR139" s="141"/>
      <c r="AS139" s="141"/>
      <c r="AT139" s="141"/>
      <c r="AU139" s="315"/>
      <c r="AV139" s="169"/>
      <c r="AW139" s="141"/>
      <c r="AX139" s="141"/>
      <c r="AY139" s="142"/>
      <c r="AZ139" s="143"/>
      <c r="BA139" s="164"/>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2"/>
      <c r="X140" s="143"/>
      <c r="Y140" s="142"/>
      <c r="Z140" s="144"/>
      <c r="AA140" s="145"/>
      <c r="AB140" s="146"/>
      <c r="AC140" s="139"/>
      <c r="AD140" s="139"/>
      <c r="AE140" s="146"/>
      <c r="AF140" s="147"/>
      <c r="AG140" s="309"/>
      <c r="AH140" s="185"/>
      <c r="AI140" s="170"/>
      <c r="AJ140" s="136"/>
      <c r="AK140" s="136"/>
      <c r="AL140" s="136"/>
      <c r="AM140" s="141"/>
      <c r="AN140" s="141"/>
      <c r="AO140" s="141"/>
      <c r="AP140" s="141"/>
      <c r="AQ140" s="141"/>
      <c r="AR140" s="141"/>
      <c r="AS140" s="141"/>
      <c r="AT140" s="141"/>
      <c r="AU140" s="315"/>
      <c r="AV140" s="169"/>
      <c r="AW140" s="141"/>
      <c r="AX140" s="141"/>
      <c r="AY140" s="142"/>
      <c r="AZ140" s="143"/>
      <c r="BA140" s="164"/>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6" t="str">
        <f>Idiomas!D31</f>
        <v>3º y 4º puesto</v>
      </c>
      <c r="X141" s="107"/>
      <c r="Y141" s="108"/>
      <c r="Z141" s="108"/>
      <c r="AA141" s="108"/>
      <c r="AB141" s="108"/>
      <c r="AC141" s="108"/>
      <c r="AD141" s="108"/>
      <c r="AE141" s="108"/>
      <c r="AF141" s="109"/>
      <c r="AG141" s="309"/>
      <c r="AH141" s="185"/>
      <c r="AI141" s="170"/>
      <c r="AJ141" s="136"/>
      <c r="AK141" s="136"/>
      <c r="AL141" s="136"/>
      <c r="AM141" s="141"/>
      <c r="AN141" s="141"/>
      <c r="AO141" s="141"/>
      <c r="AP141" s="141"/>
      <c r="AQ141" s="164"/>
      <c r="AR141" s="141"/>
      <c r="AS141" s="141"/>
      <c r="AT141" s="141"/>
      <c r="AU141" s="315"/>
      <c r="AV141" s="169"/>
      <c r="AW141" s="141"/>
      <c r="AX141" s="141"/>
      <c r="AY141" s="142"/>
      <c r="AZ141" s="143"/>
      <c r="BA141" s="164"/>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0"/>
      <c r="X142" s="65" t="str">
        <f>X3</f>
        <v>Fecha</v>
      </c>
      <c r="Y142" s="65" t="str">
        <f>Y3</f>
        <v>Hora</v>
      </c>
      <c r="Z142" s="63"/>
      <c r="AA142" s="64" t="str">
        <f>AA3</f>
        <v>Casa</v>
      </c>
      <c r="AB142" s="63" t="s">
        <v>13</v>
      </c>
      <c r="AC142" s="65" t="str">
        <f>AC3</f>
        <v>Gol</v>
      </c>
      <c r="AD142" s="65" t="str">
        <f>AD3</f>
        <v>Gol</v>
      </c>
      <c r="AE142" s="63" t="s">
        <v>13</v>
      </c>
      <c r="AF142" s="92" t="str">
        <f>AF3</f>
        <v>Fuera</v>
      </c>
      <c r="AG142" s="309"/>
      <c r="AH142" s="185"/>
      <c r="AI142" s="170"/>
      <c r="AJ142" s="136"/>
      <c r="AK142" s="136"/>
      <c r="AL142" s="136"/>
      <c r="AM142" s="141"/>
      <c r="AN142" s="141"/>
      <c r="AO142" s="141"/>
      <c r="AP142" s="141"/>
      <c r="AQ142" s="141"/>
      <c r="AR142" s="141"/>
      <c r="AS142" s="141"/>
      <c r="AT142" s="141"/>
      <c r="AU142" s="315"/>
      <c r="AV142" s="169"/>
      <c r="AW142" s="141"/>
      <c r="AX142" s="141"/>
      <c r="AY142" s="142"/>
      <c r="AZ142" s="143"/>
      <c r="BA142" s="164"/>
    </row>
    <row r="143" spans="1:53" ht="16" customHeight="1" thickBot="1">
      <c r="A143" s="16" t="s">
        <v>770</v>
      </c>
      <c r="B143" s="16" t="s">
        <v>771</v>
      </c>
      <c r="C143" s="16"/>
      <c r="D143" s="16" t="str">
        <f ca="1">IF(AND(OR(AC143="",AD143="")),"W"&amp;AH143,IF(AC143&gt;AD143,AA143,IF(AC143&lt;AD143,AF143,IF(AND(AC143=AD143,AB143=AE143),"W"&amp;AH143,IF(AND(AC143=AD143,OR(AB143="",AE143="")),"W"&amp;AH143,IF(AND(AC143=AD143,AB143&gt;AE143),AA143,AF143))))))</f>
        <v>Inglaterra</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0" t="s">
        <v>503</v>
      </c>
      <c r="X143" s="111">
        <f ca="1">Horarios!C143</f>
        <v>46221.958333333336</v>
      </c>
      <c r="Y143" s="112">
        <f ca="1">Horarios!C143</f>
        <v>46221.958333333336</v>
      </c>
      <c r="Z143" s="267">
        <f>AH143</f>
        <v>103</v>
      </c>
      <c r="AA143" s="94" t="str">
        <f ca="1">IF(AND(OR(AC138="",AD138="")),"L101",IF(AC138&gt;AD138,AF138,IF(AC138&lt;AD138,AA138,IF(AND(AC138=AD138,AB138=AE138),"L101",IF(AND(AC138=AD138,OR(AB138="",AE138="")),"L101",IF(AND(AC138=AD138,AB138&gt;AE138),AF138,AA138))))))</f>
        <v>Francia</v>
      </c>
      <c r="AB143" s="204"/>
      <c r="AC143" s="95">
        <v>1</v>
      </c>
      <c r="AD143" s="95">
        <v>2</v>
      </c>
      <c r="AE143" s="204"/>
      <c r="AF143" s="96" t="str">
        <f ca="1">IF(AND(OR(AC139="",AD139="")),"L102",IF(AC139&gt;AD139,AF139,IF(AC139&lt;AD139,AA139,IF(AND(AC139=AD139,AB139=AE139),"L102",IF(AND(AC139=AD139,OR(AB139="",AE139="")),"L102",IF(AND(AC139=AD139,AB139&gt;AE139),AF139,AA139))))))</f>
        <v>Inglaterra</v>
      </c>
      <c r="AG143" s="308">
        <f ca="1">IF(D143="W"&amp;AH143,0,1)</f>
        <v>1</v>
      </c>
      <c r="AH143" s="184">
        <v>103</v>
      </c>
      <c r="AI143" s="170"/>
      <c r="AJ143" s="136"/>
      <c r="AK143" s="136"/>
      <c r="AL143" s="136"/>
      <c r="AM143" s="141"/>
      <c r="AN143" s="141"/>
      <c r="AO143" s="141"/>
      <c r="AP143" s="141"/>
      <c r="AQ143" s="141"/>
      <c r="AR143" s="141"/>
      <c r="AS143" s="141"/>
      <c r="AT143" s="141"/>
      <c r="AU143" s="315"/>
      <c r="AV143" s="169"/>
      <c r="AW143" s="141"/>
      <c r="AX143" s="141"/>
      <c r="AY143" s="142"/>
      <c r="AZ143" s="143"/>
      <c r="BA143" s="164"/>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2"/>
      <c r="X144" s="143"/>
      <c r="Y144" s="142"/>
      <c r="Z144" s="144"/>
      <c r="AA144" s="145"/>
      <c r="AB144" s="146"/>
      <c r="AC144" s="139"/>
      <c r="AD144" s="139"/>
      <c r="AE144" s="146"/>
      <c r="AF144" s="147"/>
      <c r="AG144" s="309"/>
      <c r="AH144" s="184"/>
      <c r="AI144" s="170"/>
      <c r="AJ144" s="136"/>
      <c r="AK144" s="136"/>
      <c r="AL144" s="136"/>
      <c r="AM144" s="141"/>
      <c r="AN144" s="141"/>
      <c r="AO144" s="141"/>
      <c r="AP144" s="141"/>
      <c r="AQ144" s="141"/>
      <c r="AR144" s="141"/>
      <c r="AS144" s="141"/>
      <c r="AT144" s="141"/>
      <c r="AU144" s="315"/>
      <c r="AV144" s="169"/>
      <c r="AW144" s="141"/>
      <c r="AX144" s="141"/>
      <c r="AY144" s="142"/>
      <c r="AZ144" s="143"/>
      <c r="BA144" s="164"/>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6" t="str">
        <f>Idiomas!D32</f>
        <v>Final</v>
      </c>
      <c r="X145" s="107"/>
      <c r="Y145" s="108"/>
      <c r="Z145" s="108"/>
      <c r="AA145" s="125"/>
      <c r="AB145" s="108"/>
      <c r="AC145" s="108"/>
      <c r="AD145" s="108"/>
      <c r="AE145" s="108"/>
      <c r="AF145" s="109"/>
      <c r="AG145" s="309"/>
      <c r="AH145" s="184"/>
      <c r="AI145" s="170"/>
      <c r="AJ145" s="136"/>
      <c r="AK145" s="136"/>
      <c r="AL145" s="136"/>
      <c r="AM145" s="141"/>
      <c r="AN145" s="141"/>
      <c r="AO145" s="141"/>
      <c r="AP145" s="141"/>
      <c r="AQ145" s="141"/>
      <c r="AR145" s="141"/>
      <c r="AS145" s="141"/>
      <c r="AT145" s="141"/>
      <c r="AU145" s="315"/>
      <c r="AV145" s="169"/>
      <c r="AW145" s="141"/>
      <c r="AX145" s="141"/>
      <c r="AY145" s="142"/>
      <c r="AZ145" s="143"/>
      <c r="BA145" s="164"/>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6"/>
      <c r="X146" s="65" t="str">
        <f>X3</f>
        <v>Fecha</v>
      </c>
      <c r="Y146" s="65" t="str">
        <f>Y3</f>
        <v>Hora</v>
      </c>
      <c r="Z146" s="63"/>
      <c r="AA146" s="64" t="str">
        <f>AA3</f>
        <v>Casa</v>
      </c>
      <c r="AB146" s="63" t="s">
        <v>13</v>
      </c>
      <c r="AC146" s="65" t="s">
        <v>18</v>
      </c>
      <c r="AD146" s="65" t="s">
        <v>18</v>
      </c>
      <c r="AE146" s="63" t="s">
        <v>13</v>
      </c>
      <c r="AF146" s="92" t="str">
        <f>AF3</f>
        <v>Fuera</v>
      </c>
      <c r="AG146" s="309"/>
      <c r="AH146" s="184"/>
      <c r="AI146" s="167"/>
      <c r="AJ146" s="133"/>
      <c r="AK146" s="133"/>
      <c r="AL146" s="136"/>
      <c r="AM146" s="141"/>
      <c r="AN146" s="141"/>
      <c r="AO146" s="141"/>
      <c r="AP146" s="141"/>
      <c r="AQ146" s="141"/>
      <c r="AR146" s="141"/>
      <c r="AS146" s="141"/>
      <c r="AT146" s="141"/>
      <c r="AU146" s="315"/>
      <c r="AV146" s="169"/>
      <c r="AW146" s="141"/>
      <c r="AX146" s="141"/>
      <c r="AY146" s="142"/>
      <c r="AZ146" s="143"/>
      <c r="BA146" s="164"/>
    </row>
    <row r="147" spans="1:53" ht="16"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1" t="s">
        <v>4</v>
      </c>
      <c r="X147" s="111">
        <f ca="1">Horarios!C147</f>
        <v>46222.875</v>
      </c>
      <c r="Y147" s="112">
        <f ca="1">Horarios!C147</f>
        <v>46222.875</v>
      </c>
      <c r="Z147" s="267">
        <f>AH147</f>
        <v>104</v>
      </c>
      <c r="AA147" s="94" t="str">
        <f ca="1">IF(AND(OR(AC138="",AD138="")),"W"&amp;AH138,IF(AC138&gt;AD138,AA138,IF(AC138&lt;AD138,AF138,IF(AND(AC138=AD138,AB138=AE138),"W"&amp;AH138,IF(AND(AC138=AD138,OR(AB138="",AE138="")),"W"&amp;AH138,IF(AND(AC138=AD138,AB138&gt;AE138),AA138,AF138))))))</f>
        <v>España</v>
      </c>
      <c r="AB147" s="204"/>
      <c r="AC147" s="95">
        <v>2</v>
      </c>
      <c r="AD147" s="95">
        <v>1</v>
      </c>
      <c r="AE147" s="204"/>
      <c r="AF147" s="96" t="str">
        <f ca="1">IF(AND(OR(AC139="",AD139="")),"W"&amp;AH139,IF(AC139&gt;AD139,AA139,IF(AC139&lt;AD139,AF139,IF(AND(AC139=AD139,AB139=AE139),"W"&amp;AH139,IF(AND(AC139=AD139,OR(AB139="",AE139="")),"W"&amp;AH139,IF(AND(AC139=AD139,AB139&gt;AE139),AA139,AF139))))))</f>
        <v>Portugal</v>
      </c>
      <c r="AG147" s="308">
        <f ca="1">IF(D147="W"&amp;AH147,0,1)</f>
        <v>1</v>
      </c>
      <c r="AH147" s="184">
        <v>104</v>
      </c>
      <c r="AI147" s="167"/>
      <c r="AJ147" s="133"/>
      <c r="AK147" s="133"/>
      <c r="AL147" s="136"/>
      <c r="AM147" s="133"/>
      <c r="AN147" s="133"/>
      <c r="AO147" s="133"/>
      <c r="AP147" s="134"/>
      <c r="AQ147" s="134"/>
      <c r="AR147" s="134"/>
      <c r="AS147" s="134"/>
      <c r="AT147" s="134"/>
      <c r="AU147" s="176"/>
      <c r="AV147" s="176"/>
      <c r="AW147" s="136"/>
      <c r="AX147" s="136"/>
      <c r="AY147" s="142"/>
      <c r="AZ147" s="143"/>
      <c r="BA147" s="164"/>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2"/>
      <c r="X148" s="143"/>
      <c r="Y148" s="142"/>
      <c r="Z148" s="144"/>
      <c r="AA148" s="145"/>
      <c r="AB148" s="146"/>
      <c r="AC148" s="139"/>
      <c r="AD148" s="139"/>
      <c r="AE148" s="146"/>
      <c r="AF148" s="147"/>
      <c r="AG148" s="309"/>
      <c r="AH148" s="171"/>
      <c r="AI148" s="171"/>
      <c r="AJ148" s="141"/>
      <c r="AK148" s="141"/>
      <c r="AL148" s="169" t="str">
        <f>Idiomas!D47</f>
        <v>PORRA INCOMPLETA:</v>
      </c>
      <c r="AM148" s="169" t="str">
        <f>Idiomas!D48</f>
        <v>Aún falta alguna apuesta</v>
      </c>
      <c r="AN148" s="141"/>
      <c r="AO148" s="141"/>
      <c r="AP148" s="141"/>
      <c r="AQ148" s="141"/>
      <c r="AR148" s="141"/>
      <c r="AS148" s="141"/>
      <c r="AT148" s="141"/>
      <c r="AU148" s="315"/>
      <c r="AV148" s="169"/>
      <c r="AW148" s="141"/>
      <c r="AX148" s="141"/>
      <c r="AY148" s="142"/>
      <c r="AZ148" s="143"/>
      <c r="BA148" s="164"/>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3"/>
      <c r="X149" s="114"/>
      <c r="Y149" s="115"/>
      <c r="Z149" s="115"/>
      <c r="AA149" s="116" t="str">
        <f>Idiomas!D33</f>
        <v>Cuadro de honor</v>
      </c>
      <c r="AB149" s="115"/>
      <c r="AC149" s="114"/>
      <c r="AD149" s="114"/>
      <c r="AE149" s="115"/>
      <c r="AF149" s="117"/>
      <c r="AG149" s="310"/>
      <c r="AH149" s="172"/>
      <c r="AI149" s="171"/>
      <c r="AJ149" s="141"/>
      <c r="AK149" s="141"/>
      <c r="AL149" s="169" t="str">
        <f>Idiomas!D49</f>
        <v>PORRA COMPLETA:</v>
      </c>
      <c r="AM149" s="169" t="str">
        <f>Idiomas!D50</f>
        <v>Guarda el archivo y envialo al administrador de tu porra</v>
      </c>
      <c r="AN149" s="141"/>
      <c r="AO149" s="141"/>
      <c r="AP149" s="141"/>
      <c r="AQ149" s="141"/>
      <c r="AR149" s="141"/>
      <c r="AS149" s="141"/>
      <c r="AT149" s="141"/>
      <c r="AU149" s="315"/>
      <c r="AV149" s="169"/>
      <c r="AW149" s="141"/>
      <c r="AX149" s="141"/>
      <c r="AY149" s="142"/>
      <c r="AZ149" s="143"/>
      <c r="BA149" s="164"/>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18" t="str">
        <f>"🥇"&amp;Idiomas!D34</f>
        <v>🥇Campeón</v>
      </c>
      <c r="X150" s="103"/>
      <c r="Y150" s="102"/>
      <c r="Z150" s="102"/>
      <c r="AA150" s="205" t="str">
        <f ca="1">IF(AND(OR(AC147="",AD147="")),"WF",IF(AC147&gt;AD147,AA147,IF(AC147&lt;AD147,AF147,IF(AND(AC147=AD147,AB147=AE147),"WF",IF(AND(AC147=AD147,OR(AB147="",AE147="")),"WF",IF(AND(AC147=AD147,AB147&gt;AE147),AA147,AF147))))))</f>
        <v>España</v>
      </c>
      <c r="AB150" s="120"/>
      <c r="AC150" s="120"/>
      <c r="AD150" s="120"/>
      <c r="AE150" s="120"/>
      <c r="AF150" s="121"/>
      <c r="AG150" s="308">
        <f ca="1">IF(AA150="WF",0,1)</f>
        <v>1</v>
      </c>
      <c r="AH150" s="172"/>
      <c r="AI150" s="172"/>
      <c r="AJ150" s="133"/>
      <c r="AK150" s="133"/>
      <c r="AL150" s="133"/>
      <c r="AM150" s="133"/>
      <c r="AN150" s="133"/>
      <c r="AO150" s="133"/>
      <c r="AP150" s="133"/>
      <c r="AQ150" s="133"/>
      <c r="AR150" s="133"/>
      <c r="AS150" s="133"/>
      <c r="AT150" s="133"/>
      <c r="AU150" s="313"/>
      <c r="AV150" s="172"/>
      <c r="AW150" s="133"/>
      <c r="AX150" s="133"/>
      <c r="AY150" s="142"/>
      <c r="AZ150" s="143"/>
      <c r="BA150" s="164"/>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18" t="str">
        <f>"🥈"&amp;Idiomas!D35</f>
        <v>🥈Subcampeón</v>
      </c>
      <c r="X151" s="103"/>
      <c r="Y151" s="102"/>
      <c r="Z151" s="102"/>
      <c r="AA151" s="206" t="str">
        <f ca="1">IF(AND(OR(AC147="",AD147="")),"LF",IF(AC147&gt;AD147,AF147,IF(AC147&lt;AD147,AA147,IF(AND(AC147=AD147,AB147=AE147),"LF",IF(AND(AC147=AD147,OR(AB147="",AE147="")),"LF",IF(AND(AC147=AD147,AB147&gt;AE147),AF147,AA147))))))</f>
        <v>Portugal</v>
      </c>
      <c r="AB151" s="101"/>
      <c r="AC151" s="101"/>
      <c r="AD151" s="101"/>
      <c r="AE151" s="101"/>
      <c r="AF151" s="97"/>
      <c r="AG151" s="308">
        <f ca="1">IF(AA151="LF",0,1)</f>
        <v>1</v>
      </c>
      <c r="AH151" s="172"/>
      <c r="AI151" s="172"/>
      <c r="AJ151" s="640" t="str">
        <f ca="1">IF(SUM(COUNTIF(AG4:AG97,0),COUNTIF(AG101:AG156,0)&gt;0),AL148,AL149)</f>
        <v>PORRA COMPLETA:</v>
      </c>
      <c r="AK151" s="641"/>
      <c r="AL151" s="641"/>
      <c r="AM151" s="641"/>
      <c r="AN151" s="641"/>
      <c r="AO151" s="641"/>
      <c r="AP151" s="641"/>
      <c r="AQ151" s="641"/>
      <c r="AR151" s="641"/>
      <c r="AS151" s="641"/>
      <c r="AT151" s="641"/>
      <c r="AU151" s="642"/>
      <c r="AV151" s="181"/>
      <c r="AW151" s="143"/>
      <c r="AX151" s="142"/>
      <c r="AY151" s="144"/>
      <c r="AZ151" s="145"/>
      <c r="BA151" s="164"/>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19" t="str">
        <f>"🥉"&amp;Idiomas!D36</f>
        <v>🥉3º puesto</v>
      </c>
      <c r="X152" s="98"/>
      <c r="Y152" s="99"/>
      <c r="Z152" s="99"/>
      <c r="AA152" s="207" t="str">
        <f ca="1">IF(AND(OR(AC143="",AD143="")),"W34",IF(AC143&gt;AD143,AA143,IF(AC143&lt;AD143,AF143,IF(AND(AC143=AD143,AB143=AE143),"W34",IF(AND(AC143=AD143,OR(AB143="",AE143="")),"W34",IF(AND(AC143=AD143,AB143&gt;AE143),AA143,AF143))))))</f>
        <v>Inglaterra</v>
      </c>
      <c r="AB152" s="100"/>
      <c r="AC152" s="100"/>
      <c r="AD152" s="100"/>
      <c r="AE152" s="100"/>
      <c r="AF152" s="93"/>
      <c r="AG152" s="308">
        <f ca="1">IF(AA152="W34",0,1)</f>
        <v>1</v>
      </c>
      <c r="AH152" s="172"/>
      <c r="AI152" s="172"/>
      <c r="AJ152" s="643"/>
      <c r="AK152" s="644"/>
      <c r="AL152" s="644"/>
      <c r="AM152" s="644"/>
      <c r="AN152" s="644"/>
      <c r="AO152" s="644"/>
      <c r="AP152" s="644"/>
      <c r="AQ152" s="644"/>
      <c r="AR152" s="644"/>
      <c r="AS152" s="644"/>
      <c r="AT152" s="644"/>
      <c r="AU152" s="645"/>
      <c r="AV152" s="181"/>
      <c r="AW152" s="143"/>
      <c r="AX152" s="142"/>
      <c r="AY152" s="144"/>
      <c r="AZ152" s="145"/>
      <c r="BA152" s="164"/>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2"/>
      <c r="X153" s="143"/>
      <c r="Y153" s="142"/>
      <c r="Z153" s="144"/>
      <c r="AA153" s="145"/>
      <c r="AB153" s="146"/>
      <c r="AC153" s="139"/>
      <c r="AD153" s="139"/>
      <c r="AE153" s="146"/>
      <c r="AF153" s="147"/>
      <c r="AG153" s="306"/>
      <c r="AH153" s="172"/>
      <c r="AI153" s="172"/>
      <c r="AJ153" s="643"/>
      <c r="AK153" s="644"/>
      <c r="AL153" s="644"/>
      <c r="AM153" s="644"/>
      <c r="AN153" s="644"/>
      <c r="AO153" s="644"/>
      <c r="AP153" s="644"/>
      <c r="AQ153" s="644"/>
      <c r="AR153" s="644"/>
      <c r="AS153" s="644"/>
      <c r="AT153" s="644"/>
      <c r="AU153" s="645"/>
      <c r="AV153" s="181"/>
      <c r="AW153" s="143"/>
      <c r="AX153" s="142"/>
      <c r="AY153" s="144"/>
      <c r="AZ153" s="145"/>
      <c r="BA153" s="164"/>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2" t="str">
        <f>Idiomas!D37</f>
        <v>Bota de Oro  (máximo goleador)</v>
      </c>
      <c r="X154" s="123"/>
      <c r="Y154" s="123"/>
      <c r="Z154" s="124"/>
      <c r="AA154" s="208" t="s">
        <v>1534</v>
      </c>
      <c r="AB154" s="136"/>
      <c r="AC154" s="136"/>
      <c r="AD154" s="136"/>
      <c r="AE154" s="136"/>
      <c r="AF154" s="136"/>
      <c r="AG154" s="308">
        <f>IF(AA154=$AH$154,0,IF(AA154="",0,1))</f>
        <v>1</v>
      </c>
      <c r="AH154" s="186" t="str">
        <f>Idiomas!D43</f>
        <v>Escribe un jugador</v>
      </c>
      <c r="AI154" s="172"/>
      <c r="AJ154" s="643"/>
      <c r="AK154" s="644"/>
      <c r="AL154" s="644"/>
      <c r="AM154" s="644"/>
      <c r="AN154" s="644"/>
      <c r="AO154" s="644"/>
      <c r="AP154" s="644"/>
      <c r="AQ154" s="644"/>
      <c r="AR154" s="644"/>
      <c r="AS154" s="644"/>
      <c r="AT154" s="644"/>
      <c r="AU154" s="645"/>
      <c r="AV154" s="181"/>
      <c r="AW154" s="143"/>
      <c r="AX154" s="142"/>
      <c r="AY154" s="144"/>
      <c r="AZ154" s="145"/>
      <c r="BA154" s="164"/>
    </row>
    <row r="155" spans="1:53" ht="16"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2"/>
      <c r="X155" s="143"/>
      <c r="Y155" s="142"/>
      <c r="Z155" s="144"/>
      <c r="AA155" s="145"/>
      <c r="AB155" s="146"/>
      <c r="AC155" s="139"/>
      <c r="AD155" s="139"/>
      <c r="AE155" s="146"/>
      <c r="AF155" s="147"/>
      <c r="AG155" s="308"/>
      <c r="AH155" s="172"/>
      <c r="AI155" s="172"/>
      <c r="AJ155" s="607" t="str">
        <f ca="1">IF(SUM(COUNTIF(AG4:AG97,0),COUNTIF(AG101:AG156,0)&gt;0),AM148,AM149)</f>
        <v>Guarda el archivo y envialo al administrador de tu porra</v>
      </c>
      <c r="AK155" s="608"/>
      <c r="AL155" s="608"/>
      <c r="AM155" s="608"/>
      <c r="AN155" s="608"/>
      <c r="AO155" s="608"/>
      <c r="AP155" s="608"/>
      <c r="AQ155" s="608"/>
      <c r="AR155" s="608"/>
      <c r="AS155" s="608"/>
      <c r="AT155" s="608"/>
      <c r="AU155" s="609"/>
      <c r="AV155" s="181"/>
      <c r="AW155" s="143"/>
      <c r="AX155" s="142"/>
      <c r="AY155" s="144"/>
      <c r="AZ155" s="145"/>
      <c r="BA155" s="164"/>
    </row>
    <row r="156" spans="1:53" ht="16"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2" t="str">
        <f>Idiomas!D40</f>
        <v>Balón de Oro  (mejor jugador)</v>
      </c>
      <c r="X156" s="123"/>
      <c r="Y156" s="123"/>
      <c r="Z156" s="124"/>
      <c r="AA156" s="13" t="s">
        <v>1535</v>
      </c>
      <c r="AB156" s="139" t="s">
        <v>1533</v>
      </c>
      <c r="AC156" s="139"/>
      <c r="AD156" s="136"/>
      <c r="AE156" s="136"/>
      <c r="AF156" s="136"/>
      <c r="AG156" s="308">
        <f>IF(AA156=$AH$154,0,IF(AA156="",0,1))</f>
        <v>1</v>
      </c>
      <c r="AH156" s="172"/>
      <c r="AI156" s="172"/>
      <c r="AJ156" s="607"/>
      <c r="AK156" s="608"/>
      <c r="AL156" s="608"/>
      <c r="AM156" s="608"/>
      <c r="AN156" s="608"/>
      <c r="AO156" s="608"/>
      <c r="AP156" s="608"/>
      <c r="AQ156" s="608"/>
      <c r="AR156" s="608"/>
      <c r="AS156" s="608"/>
      <c r="AT156" s="608"/>
      <c r="AU156" s="609"/>
      <c r="AV156" s="181"/>
      <c r="AW156" s="143"/>
      <c r="AX156" s="142"/>
      <c r="AY156" s="144"/>
      <c r="AZ156" s="145"/>
      <c r="BA156" s="164"/>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2"/>
      <c r="X157" s="142"/>
      <c r="Y157" s="143"/>
      <c r="Z157" s="142"/>
      <c r="AA157" s="144"/>
      <c r="AB157" s="145"/>
      <c r="AC157" s="146"/>
      <c r="AD157" s="139"/>
      <c r="AE157" s="139"/>
      <c r="AF157" s="146"/>
      <c r="AG157" s="133"/>
      <c r="AH157" s="172"/>
      <c r="AI157" s="172"/>
      <c r="AJ157" s="610"/>
      <c r="AK157" s="611"/>
      <c r="AL157" s="611"/>
      <c r="AM157" s="611"/>
      <c r="AN157" s="611"/>
      <c r="AO157" s="611"/>
      <c r="AP157" s="611"/>
      <c r="AQ157" s="611"/>
      <c r="AR157" s="611"/>
      <c r="AS157" s="611"/>
      <c r="AT157" s="611"/>
      <c r="AU157" s="612"/>
      <c r="AV157" s="181"/>
      <c r="AW157" s="143"/>
      <c r="AX157" s="142"/>
      <c r="AY157" s="144"/>
      <c r="AZ157" s="145"/>
      <c r="BA157" s="164"/>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1"/>
      <c r="X158" s="142"/>
      <c r="Y158" s="143"/>
      <c r="Z158" s="142"/>
      <c r="AA158" s="142"/>
      <c r="AB158" s="145"/>
      <c r="AC158" s="146"/>
      <c r="AD158" s="139"/>
      <c r="AE158" s="139"/>
      <c r="AF158" s="146"/>
      <c r="AG158" s="140"/>
      <c r="AH158" s="187"/>
      <c r="AI158" s="172"/>
      <c r="AJ158" s="133"/>
      <c r="AK158" s="133"/>
      <c r="AL158" s="144"/>
      <c r="AM158" s="133"/>
      <c r="AN158" s="133"/>
      <c r="AO158" s="133"/>
      <c r="AP158" s="133"/>
      <c r="AQ158" s="133"/>
      <c r="AR158" s="133"/>
      <c r="AS158" s="133"/>
      <c r="AT158" s="133"/>
      <c r="AU158" s="313"/>
      <c r="AV158" s="181"/>
      <c r="AW158" s="143"/>
      <c r="AX158" s="142"/>
      <c r="AY158" s="144"/>
      <c r="AZ158" s="145"/>
      <c r="BA158" s="164"/>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2"/>
      <c r="X159" s="142"/>
      <c r="Y159" s="143"/>
      <c r="Z159" s="142"/>
      <c r="AA159" s="144"/>
      <c r="AB159" s="145"/>
      <c r="AC159" s="146"/>
      <c r="AD159" s="139"/>
      <c r="AE159" s="139"/>
      <c r="AF159" s="146"/>
      <c r="AG159" s="140"/>
      <c r="AH159" s="172"/>
      <c r="AI159" s="173"/>
      <c r="AJ159" s="133"/>
      <c r="AK159" s="133"/>
      <c r="AL159" s="144"/>
      <c r="AM159" s="133"/>
      <c r="AN159" s="133"/>
      <c r="AO159" s="133"/>
      <c r="AP159" s="133"/>
      <c r="AQ159" s="133"/>
      <c r="AR159" s="133"/>
      <c r="AS159" s="133"/>
      <c r="AT159" s="133"/>
      <c r="AU159" s="313"/>
      <c r="AV159" s="181"/>
      <c r="AW159" s="143"/>
      <c r="AX159" s="142"/>
      <c r="AY159" s="144"/>
      <c r="AZ159" s="145"/>
      <c r="BA159" s="164"/>
    </row>
    <row r="160" spans="1:53" ht="16"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2"/>
      <c r="X160" s="142"/>
      <c r="Y160" s="143"/>
      <c r="Z160" s="142"/>
      <c r="AA160" s="144"/>
      <c r="AB160" s="145"/>
      <c r="AC160" s="146"/>
      <c r="AD160" s="139"/>
      <c r="AE160" s="139"/>
      <c r="AF160" s="146"/>
      <c r="AG160" s="133"/>
      <c r="AH160" s="172"/>
      <c r="AI160" s="172"/>
      <c r="AJ160" s="133"/>
      <c r="AK160" s="133"/>
      <c r="AL160" s="133"/>
      <c r="AM160" s="133"/>
      <c r="AN160" s="133"/>
      <c r="AO160" s="133"/>
      <c r="AP160" s="133"/>
      <c r="AQ160" s="133"/>
      <c r="AR160" s="133"/>
      <c r="AS160" s="133"/>
      <c r="AT160" s="133"/>
      <c r="AU160" s="313"/>
      <c r="AV160" s="181"/>
      <c r="AW160" s="143"/>
      <c r="AX160" s="142"/>
      <c r="AY160" s="144"/>
      <c r="AZ160" s="145"/>
      <c r="BA160" s="164"/>
    </row>
    <row r="161" spans="1:53" ht="20"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2"/>
      <c r="X161" s="142"/>
      <c r="Y161" s="143"/>
      <c r="Z161" s="142"/>
      <c r="AA161" s="144"/>
      <c r="AB161" s="145"/>
      <c r="AC161" s="146"/>
      <c r="AD161" s="139"/>
      <c r="AE161" s="139"/>
      <c r="AF161" s="146"/>
      <c r="AG161" s="141"/>
      <c r="AH161" s="172"/>
      <c r="AI161" s="172"/>
      <c r="AJ161" s="133"/>
      <c r="AK161" s="133"/>
      <c r="AL161" s="133"/>
      <c r="AM161" s="133"/>
      <c r="AN161" s="133"/>
      <c r="AO161" s="133"/>
      <c r="AP161" s="133"/>
      <c r="AQ161" s="133"/>
      <c r="AR161" s="133"/>
      <c r="AS161" s="133"/>
      <c r="AT161" s="133"/>
      <c r="AU161" s="313"/>
      <c r="AV161" s="181"/>
      <c r="AW161" s="143"/>
      <c r="AX161" s="142"/>
      <c r="AY161" s="144"/>
      <c r="AZ161" s="145"/>
      <c r="BA161" s="164"/>
    </row>
    <row r="162" spans="1:53" ht="28"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2"/>
      <c r="X162" s="142"/>
      <c r="Y162" s="143"/>
      <c r="Z162" s="142"/>
      <c r="AA162" s="144"/>
      <c r="AB162" s="145"/>
      <c r="AC162" s="146"/>
      <c r="AD162" s="139"/>
      <c r="AE162" s="139"/>
      <c r="AF162" s="146"/>
      <c r="AG162" s="141"/>
      <c r="AH162" s="172"/>
      <c r="AI162" s="172"/>
      <c r="AJ162" s="133"/>
      <c r="AK162" s="133"/>
      <c r="AL162" s="133"/>
      <c r="AM162" s="133"/>
      <c r="AN162" s="133"/>
      <c r="AO162" s="133"/>
      <c r="AP162" s="133"/>
      <c r="AQ162" s="133"/>
      <c r="AR162" s="133"/>
      <c r="AS162" s="133"/>
      <c r="AT162" s="133"/>
      <c r="AU162" s="313"/>
      <c r="AV162" s="181"/>
      <c r="AW162" s="143"/>
      <c r="AX162" s="142"/>
      <c r="AY162" s="144"/>
      <c r="AZ162" s="145"/>
      <c r="BA162" s="164"/>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1"/>
      <c r="AH163" s="188"/>
      <c r="AI163" s="172"/>
      <c r="AJ163" s="133"/>
      <c r="AK163" s="133"/>
      <c r="AL163" s="133"/>
      <c r="AM163" s="133"/>
      <c r="AN163" s="133"/>
      <c r="AO163" s="133"/>
      <c r="AP163" s="133"/>
      <c r="AQ163" s="133"/>
      <c r="AR163" s="133"/>
      <c r="AS163" s="133"/>
      <c r="AT163" s="133"/>
      <c r="AU163" s="313"/>
      <c r="AV163" s="181"/>
      <c r="AW163" s="143"/>
      <c r="AX163" s="142"/>
      <c r="AY163" s="144"/>
      <c r="AZ163" s="145"/>
      <c r="BA163" s="164"/>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1"/>
      <c r="AH164" s="172"/>
      <c r="AI164" s="172"/>
      <c r="AJ164" s="133"/>
      <c r="AK164" s="133"/>
      <c r="AL164" s="133"/>
      <c r="AM164" s="133"/>
      <c r="AN164" s="133"/>
      <c r="AO164" s="133"/>
      <c r="AP164" s="133"/>
      <c r="AQ164" s="133"/>
      <c r="AR164" s="133"/>
      <c r="AS164" s="133"/>
      <c r="AT164" s="133"/>
      <c r="AU164" s="313"/>
      <c r="AV164" s="181"/>
      <c r="AW164" s="143"/>
      <c r="AX164" s="142"/>
      <c r="AY164" s="144"/>
      <c r="AZ164" s="145"/>
      <c r="BA164" s="164"/>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69"/>
      <c r="AI165" s="169"/>
      <c r="AJ165" s="141"/>
      <c r="AK165" s="141"/>
      <c r="AL165" s="141"/>
      <c r="AM165" s="141"/>
      <c r="AN165" s="141"/>
      <c r="AO165" s="141"/>
      <c r="AP165" s="141"/>
      <c r="AQ165" s="141"/>
      <c r="AR165" s="141"/>
      <c r="AS165" s="141"/>
      <c r="AT165" s="141"/>
      <c r="AU165" s="315"/>
      <c r="AV165" s="181"/>
      <c r="AW165" s="143"/>
      <c r="AX165" s="142"/>
      <c r="AY165" s="144"/>
      <c r="AZ165" s="145"/>
      <c r="BA165" s="164"/>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69"/>
      <c r="AI166" s="169"/>
      <c r="AJ166" s="141"/>
      <c r="AK166" s="141"/>
      <c r="AL166" s="141"/>
      <c r="AM166" s="141"/>
      <c r="AN166" s="141"/>
      <c r="AO166" s="141"/>
      <c r="AP166" s="141"/>
      <c r="AQ166" s="141"/>
      <c r="AR166" s="141"/>
      <c r="AS166" s="141"/>
      <c r="AT166" s="141"/>
      <c r="AU166" s="315"/>
      <c r="AV166" s="181"/>
      <c r="AW166" s="143"/>
      <c r="AX166" s="142"/>
      <c r="AY166" s="144"/>
      <c r="AZ166" s="145"/>
      <c r="BA166" s="164"/>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69"/>
      <c r="AI167" s="169"/>
      <c r="AJ167" s="141"/>
      <c r="AK167" s="141"/>
      <c r="AL167" s="141"/>
      <c r="AM167" s="141"/>
      <c r="AN167" s="141"/>
      <c r="AO167" s="141"/>
      <c r="AP167" s="141"/>
      <c r="AQ167" s="141"/>
      <c r="AR167" s="141"/>
      <c r="AS167" s="141"/>
      <c r="AT167" s="141"/>
      <c r="AU167" s="315"/>
      <c r="AV167" s="181"/>
      <c r="AW167" s="143"/>
      <c r="AX167" s="142"/>
      <c r="AY167" s="144"/>
      <c r="AZ167" s="145"/>
      <c r="BA167" s="164"/>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69"/>
      <c r="AI168" s="169"/>
      <c r="AJ168" s="141"/>
      <c r="AK168" s="141"/>
      <c r="AL168" s="141"/>
      <c r="AM168" s="141"/>
      <c r="AN168" s="141"/>
      <c r="AO168" s="141"/>
      <c r="AP168" s="141"/>
      <c r="AQ168" s="141"/>
      <c r="AR168" s="141"/>
      <c r="AS168" s="141"/>
      <c r="AT168" s="141"/>
      <c r="AU168" s="315"/>
      <c r="AV168" s="181"/>
      <c r="AW168" s="143"/>
      <c r="AX168" s="142"/>
      <c r="AY168" s="144"/>
      <c r="AZ168" s="145"/>
      <c r="BA168" s="164"/>
    </row>
    <row r="169" spans="1:53">
      <c r="V169" s="3"/>
      <c r="W169" s="3"/>
      <c r="X169" s="3"/>
      <c r="Y169" s="3"/>
      <c r="Z169" s="3"/>
      <c r="AA169" s="3"/>
      <c r="AB169" s="3"/>
      <c r="AC169" s="3"/>
      <c r="AD169" s="3"/>
      <c r="AE169" s="3"/>
      <c r="AF169" s="3"/>
      <c r="AG169" s="3"/>
      <c r="AH169" s="174"/>
      <c r="AI169" s="174"/>
      <c r="AJ169" s="3"/>
      <c r="AK169" s="3"/>
      <c r="AL169" s="3"/>
      <c r="AM169" s="3"/>
      <c r="AN169" s="3"/>
      <c r="AO169" s="3"/>
      <c r="AP169" s="3"/>
      <c r="AQ169" s="3"/>
      <c r="AR169" s="3"/>
      <c r="AS169" s="3"/>
      <c r="AT169" s="3"/>
      <c r="AU169" s="182"/>
      <c r="AV169" s="174"/>
      <c r="AW169" s="3"/>
      <c r="AX169" s="3"/>
      <c r="AY169" s="6"/>
      <c r="AZ169" s="3"/>
    </row>
    <row r="170" spans="1:53">
      <c r="V170" s="3"/>
      <c r="W170" s="3"/>
      <c r="X170" s="3"/>
      <c r="Y170" s="3"/>
      <c r="Z170" s="3"/>
      <c r="AA170" s="3"/>
      <c r="AB170" s="3"/>
      <c r="AC170" s="3"/>
      <c r="AD170" s="3"/>
      <c r="AE170" s="3"/>
      <c r="AF170" s="3"/>
      <c r="AG170" s="3"/>
      <c r="AH170" s="174"/>
      <c r="AI170" s="174"/>
      <c r="AJ170" s="3"/>
      <c r="AK170" s="3"/>
      <c r="AL170" s="3"/>
      <c r="AM170" s="3"/>
      <c r="AN170" s="3"/>
      <c r="AO170" s="3"/>
      <c r="AP170" s="3"/>
      <c r="AQ170" s="3"/>
      <c r="AR170" s="3"/>
      <c r="AS170" s="3"/>
      <c r="AT170" s="3"/>
      <c r="AU170" s="182"/>
      <c r="AV170" s="174"/>
      <c r="AW170" s="3"/>
      <c r="AX170" s="3"/>
      <c r="AY170" s="6"/>
      <c r="AZ170" s="3"/>
    </row>
    <row r="171" spans="1:53">
      <c r="V171" s="3"/>
      <c r="W171" s="3"/>
      <c r="X171" s="3"/>
      <c r="Y171" s="3"/>
      <c r="Z171" s="3"/>
      <c r="AA171" s="3"/>
      <c r="AB171" s="3"/>
      <c r="AC171" s="3"/>
      <c r="AD171" s="3"/>
      <c r="AE171" s="3"/>
      <c r="AF171" s="3"/>
      <c r="AG171" s="3"/>
      <c r="AH171" s="174"/>
      <c r="AI171" s="174"/>
      <c r="AJ171" s="3"/>
      <c r="AK171" s="3"/>
      <c r="AL171" s="3"/>
      <c r="AM171" s="3"/>
      <c r="AN171" s="3"/>
      <c r="AO171" s="3"/>
      <c r="AP171" s="3"/>
      <c r="AQ171" s="3"/>
      <c r="AR171" s="3"/>
      <c r="AS171" s="3"/>
      <c r="AT171" s="3"/>
      <c r="AU171" s="182"/>
      <c r="AV171" s="174"/>
      <c r="AW171" s="3"/>
      <c r="AX171" s="3"/>
      <c r="AY171" s="6"/>
      <c r="AZ171" s="3"/>
    </row>
    <row r="172" spans="1:53">
      <c r="V172" s="3"/>
      <c r="W172" s="3"/>
      <c r="X172" s="3"/>
      <c r="Y172" s="3"/>
      <c r="Z172" s="3"/>
      <c r="AA172" s="3"/>
      <c r="AB172" s="3"/>
      <c r="AC172" s="3"/>
      <c r="AD172" s="3"/>
      <c r="AE172" s="3"/>
      <c r="AF172" s="3"/>
      <c r="AG172" s="3"/>
      <c r="AH172" s="174"/>
      <c r="AI172" s="174"/>
      <c r="AJ172" s="3"/>
      <c r="AK172" s="3"/>
      <c r="AL172" s="3"/>
      <c r="AM172" s="3"/>
      <c r="AN172" s="3"/>
      <c r="AO172" s="3"/>
      <c r="AP172" s="3"/>
      <c r="AQ172" s="3"/>
      <c r="AR172" s="3"/>
      <c r="AS172" s="3"/>
      <c r="AT172" s="3"/>
      <c r="AU172" s="182"/>
      <c r="AV172" s="174"/>
      <c r="AW172" s="3"/>
      <c r="AX172" s="3"/>
      <c r="AY172" s="6"/>
      <c r="AZ172" s="3"/>
    </row>
    <row r="173" spans="1:53">
      <c r="V173" s="3"/>
      <c r="W173" s="3"/>
      <c r="X173" s="3"/>
      <c r="Y173" s="3"/>
      <c r="Z173" s="3"/>
      <c r="AA173" s="3"/>
      <c r="AB173" s="3"/>
      <c r="AC173" s="3"/>
      <c r="AD173" s="3"/>
      <c r="AE173" s="3"/>
      <c r="AF173" s="3"/>
      <c r="AG173" s="3"/>
      <c r="AH173" s="174"/>
      <c r="AI173" s="174"/>
      <c r="AJ173" s="3"/>
      <c r="AK173" s="3"/>
      <c r="AL173" s="3"/>
      <c r="AM173" s="3"/>
      <c r="AN173" s="3"/>
      <c r="AO173" s="3"/>
      <c r="AP173" s="3"/>
      <c r="AQ173" s="3"/>
      <c r="AR173" s="3"/>
      <c r="AS173" s="3"/>
      <c r="AT173" s="3"/>
      <c r="AU173" s="182"/>
      <c r="AV173" s="174"/>
      <c r="AW173" s="3"/>
      <c r="AX173" s="3"/>
      <c r="AY173" s="6"/>
      <c r="AZ173" s="3"/>
    </row>
    <row r="174" spans="1:53">
      <c r="V174" s="3"/>
      <c r="W174" s="3"/>
      <c r="X174" s="3"/>
      <c r="Y174" s="3"/>
      <c r="Z174" s="3"/>
      <c r="AA174" s="3"/>
      <c r="AB174" s="3"/>
      <c r="AC174" s="3"/>
      <c r="AD174" s="3"/>
      <c r="AE174" s="3"/>
      <c r="AF174" s="3"/>
      <c r="AG174" s="3"/>
      <c r="AH174" s="174"/>
      <c r="AI174" s="174"/>
      <c r="AJ174" s="3"/>
      <c r="AK174" s="3"/>
      <c r="AL174" s="3"/>
      <c r="AM174" s="3"/>
      <c r="AN174" s="3"/>
      <c r="AO174" s="3"/>
      <c r="AP174" s="3"/>
      <c r="AQ174" s="3"/>
      <c r="AR174" s="3"/>
      <c r="AS174" s="3"/>
      <c r="AT174" s="3"/>
      <c r="AU174" s="182"/>
      <c r="AV174" s="174"/>
      <c r="AW174" s="3"/>
      <c r="AX174" s="3"/>
      <c r="AY174" s="6"/>
      <c r="AZ174" s="3"/>
    </row>
    <row r="175" spans="1:53">
      <c r="V175" s="3"/>
      <c r="W175" s="3"/>
      <c r="X175" s="3"/>
      <c r="Y175" s="3"/>
      <c r="Z175" s="3"/>
      <c r="AA175" s="3"/>
      <c r="AB175" s="3"/>
      <c r="AC175" s="3"/>
      <c r="AD175" s="3"/>
      <c r="AE175" s="3"/>
      <c r="AF175" s="3"/>
      <c r="AG175" s="3"/>
      <c r="AH175" s="174"/>
      <c r="AI175" s="174"/>
      <c r="AJ175" s="3"/>
      <c r="AK175" s="3"/>
      <c r="AL175" s="3"/>
      <c r="AM175" s="3"/>
      <c r="AN175" s="3"/>
      <c r="AO175" s="3"/>
      <c r="AP175" s="3"/>
      <c r="AQ175" s="3"/>
      <c r="AR175" s="3"/>
      <c r="AS175" s="3"/>
      <c r="AT175" s="3"/>
      <c r="AU175" s="182"/>
      <c r="AV175" s="174"/>
      <c r="AW175" s="3"/>
      <c r="AX175" s="3"/>
      <c r="AY175" s="6"/>
      <c r="AZ175" s="3"/>
    </row>
    <row r="176" spans="1:53">
      <c r="V176" s="3"/>
      <c r="W176" s="3"/>
      <c r="X176" s="3"/>
      <c r="Y176" s="3"/>
      <c r="Z176" s="3"/>
      <c r="AA176" s="3"/>
      <c r="AB176" s="3"/>
      <c r="AC176" s="3"/>
      <c r="AD176" s="3"/>
      <c r="AE176" s="3"/>
      <c r="AF176" s="3"/>
      <c r="AG176" s="3"/>
      <c r="AH176" s="174"/>
      <c r="AI176" s="174"/>
      <c r="AJ176" s="3"/>
      <c r="AK176" s="3"/>
      <c r="AL176" s="3"/>
      <c r="AM176" s="3"/>
      <c r="AN176" s="3"/>
      <c r="AO176" s="3"/>
      <c r="AP176" s="3"/>
      <c r="AQ176" s="3"/>
      <c r="AR176" s="3"/>
      <c r="AS176" s="3"/>
      <c r="AT176" s="3"/>
      <c r="AU176" s="182"/>
      <c r="AV176" s="174"/>
      <c r="AW176" s="3"/>
      <c r="AX176" s="3"/>
      <c r="AY176" s="6"/>
      <c r="AZ176" s="3"/>
    </row>
    <row r="177" spans="22:52">
      <c r="V177" s="3"/>
      <c r="W177" s="3"/>
      <c r="X177" s="3"/>
      <c r="Y177" s="3"/>
      <c r="Z177" s="3"/>
      <c r="AA177" s="3"/>
      <c r="AB177" s="3"/>
      <c r="AC177" s="3"/>
      <c r="AD177" s="3"/>
      <c r="AE177" s="3"/>
      <c r="AF177" s="3"/>
      <c r="AG177" s="3"/>
      <c r="AH177" s="174"/>
      <c r="AI177" s="174"/>
      <c r="AJ177" s="3"/>
      <c r="AK177" s="3"/>
      <c r="AL177" s="3"/>
      <c r="AM177" s="3"/>
      <c r="AN177" s="3"/>
      <c r="AO177" s="3"/>
      <c r="AP177" s="3"/>
      <c r="AQ177" s="3"/>
      <c r="AR177" s="3"/>
      <c r="AS177" s="3"/>
      <c r="AT177" s="3"/>
      <c r="AU177" s="182"/>
      <c r="AV177" s="174"/>
      <c r="AW177" s="3"/>
      <c r="AX177" s="3"/>
      <c r="AY177" s="6"/>
      <c r="AZ177" s="3"/>
    </row>
    <row r="178" spans="22:52">
      <c r="V178" s="3"/>
      <c r="W178" s="3"/>
      <c r="X178" s="3"/>
      <c r="Y178" s="3"/>
      <c r="Z178" s="3"/>
      <c r="AA178" s="3"/>
      <c r="AB178" s="3"/>
      <c r="AC178" s="3"/>
      <c r="AD178" s="3"/>
      <c r="AE178" s="3"/>
      <c r="AF178" s="3"/>
      <c r="AG178" s="3"/>
      <c r="AH178" s="174"/>
      <c r="AI178" s="174"/>
      <c r="AJ178" s="3"/>
      <c r="AK178" s="3"/>
      <c r="AL178" s="3"/>
      <c r="AM178" s="3"/>
      <c r="AN178" s="3"/>
      <c r="AO178" s="3"/>
      <c r="AP178" s="3"/>
      <c r="AQ178" s="3"/>
      <c r="AR178" s="3"/>
      <c r="AS178" s="3"/>
      <c r="AT178" s="3"/>
      <c r="AU178" s="182"/>
      <c r="AV178" s="174"/>
      <c r="AW178" s="3"/>
      <c r="AX178" s="3"/>
      <c r="AY178" s="6"/>
      <c r="AZ178" s="3"/>
    </row>
    <row r="179" spans="22:52">
      <c r="V179" s="3"/>
      <c r="W179" s="3"/>
      <c r="X179" s="3"/>
      <c r="Y179" s="3"/>
      <c r="Z179" s="3"/>
      <c r="AA179" s="3"/>
      <c r="AB179" s="3"/>
      <c r="AC179" s="3"/>
      <c r="AD179" s="3"/>
      <c r="AE179" s="3"/>
      <c r="AF179" s="3"/>
      <c r="AG179" s="3"/>
      <c r="AH179" s="174"/>
      <c r="AI179" s="174"/>
      <c r="AJ179" s="3"/>
      <c r="AK179" s="3"/>
      <c r="AL179" s="3"/>
      <c r="AM179" s="3"/>
      <c r="AN179" s="3"/>
      <c r="AO179" s="3"/>
      <c r="AP179" s="3"/>
      <c r="AQ179" s="3"/>
      <c r="AR179" s="3"/>
      <c r="AS179" s="3"/>
      <c r="AT179" s="3"/>
      <c r="AU179" s="182"/>
      <c r="AV179" s="174"/>
      <c r="AW179" s="3"/>
      <c r="AX179" s="3"/>
      <c r="AY179" s="6"/>
      <c r="AZ179" s="3"/>
    </row>
    <row r="180" spans="22:52">
      <c r="V180" s="3"/>
      <c r="W180" s="3"/>
      <c r="X180" s="3"/>
      <c r="Y180" s="3"/>
      <c r="Z180" s="3"/>
      <c r="AA180" s="3"/>
      <c r="AB180" s="3"/>
      <c r="AC180" s="3"/>
      <c r="AD180" s="3"/>
      <c r="AE180" s="3"/>
      <c r="AF180" s="3"/>
      <c r="AG180" s="3"/>
      <c r="AH180" s="174"/>
      <c r="AI180" s="174"/>
      <c r="AJ180" s="3"/>
      <c r="AK180" s="3"/>
      <c r="AL180" s="3"/>
      <c r="AM180" s="3"/>
      <c r="AN180" s="3"/>
      <c r="AO180" s="3"/>
      <c r="AP180" s="3"/>
      <c r="AQ180" s="3"/>
      <c r="AR180" s="3"/>
      <c r="AS180" s="3"/>
      <c r="AT180" s="3"/>
      <c r="AU180" s="182"/>
      <c r="AV180" s="174"/>
      <c r="AW180" s="3"/>
      <c r="AX180" s="3"/>
      <c r="AY180" s="6"/>
      <c r="AZ180" s="3"/>
    </row>
    <row r="181" spans="22:52">
      <c r="V181" s="3"/>
      <c r="W181" s="3"/>
      <c r="X181" s="3"/>
      <c r="Y181" s="3"/>
      <c r="Z181" s="3"/>
      <c r="AA181" s="3"/>
      <c r="AB181" s="3"/>
      <c r="AC181" s="3"/>
      <c r="AD181" s="3"/>
      <c r="AE181" s="3"/>
      <c r="AF181" s="3"/>
      <c r="AG181" s="3"/>
      <c r="AH181" s="174"/>
      <c r="AI181" s="174"/>
      <c r="AJ181" s="3"/>
      <c r="AK181" s="3"/>
      <c r="AL181" s="3"/>
      <c r="AM181" s="3"/>
      <c r="AN181" s="3"/>
      <c r="AO181" s="3"/>
      <c r="AP181" s="3"/>
      <c r="AQ181" s="3"/>
      <c r="AR181" s="3"/>
      <c r="AS181" s="3"/>
      <c r="AT181" s="3"/>
      <c r="AU181" s="182"/>
      <c r="AV181" s="174"/>
      <c r="AW181" s="3"/>
      <c r="AX181" s="3"/>
      <c r="AY181" s="6"/>
      <c r="AZ181" s="3"/>
    </row>
    <row r="182" spans="22:52">
      <c r="V182" s="3"/>
      <c r="W182" s="3"/>
      <c r="X182" s="3"/>
      <c r="Y182" s="3"/>
      <c r="Z182" s="3"/>
      <c r="AA182" s="3"/>
      <c r="AB182" s="3"/>
      <c r="AC182" s="3"/>
      <c r="AD182" s="3"/>
      <c r="AE182" s="3"/>
      <c r="AF182" s="3"/>
      <c r="AG182" s="3"/>
      <c r="AH182" s="174"/>
      <c r="AI182" s="174"/>
      <c r="AJ182" s="3"/>
      <c r="AK182" s="3"/>
      <c r="AL182" s="3"/>
      <c r="AM182" s="3"/>
      <c r="AN182" s="3"/>
      <c r="AO182" s="3"/>
      <c r="AP182" s="3"/>
      <c r="AQ182" s="3"/>
      <c r="AR182" s="3"/>
      <c r="AS182" s="3"/>
      <c r="AT182" s="3"/>
      <c r="AU182" s="182"/>
      <c r="AV182" s="174"/>
      <c r="AW182" s="3"/>
      <c r="AX182" s="3"/>
      <c r="AY182" s="6"/>
      <c r="AZ182" s="3"/>
    </row>
    <row r="183" spans="22:52">
      <c r="V183" s="3"/>
      <c r="W183" s="3"/>
      <c r="X183" s="3"/>
      <c r="Y183" s="3"/>
      <c r="Z183" s="3"/>
      <c r="AA183" s="3"/>
      <c r="AB183" s="3"/>
      <c r="AC183" s="3"/>
      <c r="AD183" s="3"/>
      <c r="AE183" s="3"/>
      <c r="AF183" s="3"/>
      <c r="AG183" s="3"/>
      <c r="AH183" s="174"/>
      <c r="AI183" s="174"/>
      <c r="AJ183" s="3"/>
      <c r="AK183" s="3"/>
      <c r="AL183" s="3"/>
      <c r="AM183" s="3"/>
      <c r="AN183" s="3"/>
      <c r="AO183" s="3"/>
      <c r="AP183" s="3"/>
      <c r="AQ183" s="3"/>
      <c r="AR183" s="3"/>
      <c r="AS183" s="3"/>
      <c r="AT183" s="3"/>
      <c r="AU183" s="182"/>
      <c r="AV183" s="174"/>
      <c r="AW183" s="3"/>
      <c r="AX183" s="3"/>
      <c r="AY183" s="6"/>
      <c r="AZ183" s="3"/>
    </row>
    <row r="184" spans="22:52">
      <c r="V184" s="3"/>
      <c r="W184" s="3"/>
      <c r="X184" s="3"/>
      <c r="Y184" s="3"/>
      <c r="Z184" s="3"/>
      <c r="AA184" s="3"/>
      <c r="AB184" s="3"/>
      <c r="AC184" s="3"/>
      <c r="AD184" s="3"/>
      <c r="AE184" s="3"/>
      <c r="AF184" s="3"/>
      <c r="AG184" s="3"/>
      <c r="AH184" s="174"/>
      <c r="AI184" s="174"/>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4"/>
      <c r="AI185" s="174"/>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4"/>
      <c r="AI186" s="174"/>
      <c r="AJ186" s="3"/>
      <c r="AK186" s="3"/>
      <c r="AL186" s="3"/>
      <c r="AM186" s="3"/>
      <c r="AN186" s="3"/>
      <c r="AO186" s="3"/>
      <c r="AP186" s="3"/>
      <c r="AQ186" s="3"/>
      <c r="AR186" s="3"/>
      <c r="AS186" s="3"/>
      <c r="AT186" s="3"/>
    </row>
    <row r="187" spans="22:52">
      <c r="AG187" s="3"/>
      <c r="AH187" s="174"/>
      <c r="AI187" s="174"/>
      <c r="AJ187" s="3"/>
      <c r="AK187" s="3"/>
      <c r="AL187" s="3"/>
      <c r="AM187" s="3"/>
      <c r="AN187" s="3"/>
      <c r="AO187" s="3"/>
      <c r="AP187" s="3"/>
      <c r="AQ187" s="3"/>
      <c r="AR187" s="3"/>
      <c r="AS187" s="3"/>
      <c r="AT187" s="3"/>
    </row>
    <row r="188" spans="22:52">
      <c r="AG188" s="3"/>
      <c r="AH188" s="174"/>
      <c r="AI188" s="174"/>
      <c r="AJ188" s="3"/>
      <c r="AK188" s="3"/>
      <c r="AL188" s="3"/>
      <c r="AM188" s="3"/>
      <c r="AN188" s="3"/>
      <c r="AO188" s="3"/>
      <c r="AP188" s="3"/>
      <c r="AQ188" s="3"/>
      <c r="AR188" s="3"/>
      <c r="AS188" s="3"/>
      <c r="AT188" s="3"/>
    </row>
    <row r="189" spans="22:52">
      <c r="AH189" s="174"/>
      <c r="AI189" s="174"/>
      <c r="AJ189" s="3"/>
      <c r="AK189" s="3"/>
      <c r="AL189" s="3"/>
      <c r="AM189" s="3"/>
      <c r="AN189" s="3"/>
      <c r="AO189" s="3"/>
      <c r="AP189" s="3"/>
      <c r="AQ189" s="3"/>
      <c r="AR189" s="3"/>
      <c r="AS189" s="3"/>
      <c r="AT189" s="3"/>
    </row>
    <row r="190" spans="22:52">
      <c r="AH190" s="174"/>
      <c r="AI190" s="174"/>
      <c r="AJ190" s="3"/>
      <c r="AK190" s="3"/>
      <c r="AL190" s="3"/>
      <c r="AM190" s="3"/>
      <c r="AN190" s="3"/>
      <c r="AO190" s="3"/>
      <c r="AP190" s="3"/>
      <c r="AQ190" s="3"/>
      <c r="AR190" s="3"/>
      <c r="AS190" s="3"/>
      <c r="AT190" s="3"/>
    </row>
    <row r="191" spans="22:52">
      <c r="AH191" s="174"/>
      <c r="AI191" s="174"/>
      <c r="AJ191" s="3"/>
      <c r="AK191" s="3"/>
      <c r="AL191" s="3"/>
      <c r="AM191" s="3"/>
      <c r="AN191" s="3"/>
      <c r="AO191" s="3"/>
      <c r="AP191" s="3"/>
      <c r="AQ191" s="3"/>
      <c r="AR191" s="3"/>
      <c r="AS191" s="3"/>
      <c r="AT191" s="3"/>
    </row>
    <row r="192" spans="22:52">
      <c r="AH192" s="174"/>
      <c r="AI192" s="174"/>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143:AD143 AC147:AD147">
    <cfRule type="expression" dxfId="26" priority="31" stopIfTrue="1">
      <formula>AC143=""</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E120:AE127 AE131:AE134 AE101:AE116 AB101:AB116 AB120:AB127 AB131:AB134 AB138:AB139 AE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5"/>
  <cols>
    <col min="1" max="1" width="10.90625" style="7"/>
    <col min="2" max="2" width="18.54296875" bestFit="1" customWidth="1"/>
    <col min="4" max="4" width="11.90625" style="7" bestFit="1" customWidth="1"/>
    <col min="5" max="5" width="15.1796875" style="7" bestFit="1" customWidth="1"/>
    <col min="8" max="8" width="10.90625" style="7"/>
  </cols>
  <sheetData>
    <row r="1" spans="1:6">
      <c r="A1" s="604" t="s">
        <v>1477</v>
      </c>
      <c r="B1" s="605" t="s">
        <v>1204</v>
      </c>
      <c r="C1" s="605" t="s">
        <v>1205</v>
      </c>
      <c r="D1" s="604" t="s">
        <v>1516</v>
      </c>
      <c r="E1" s="604" t="s">
        <v>1517</v>
      </c>
      <c r="F1" s="604" t="s">
        <v>1520</v>
      </c>
    </row>
    <row r="2" spans="1:6">
      <c r="A2" s="7">
        <v>1</v>
      </c>
      <c r="B2" s="606" t="str">
        <f ca="1">WORLDCUP!AA4</f>
        <v>México</v>
      </c>
      <c r="C2" t="str">
        <f ca="1">WORLDCUP!AF4</f>
        <v>Sudáfrica</v>
      </c>
      <c r="D2" s="7">
        <f>WORLDCUP!AC4</f>
        <v>2</v>
      </c>
      <c r="E2" s="7">
        <f>WORLDCUP!AD4</f>
        <v>1</v>
      </c>
    </row>
    <row r="3" spans="1:6">
      <c r="A3" s="7">
        <v>2</v>
      </c>
      <c r="B3" s="606" t="str">
        <f ca="1">WORLDCUP!AA5</f>
        <v>Corea del Sur</v>
      </c>
      <c r="C3" t="str">
        <f ca="1">WORLDCUP!AF5</f>
        <v>República Checa</v>
      </c>
      <c r="D3" s="7">
        <f>WORLDCUP!AC5</f>
        <v>1</v>
      </c>
      <c r="E3" s="7">
        <f>WORLDCUP!AD5</f>
        <v>1</v>
      </c>
    </row>
    <row r="4" spans="1:6">
      <c r="A4" s="7">
        <v>3</v>
      </c>
      <c r="B4" s="606" t="str">
        <f ca="1">WORLDCUP!AA6</f>
        <v>República Checa</v>
      </c>
      <c r="C4" t="str">
        <f ca="1">WORLDCUP!AF6</f>
        <v>Sudáfrica</v>
      </c>
      <c r="D4" s="7">
        <f>WORLDCUP!AC6</f>
        <v>2</v>
      </c>
      <c r="E4" s="7">
        <f>WORLDCUP!AD6</f>
        <v>0</v>
      </c>
    </row>
    <row r="5" spans="1:6">
      <c r="A5" s="7">
        <v>4</v>
      </c>
      <c r="B5" s="606" t="str">
        <f ca="1">WORLDCUP!AA7</f>
        <v>México</v>
      </c>
      <c r="C5" t="str">
        <f ca="1">WORLDCUP!AF7</f>
        <v>Corea del Sur</v>
      </c>
      <c r="D5" s="7">
        <f>WORLDCUP!AC7</f>
        <v>1</v>
      </c>
      <c r="E5" s="7">
        <f>WORLDCUP!AD7</f>
        <v>1</v>
      </c>
    </row>
    <row r="6" spans="1:6">
      <c r="A6" s="7">
        <v>5</v>
      </c>
      <c r="B6" s="606" t="str">
        <f ca="1">WORLDCUP!AA8</f>
        <v>República Checa</v>
      </c>
      <c r="C6" t="str">
        <f ca="1">WORLDCUP!AF8</f>
        <v>México</v>
      </c>
      <c r="D6" s="7">
        <f>WORLDCUP!AC8</f>
        <v>0</v>
      </c>
      <c r="E6" s="7">
        <f>WORLDCUP!AD8</f>
        <v>2</v>
      </c>
    </row>
    <row r="7" spans="1:6">
      <c r="A7" s="7">
        <v>6</v>
      </c>
      <c r="B7" s="606" t="str">
        <f ca="1">WORLDCUP!AA9</f>
        <v>Sudáfrica</v>
      </c>
      <c r="C7" t="str">
        <f ca="1">WORLDCUP!AF9</f>
        <v>Corea del Sur</v>
      </c>
      <c r="D7" s="7">
        <f>WORLDCUP!AC9</f>
        <v>1</v>
      </c>
      <c r="E7" s="7">
        <f>WORLDCUP!AD9</f>
        <v>2</v>
      </c>
    </row>
    <row r="8" spans="1:6">
      <c r="A8" s="7">
        <v>7</v>
      </c>
      <c r="B8" s="606" t="str">
        <f ca="1">WORLDCUP!AA12</f>
        <v>Canadá</v>
      </c>
      <c r="C8" t="str">
        <f ca="1">WORLDCUP!AF12</f>
        <v>Bosnia y Herzegovina</v>
      </c>
      <c r="D8" s="7">
        <f>WORLDCUP!AC12</f>
        <v>2</v>
      </c>
      <c r="E8" s="7">
        <f>WORLDCUP!AD12</f>
        <v>0</v>
      </c>
    </row>
    <row r="9" spans="1:6">
      <c r="A9" s="7">
        <v>8</v>
      </c>
      <c r="B9" s="606" t="str">
        <f ca="1">WORLDCUP!AA13</f>
        <v>Catar</v>
      </c>
      <c r="C9" t="str">
        <f ca="1">WORLDCUP!AF13</f>
        <v>Suiza</v>
      </c>
      <c r="D9" s="7">
        <f>WORLDCUP!AC13</f>
        <v>0</v>
      </c>
      <c r="E9" s="7">
        <f>WORLDCUP!AD13</f>
        <v>2</v>
      </c>
    </row>
    <row r="10" spans="1:6">
      <c r="A10" s="7">
        <v>9</v>
      </c>
      <c r="B10" s="606" t="str">
        <f ca="1">WORLDCUP!AA14</f>
        <v>Suiza</v>
      </c>
      <c r="C10" t="str">
        <f ca="1">WORLDCUP!AF14</f>
        <v>Bosnia y Herzegovina</v>
      </c>
      <c r="D10" s="7">
        <f>WORLDCUP!AC14</f>
        <v>2</v>
      </c>
      <c r="E10" s="7">
        <f>WORLDCUP!AD14</f>
        <v>0</v>
      </c>
    </row>
    <row r="11" spans="1:6">
      <c r="A11" s="7">
        <v>10</v>
      </c>
      <c r="B11" s="606" t="str">
        <f ca="1">WORLDCUP!AA15</f>
        <v>Canadá</v>
      </c>
      <c r="C11" t="str">
        <f ca="1">WORLDCUP!AF15</f>
        <v>Catar</v>
      </c>
      <c r="D11" s="7">
        <f>WORLDCUP!AC15</f>
        <v>2</v>
      </c>
      <c r="E11" s="7">
        <f>WORLDCUP!AD15</f>
        <v>1</v>
      </c>
    </row>
    <row r="12" spans="1:6">
      <c r="A12" s="7">
        <v>11</v>
      </c>
      <c r="B12" s="606" t="str">
        <f ca="1">WORLDCUP!AA16</f>
        <v>Suiza</v>
      </c>
      <c r="C12" t="str">
        <f ca="1">WORLDCUP!AF16</f>
        <v>Canadá</v>
      </c>
      <c r="D12" s="7">
        <f>WORLDCUP!AC16</f>
        <v>1</v>
      </c>
      <c r="E12" s="7">
        <f>WORLDCUP!AD16</f>
        <v>1</v>
      </c>
    </row>
    <row r="13" spans="1:6">
      <c r="A13" s="7">
        <v>12</v>
      </c>
      <c r="B13" s="606" t="str">
        <f ca="1">WORLDCUP!AA17</f>
        <v>Bosnia y Herzegovina</v>
      </c>
      <c r="C13" t="str">
        <f ca="1">WORLDCUP!AF17</f>
        <v>Catar</v>
      </c>
      <c r="D13" s="7">
        <f>WORLDCUP!AC17</f>
        <v>2</v>
      </c>
      <c r="E13" s="7">
        <f>WORLDCUP!AD17</f>
        <v>1</v>
      </c>
    </row>
    <row r="14" spans="1:6">
      <c r="A14" s="7">
        <v>13</v>
      </c>
      <c r="B14" s="606" t="str">
        <f ca="1">WORLDCUP!AA20</f>
        <v>Brasil</v>
      </c>
      <c r="C14" t="str">
        <f ca="1">WORLDCUP!AF20</f>
        <v>Marruecos</v>
      </c>
      <c r="D14" s="7">
        <f>WORLDCUP!AC20</f>
        <v>2</v>
      </c>
      <c r="E14" s="7">
        <f>WORLDCUP!AD20</f>
        <v>2</v>
      </c>
    </row>
    <row r="15" spans="1:6">
      <c r="A15" s="7">
        <v>14</v>
      </c>
      <c r="B15" s="606" t="str">
        <f ca="1">WORLDCUP!AA21</f>
        <v>Haití</v>
      </c>
      <c r="C15" t="str">
        <f ca="1">WORLDCUP!AF21</f>
        <v>Escocia</v>
      </c>
      <c r="D15" s="7">
        <f>WORLDCUP!AC21</f>
        <v>0</v>
      </c>
      <c r="E15" s="7">
        <f>WORLDCUP!AD21</f>
        <v>2</v>
      </c>
    </row>
    <row r="16" spans="1:6">
      <c r="A16" s="7">
        <v>15</v>
      </c>
      <c r="B16" s="606" t="str">
        <f ca="1">WORLDCUP!AA22</f>
        <v>Escocia</v>
      </c>
      <c r="C16" t="str">
        <f ca="1">WORLDCUP!AF22</f>
        <v>Marruecos</v>
      </c>
      <c r="D16" s="7">
        <f>WORLDCUP!AC22</f>
        <v>1</v>
      </c>
      <c r="E16" s="7">
        <f>WORLDCUP!AD22</f>
        <v>2</v>
      </c>
    </row>
    <row r="17" spans="1:5">
      <c r="A17" s="7">
        <v>16</v>
      </c>
      <c r="B17" s="606" t="str">
        <f ca="1">WORLDCUP!AA23</f>
        <v>Brasil</v>
      </c>
      <c r="C17" t="str">
        <f ca="1">WORLDCUP!AF23</f>
        <v>Haití</v>
      </c>
      <c r="D17" s="7">
        <f>WORLDCUP!AC23</f>
        <v>3</v>
      </c>
      <c r="E17" s="7">
        <f>WORLDCUP!AD23</f>
        <v>0</v>
      </c>
    </row>
    <row r="18" spans="1:5">
      <c r="A18" s="7">
        <v>17</v>
      </c>
      <c r="B18" s="606" t="str">
        <f ca="1">WORLDCUP!AA24</f>
        <v>Escocia</v>
      </c>
      <c r="C18" t="str">
        <f ca="1">WORLDCUP!AF24</f>
        <v>Brasil</v>
      </c>
      <c r="D18" s="7">
        <f>WORLDCUP!AC24</f>
        <v>2</v>
      </c>
      <c r="E18" s="7">
        <f>WORLDCUP!AD24</f>
        <v>0</v>
      </c>
    </row>
    <row r="19" spans="1:5">
      <c r="A19" s="7">
        <v>18</v>
      </c>
      <c r="B19" s="606" t="str">
        <f ca="1">WORLDCUP!AA25</f>
        <v>Marruecos</v>
      </c>
      <c r="C19" t="str">
        <f ca="1">WORLDCUP!AF25</f>
        <v>Haití</v>
      </c>
      <c r="D19" s="7">
        <f>WORLDCUP!AC25</f>
        <v>2</v>
      </c>
      <c r="E19" s="7">
        <f>WORLDCUP!AD25</f>
        <v>0</v>
      </c>
    </row>
    <row r="20" spans="1:5">
      <c r="A20" s="7">
        <v>19</v>
      </c>
      <c r="B20" s="606" t="str">
        <f ca="1">WORLDCUP!AA28</f>
        <v>Estados Unidos</v>
      </c>
      <c r="C20" t="str">
        <f ca="1">WORLDCUP!AF28</f>
        <v>Paraguay</v>
      </c>
      <c r="D20" s="7">
        <f>WORLDCUP!AC28</f>
        <v>2</v>
      </c>
      <c r="E20" s="7">
        <f>WORLDCUP!AD28</f>
        <v>2</v>
      </c>
    </row>
    <row r="21" spans="1:5">
      <c r="A21" s="7">
        <v>20</v>
      </c>
      <c r="B21" s="606" t="str">
        <f ca="1">WORLDCUP!AA29</f>
        <v>Australia</v>
      </c>
      <c r="C21" t="str">
        <f ca="1">WORLDCUP!AF29</f>
        <v>Turquía</v>
      </c>
      <c r="D21" s="7">
        <f>WORLDCUP!AC29</f>
        <v>1</v>
      </c>
      <c r="E21" s="7">
        <f>WORLDCUP!AD29</f>
        <v>2</v>
      </c>
    </row>
    <row r="22" spans="1:5">
      <c r="A22" s="7">
        <v>21</v>
      </c>
      <c r="B22" s="606" t="str">
        <f ca="1">WORLDCUP!AA30</f>
        <v>Estados Unidos</v>
      </c>
      <c r="C22" t="str">
        <f ca="1">WORLDCUP!AF30</f>
        <v>Australia</v>
      </c>
      <c r="D22" s="7">
        <f>WORLDCUP!AC30</f>
        <v>2</v>
      </c>
      <c r="E22" s="7">
        <f>WORLDCUP!AD30</f>
        <v>0</v>
      </c>
    </row>
    <row r="23" spans="1:5">
      <c r="A23" s="7">
        <v>22</v>
      </c>
      <c r="B23" s="606" t="str">
        <f ca="1">WORLDCUP!AA31</f>
        <v>Turquía</v>
      </c>
      <c r="C23" t="str">
        <f ca="1">WORLDCUP!AF31</f>
        <v>Paraguay</v>
      </c>
      <c r="D23" s="7">
        <f>WORLDCUP!AC31</f>
        <v>2</v>
      </c>
      <c r="E23" s="7">
        <f>WORLDCUP!AD31</f>
        <v>1</v>
      </c>
    </row>
    <row r="24" spans="1:5">
      <c r="A24" s="7">
        <v>23</v>
      </c>
      <c r="B24" s="606" t="str">
        <f ca="1">WORLDCUP!AA32</f>
        <v>Turquía</v>
      </c>
      <c r="C24" t="str">
        <f ca="1">WORLDCUP!AF32</f>
        <v>Estados Unidos</v>
      </c>
      <c r="D24" s="7">
        <f>WORLDCUP!AC32</f>
        <v>2</v>
      </c>
      <c r="E24" s="7">
        <f>WORLDCUP!AD32</f>
        <v>0</v>
      </c>
    </row>
    <row r="25" spans="1:5">
      <c r="A25" s="7">
        <v>24</v>
      </c>
      <c r="B25" s="606" t="str">
        <f ca="1">WORLDCUP!AA33</f>
        <v>Paraguay</v>
      </c>
      <c r="C25" t="str">
        <f ca="1">WORLDCUP!AF33</f>
        <v>Australia</v>
      </c>
      <c r="D25" s="7">
        <f>WORLDCUP!AC33</f>
        <v>1</v>
      </c>
      <c r="E25" s="7">
        <f>WORLDCUP!AD33</f>
        <v>1</v>
      </c>
    </row>
    <row r="26" spans="1:5">
      <c r="A26" s="7">
        <v>25</v>
      </c>
      <c r="B26" s="606" t="str">
        <f ca="1">WORLDCUP!AA36</f>
        <v>Alemania</v>
      </c>
      <c r="C26" t="str">
        <f ca="1">WORLDCUP!AF36</f>
        <v>Curazao</v>
      </c>
      <c r="D26" s="7">
        <f>WORLDCUP!AC36</f>
        <v>3</v>
      </c>
      <c r="E26" s="7">
        <f>WORLDCUP!AD36</f>
        <v>0</v>
      </c>
    </row>
    <row r="27" spans="1:5">
      <c r="A27" s="7">
        <v>26</v>
      </c>
      <c r="B27" s="606" t="str">
        <f ca="1">WORLDCUP!AA37</f>
        <v>Costa de Marfil</v>
      </c>
      <c r="C27" t="str">
        <f ca="1">WORLDCUP!AF37</f>
        <v>Ecuador</v>
      </c>
      <c r="D27" s="7">
        <f>WORLDCUP!AC37</f>
        <v>1</v>
      </c>
      <c r="E27" s="7">
        <f>WORLDCUP!AD37</f>
        <v>1</v>
      </c>
    </row>
    <row r="28" spans="1:5">
      <c r="A28" s="7">
        <v>27</v>
      </c>
      <c r="B28" s="606" t="str">
        <f ca="1">WORLDCUP!AA38</f>
        <v>Alemania</v>
      </c>
      <c r="C28" t="str">
        <f ca="1">WORLDCUP!AF38</f>
        <v>Costa de Marfil</v>
      </c>
      <c r="D28" s="7">
        <f>WORLDCUP!AC38</f>
        <v>3</v>
      </c>
      <c r="E28" s="7">
        <f>WORLDCUP!AD38</f>
        <v>1</v>
      </c>
    </row>
    <row r="29" spans="1:5">
      <c r="A29" s="7">
        <v>28</v>
      </c>
      <c r="B29" s="606" t="str">
        <f ca="1">WORLDCUP!AA39</f>
        <v>Ecuador</v>
      </c>
      <c r="C29" t="str">
        <f ca="1">WORLDCUP!AF39</f>
        <v>Curazao</v>
      </c>
      <c r="D29" s="7">
        <f>WORLDCUP!AC39</f>
        <v>2</v>
      </c>
      <c r="E29" s="7">
        <f>WORLDCUP!AD39</f>
        <v>0</v>
      </c>
    </row>
    <row r="30" spans="1:5">
      <c r="A30" s="7">
        <v>29</v>
      </c>
      <c r="B30" s="606" t="str">
        <f ca="1">WORLDCUP!AA40</f>
        <v>Curazao</v>
      </c>
      <c r="C30" t="str">
        <f ca="1">WORLDCUP!AF40</f>
        <v>Costa de Marfil</v>
      </c>
      <c r="D30" s="7">
        <f>WORLDCUP!AC40</f>
        <v>0</v>
      </c>
      <c r="E30" s="7">
        <f>WORLDCUP!AD40</f>
        <v>2</v>
      </c>
    </row>
    <row r="31" spans="1:5">
      <c r="A31" s="7">
        <v>30</v>
      </c>
      <c r="B31" s="606" t="str">
        <f ca="1">WORLDCUP!AA41</f>
        <v>Ecuador</v>
      </c>
      <c r="C31" t="str">
        <f ca="1">WORLDCUP!AF41</f>
        <v>Alemania</v>
      </c>
      <c r="D31" s="7">
        <f>WORLDCUP!AC41</f>
        <v>0</v>
      </c>
      <c r="E31" s="7">
        <f>WORLDCUP!AD41</f>
        <v>2</v>
      </c>
    </row>
    <row r="32" spans="1:5">
      <c r="A32" s="7">
        <v>31</v>
      </c>
      <c r="B32" s="606" t="str">
        <f ca="1">WORLDCUP!AA44</f>
        <v>Países Bajos</v>
      </c>
      <c r="C32" t="str">
        <f ca="1">WORLDCUP!AF44</f>
        <v>Japón</v>
      </c>
      <c r="D32" s="7">
        <f>WORLDCUP!AC44</f>
        <v>2</v>
      </c>
      <c r="E32" s="7">
        <f>WORLDCUP!AD44</f>
        <v>3</v>
      </c>
    </row>
    <row r="33" spans="1:5">
      <c r="A33" s="7">
        <v>32</v>
      </c>
      <c r="B33" s="606" t="str">
        <f ca="1">WORLDCUP!AA45</f>
        <v>Suecia</v>
      </c>
      <c r="C33" t="str">
        <f ca="1">WORLDCUP!AF45</f>
        <v>Túnez</v>
      </c>
      <c r="D33" s="7">
        <f>WORLDCUP!AC45</f>
        <v>1</v>
      </c>
      <c r="E33" s="7">
        <f>WORLDCUP!AD45</f>
        <v>1</v>
      </c>
    </row>
    <row r="34" spans="1:5">
      <c r="A34" s="7">
        <v>33</v>
      </c>
      <c r="B34" s="606" t="str">
        <f ca="1">WORLDCUP!AA46</f>
        <v>Países Bajos</v>
      </c>
      <c r="C34" t="str">
        <f ca="1">WORLDCUP!AF46</f>
        <v>Suecia</v>
      </c>
      <c r="D34" s="7">
        <f>WORLDCUP!AC46</f>
        <v>1</v>
      </c>
      <c r="E34" s="7">
        <f>WORLDCUP!AD46</f>
        <v>1</v>
      </c>
    </row>
    <row r="35" spans="1:5">
      <c r="A35" s="7">
        <v>34</v>
      </c>
      <c r="B35" s="606" t="str">
        <f ca="1">WORLDCUP!AA47</f>
        <v>Túnez</v>
      </c>
      <c r="C35" t="str">
        <f ca="1">WORLDCUP!AF47</f>
        <v>Japón</v>
      </c>
      <c r="D35" s="7">
        <f>WORLDCUP!AC47</f>
        <v>0</v>
      </c>
      <c r="E35" s="7">
        <f>WORLDCUP!AD47</f>
        <v>2</v>
      </c>
    </row>
    <row r="36" spans="1:5">
      <c r="A36" s="7">
        <v>35</v>
      </c>
      <c r="B36" s="606" t="str">
        <f ca="1">WORLDCUP!AA48</f>
        <v>Japón</v>
      </c>
      <c r="C36" t="str">
        <f ca="1">WORLDCUP!AF48</f>
        <v>Suecia</v>
      </c>
      <c r="D36" s="7">
        <f>WORLDCUP!AC48</f>
        <v>2</v>
      </c>
      <c r="E36" s="7">
        <f>WORLDCUP!AD48</f>
        <v>1</v>
      </c>
    </row>
    <row r="37" spans="1:5">
      <c r="A37" s="7">
        <v>36</v>
      </c>
      <c r="B37" s="606" t="str">
        <f ca="1">WORLDCUP!AA49</f>
        <v>Túnez</v>
      </c>
      <c r="C37" t="str">
        <f ca="1">WORLDCUP!AF49</f>
        <v>Países Bajos</v>
      </c>
      <c r="D37" s="7">
        <f>WORLDCUP!AC49</f>
        <v>0</v>
      </c>
      <c r="E37" s="7">
        <f>WORLDCUP!AD49</f>
        <v>2</v>
      </c>
    </row>
    <row r="38" spans="1:5">
      <c r="A38" s="7">
        <v>37</v>
      </c>
      <c r="B38" s="606" t="str">
        <f ca="1">WORLDCUP!AA52</f>
        <v>Bélgica</v>
      </c>
      <c r="C38" t="str">
        <f ca="1">WORLDCUP!AF52</f>
        <v>Egipto</v>
      </c>
      <c r="D38" s="7">
        <f>WORLDCUP!AC52</f>
        <v>2</v>
      </c>
      <c r="E38" s="7">
        <f>WORLDCUP!AD52</f>
        <v>0</v>
      </c>
    </row>
    <row r="39" spans="1:5">
      <c r="A39" s="7">
        <v>38</v>
      </c>
      <c r="B39" s="606" t="str">
        <f ca="1">WORLDCUP!AA53</f>
        <v>Irán</v>
      </c>
      <c r="C39" t="str">
        <f ca="1">WORLDCUP!AF53</f>
        <v>Nueva Zelanda</v>
      </c>
      <c r="D39" s="7">
        <f>WORLDCUP!AC53</f>
        <v>2</v>
      </c>
      <c r="E39" s="7">
        <f>WORLDCUP!AD53</f>
        <v>0</v>
      </c>
    </row>
    <row r="40" spans="1:5">
      <c r="A40" s="7">
        <v>39</v>
      </c>
      <c r="B40" s="606" t="str">
        <f ca="1">WORLDCUP!AA54</f>
        <v>Bélgica</v>
      </c>
      <c r="C40" t="str">
        <f ca="1">WORLDCUP!AF54</f>
        <v>Irán</v>
      </c>
      <c r="D40" s="7">
        <f>WORLDCUP!AC54</f>
        <v>1</v>
      </c>
      <c r="E40" s="7">
        <f>WORLDCUP!AD54</f>
        <v>1</v>
      </c>
    </row>
    <row r="41" spans="1:5">
      <c r="A41" s="7">
        <v>40</v>
      </c>
      <c r="B41" s="606" t="str">
        <f ca="1">WORLDCUP!AA55</f>
        <v>Nueva Zelanda</v>
      </c>
      <c r="C41" t="str">
        <f ca="1">WORLDCUP!AF55</f>
        <v>Egipto</v>
      </c>
      <c r="D41" s="7">
        <f>WORLDCUP!AC55</f>
        <v>2</v>
      </c>
      <c r="E41" s="7">
        <f>WORLDCUP!AD55</f>
        <v>1</v>
      </c>
    </row>
    <row r="42" spans="1:5">
      <c r="A42" s="7">
        <v>41</v>
      </c>
      <c r="B42" s="606" t="str">
        <f ca="1">WORLDCUP!AA56</f>
        <v>Egipto</v>
      </c>
      <c r="C42" t="str">
        <f ca="1">WORLDCUP!AF56</f>
        <v>Irán</v>
      </c>
      <c r="D42" s="7">
        <f>WORLDCUP!AC56</f>
        <v>1</v>
      </c>
      <c r="E42" s="7">
        <f>WORLDCUP!AD56</f>
        <v>1</v>
      </c>
    </row>
    <row r="43" spans="1:5">
      <c r="A43" s="7">
        <v>42</v>
      </c>
      <c r="B43" s="606" t="str">
        <f ca="1">WORLDCUP!AA57</f>
        <v>Nueva Zelanda</v>
      </c>
      <c r="C43" t="str">
        <f ca="1">WORLDCUP!AF57</f>
        <v>Bélgica</v>
      </c>
      <c r="D43" s="7">
        <f>WORLDCUP!AC57</f>
        <v>0</v>
      </c>
      <c r="E43" s="7">
        <f>WORLDCUP!AD57</f>
        <v>3</v>
      </c>
    </row>
    <row r="44" spans="1:5">
      <c r="A44" s="7">
        <v>43</v>
      </c>
      <c r="B44" s="606" t="str">
        <f ca="1">WORLDCUP!AA60</f>
        <v>España</v>
      </c>
      <c r="C44" t="str">
        <f ca="1">WORLDCUP!AF60</f>
        <v>Cabo Verde</v>
      </c>
      <c r="D44" s="7">
        <f>WORLDCUP!AC60</f>
        <v>4</v>
      </c>
      <c r="E44" s="7">
        <f>WORLDCUP!AD60</f>
        <v>0</v>
      </c>
    </row>
    <row r="45" spans="1:5">
      <c r="A45" s="7">
        <v>44</v>
      </c>
      <c r="B45" s="606" t="str">
        <f ca="1">WORLDCUP!AA61</f>
        <v>Arabia Saudita</v>
      </c>
      <c r="C45" t="str">
        <f ca="1">WORLDCUP!AF61</f>
        <v>Uruguay</v>
      </c>
      <c r="D45" s="7">
        <f>WORLDCUP!AC61</f>
        <v>0</v>
      </c>
      <c r="E45" s="7">
        <f>WORLDCUP!AD61</f>
        <v>2</v>
      </c>
    </row>
    <row r="46" spans="1:5">
      <c r="A46" s="7">
        <v>45</v>
      </c>
      <c r="B46" s="606" t="str">
        <f ca="1">WORLDCUP!AA62</f>
        <v>España</v>
      </c>
      <c r="C46" t="str">
        <f ca="1">WORLDCUP!AF62</f>
        <v>Arabia Saudita</v>
      </c>
      <c r="D46" s="7">
        <f>WORLDCUP!AC62</f>
        <v>2</v>
      </c>
      <c r="E46" s="7">
        <f>WORLDCUP!AD62</f>
        <v>0</v>
      </c>
    </row>
    <row r="47" spans="1:5">
      <c r="A47" s="7">
        <v>46</v>
      </c>
      <c r="B47" s="606" t="str">
        <f ca="1">WORLDCUP!AA63</f>
        <v>Uruguay</v>
      </c>
      <c r="C47" t="str">
        <f ca="1">WORLDCUP!AF63</f>
        <v>Cabo Verde</v>
      </c>
      <c r="D47" s="7">
        <f>WORLDCUP!AC63</f>
        <v>2</v>
      </c>
      <c r="E47" s="7">
        <f>WORLDCUP!AD63</f>
        <v>0</v>
      </c>
    </row>
    <row r="48" spans="1:5">
      <c r="A48" s="7">
        <v>47</v>
      </c>
      <c r="B48" s="606" t="str">
        <f ca="1">WORLDCUP!AA64</f>
        <v>Cabo Verde</v>
      </c>
      <c r="C48" t="str">
        <f ca="1">WORLDCUP!AF64</f>
        <v>Arabia Saudita</v>
      </c>
      <c r="D48" s="7">
        <f>WORLDCUP!AC64</f>
        <v>1</v>
      </c>
      <c r="E48" s="7">
        <f>WORLDCUP!AD64</f>
        <v>1</v>
      </c>
    </row>
    <row r="49" spans="1:5">
      <c r="A49" s="7">
        <v>48</v>
      </c>
      <c r="B49" s="606" t="str">
        <f ca="1">WORLDCUP!AA65</f>
        <v>Uruguay</v>
      </c>
      <c r="C49" t="str">
        <f ca="1">WORLDCUP!AF65</f>
        <v>España</v>
      </c>
      <c r="D49" s="7">
        <f>WORLDCUP!AC65</f>
        <v>2</v>
      </c>
      <c r="E49" s="7">
        <f>WORLDCUP!AD65</f>
        <v>3</v>
      </c>
    </row>
    <row r="50" spans="1:5">
      <c r="A50" s="7">
        <v>49</v>
      </c>
      <c r="B50" s="606" t="str">
        <f ca="1">WORLDCUP!AA68</f>
        <v>Francia</v>
      </c>
      <c r="C50" t="str">
        <f ca="1">WORLDCUP!AF68</f>
        <v>Senegal</v>
      </c>
      <c r="D50" s="7">
        <f>WORLDCUP!AC68</f>
        <v>2</v>
      </c>
      <c r="E50" s="7">
        <f>WORLDCUP!AD68</f>
        <v>1</v>
      </c>
    </row>
    <row r="51" spans="1:5">
      <c r="A51" s="7">
        <v>50</v>
      </c>
      <c r="B51" s="606" t="str">
        <f ca="1">WORLDCUP!AA69</f>
        <v>Irak</v>
      </c>
      <c r="C51" t="str">
        <f ca="1">WORLDCUP!AF69</f>
        <v>Noruega</v>
      </c>
      <c r="D51" s="7">
        <f>WORLDCUP!AC69</f>
        <v>0</v>
      </c>
      <c r="E51" s="7">
        <f>WORLDCUP!AD69</f>
        <v>2</v>
      </c>
    </row>
    <row r="52" spans="1:5">
      <c r="A52" s="7">
        <v>51</v>
      </c>
      <c r="B52" s="606" t="str">
        <f ca="1">WORLDCUP!AA70</f>
        <v>Francia</v>
      </c>
      <c r="C52" t="str">
        <f ca="1">WORLDCUP!AF70</f>
        <v>Irak</v>
      </c>
      <c r="D52" s="7">
        <f>WORLDCUP!AC70</f>
        <v>3</v>
      </c>
      <c r="E52" s="7">
        <f>WORLDCUP!AD70</f>
        <v>0</v>
      </c>
    </row>
    <row r="53" spans="1:5">
      <c r="A53" s="7">
        <v>52</v>
      </c>
      <c r="B53" s="606" t="str">
        <f ca="1">WORLDCUP!AA71</f>
        <v>Noruega</v>
      </c>
      <c r="C53" t="str">
        <f ca="1">WORLDCUP!AF71</f>
        <v>Senegal</v>
      </c>
      <c r="D53" s="7">
        <f>WORLDCUP!AC71</f>
        <v>1</v>
      </c>
      <c r="E53" s="7">
        <f>WORLDCUP!AD71</f>
        <v>1</v>
      </c>
    </row>
    <row r="54" spans="1:5">
      <c r="A54" s="7">
        <v>53</v>
      </c>
      <c r="B54" s="606" t="str">
        <f ca="1">WORLDCUP!AA72</f>
        <v>Noruega</v>
      </c>
      <c r="C54" t="str">
        <f ca="1">WORLDCUP!AF72</f>
        <v>Francia</v>
      </c>
      <c r="D54" s="7">
        <f>WORLDCUP!AC72</f>
        <v>0</v>
      </c>
      <c r="E54" s="7">
        <f>WORLDCUP!AD72</f>
        <v>2</v>
      </c>
    </row>
    <row r="55" spans="1:5">
      <c r="A55" s="7">
        <v>54</v>
      </c>
      <c r="B55" s="606" t="str">
        <f ca="1">WORLDCUP!AA73</f>
        <v>Senegal</v>
      </c>
      <c r="C55" t="str">
        <f ca="1">WORLDCUP!AF73</f>
        <v>Irak</v>
      </c>
      <c r="D55" s="7">
        <f>WORLDCUP!AC73</f>
        <v>1</v>
      </c>
      <c r="E55" s="7">
        <f>WORLDCUP!AD73</f>
        <v>0</v>
      </c>
    </row>
    <row r="56" spans="1:5">
      <c r="A56" s="7">
        <v>55</v>
      </c>
      <c r="B56" s="606" t="str">
        <f ca="1">WORLDCUP!AA76</f>
        <v>Argentina</v>
      </c>
      <c r="C56" t="str">
        <f ca="1">WORLDCUP!AF76</f>
        <v>Argelia</v>
      </c>
      <c r="D56" s="7">
        <f>WORLDCUP!AC76</f>
        <v>3</v>
      </c>
      <c r="E56" s="7">
        <f>WORLDCUP!AD76</f>
        <v>0</v>
      </c>
    </row>
    <row r="57" spans="1:5">
      <c r="A57" s="7">
        <v>56</v>
      </c>
      <c r="B57" s="606" t="str">
        <f ca="1">WORLDCUP!AA77</f>
        <v>Austria</v>
      </c>
      <c r="C57" t="str">
        <f ca="1">WORLDCUP!AF77</f>
        <v>Jordania</v>
      </c>
      <c r="D57" s="7">
        <f>WORLDCUP!AC77</f>
        <v>2</v>
      </c>
      <c r="E57" s="7">
        <f>WORLDCUP!AD77</f>
        <v>1</v>
      </c>
    </row>
    <row r="58" spans="1:5">
      <c r="A58" s="7">
        <v>57</v>
      </c>
      <c r="B58" s="606" t="str">
        <f ca="1">WORLDCUP!AA78</f>
        <v>Argentina</v>
      </c>
      <c r="C58" t="str">
        <f ca="1">WORLDCUP!AF78</f>
        <v>Austria</v>
      </c>
      <c r="D58" s="7">
        <f>WORLDCUP!AC78</f>
        <v>2</v>
      </c>
      <c r="E58" s="7">
        <f>WORLDCUP!AD78</f>
        <v>1</v>
      </c>
    </row>
    <row r="59" spans="1:5">
      <c r="A59" s="7">
        <v>58</v>
      </c>
      <c r="B59" s="606" t="str">
        <f ca="1">WORLDCUP!AA79</f>
        <v>Jordania</v>
      </c>
      <c r="C59" t="str">
        <f ca="1">WORLDCUP!AF79</f>
        <v>Argelia</v>
      </c>
      <c r="D59" s="7">
        <f>WORLDCUP!AC79</f>
        <v>0</v>
      </c>
      <c r="E59" s="7">
        <f>WORLDCUP!AD79</f>
        <v>1</v>
      </c>
    </row>
    <row r="60" spans="1:5">
      <c r="A60" s="7">
        <v>59</v>
      </c>
      <c r="B60" s="606" t="str">
        <f ca="1">WORLDCUP!AA80</f>
        <v>Argelia</v>
      </c>
      <c r="C60" t="str">
        <f ca="1">WORLDCUP!AF80</f>
        <v>Austria</v>
      </c>
      <c r="D60" s="7">
        <f>WORLDCUP!AC80</f>
        <v>1</v>
      </c>
      <c r="E60" s="7">
        <f>WORLDCUP!AD80</f>
        <v>2</v>
      </c>
    </row>
    <row r="61" spans="1:5">
      <c r="A61" s="7">
        <v>60</v>
      </c>
      <c r="B61" s="606" t="str">
        <f ca="1">WORLDCUP!AA81</f>
        <v>Jordania</v>
      </c>
      <c r="C61" t="str">
        <f ca="1">WORLDCUP!AF81</f>
        <v>Argentina</v>
      </c>
      <c r="D61" s="7">
        <f>WORLDCUP!AC81</f>
        <v>0</v>
      </c>
      <c r="E61" s="7">
        <f>WORLDCUP!AD81</f>
        <v>2</v>
      </c>
    </row>
    <row r="62" spans="1:5">
      <c r="A62" s="7">
        <v>61</v>
      </c>
      <c r="B62" s="606" t="str">
        <f ca="1">WORLDCUP!AA84</f>
        <v>Portugal</v>
      </c>
      <c r="C62" t="str">
        <f ca="1">WORLDCUP!AF84</f>
        <v>RD Congo</v>
      </c>
      <c r="D62" s="7">
        <f>WORLDCUP!AC84</f>
        <v>2</v>
      </c>
      <c r="E62" s="7">
        <f>WORLDCUP!AD84</f>
        <v>0</v>
      </c>
    </row>
    <row r="63" spans="1:5">
      <c r="A63" s="7">
        <v>62</v>
      </c>
      <c r="B63" s="606" t="str">
        <f ca="1">WORLDCUP!AA85</f>
        <v>Uzbekistán</v>
      </c>
      <c r="C63" t="str">
        <f ca="1">WORLDCUP!AF85</f>
        <v>Colombia</v>
      </c>
      <c r="D63" s="7">
        <f>WORLDCUP!AC85</f>
        <v>0</v>
      </c>
      <c r="E63" s="7">
        <f>WORLDCUP!AD85</f>
        <v>3</v>
      </c>
    </row>
    <row r="64" spans="1:5">
      <c r="A64" s="7">
        <v>63</v>
      </c>
      <c r="B64" s="606" t="str">
        <f ca="1">WORLDCUP!AA86</f>
        <v>Portugal</v>
      </c>
      <c r="C64" t="str">
        <f ca="1">WORLDCUP!AF86</f>
        <v>Uzbekistán</v>
      </c>
      <c r="D64" s="7">
        <f>WORLDCUP!AC86</f>
        <v>3</v>
      </c>
      <c r="E64" s="7">
        <f>WORLDCUP!AD86</f>
        <v>1</v>
      </c>
    </row>
    <row r="65" spans="1:5">
      <c r="A65" s="7">
        <v>64</v>
      </c>
      <c r="B65" s="606" t="str">
        <f ca="1">WORLDCUP!AA87</f>
        <v>Colombia</v>
      </c>
      <c r="C65" t="str">
        <f ca="1">WORLDCUP!AF87</f>
        <v>RD Congo</v>
      </c>
      <c r="D65" s="7">
        <f>WORLDCUP!AC87</f>
        <v>2</v>
      </c>
      <c r="E65" s="7">
        <f>WORLDCUP!AD87</f>
        <v>1</v>
      </c>
    </row>
    <row r="66" spans="1:5">
      <c r="A66" s="7">
        <v>65</v>
      </c>
      <c r="B66" s="606" t="str">
        <f ca="1">WORLDCUP!AA88</f>
        <v>Colombia</v>
      </c>
      <c r="C66" t="str">
        <f ca="1">WORLDCUP!AF88</f>
        <v>Portugal</v>
      </c>
      <c r="D66" s="7">
        <f>WORLDCUP!AC88</f>
        <v>1</v>
      </c>
      <c r="E66" s="7">
        <f>WORLDCUP!AD88</f>
        <v>1</v>
      </c>
    </row>
    <row r="67" spans="1:5">
      <c r="A67" s="7">
        <v>66</v>
      </c>
      <c r="B67" s="606" t="str">
        <f ca="1">WORLDCUP!AA89</f>
        <v>RD Congo</v>
      </c>
      <c r="C67" t="str">
        <f ca="1">WORLDCUP!AF89</f>
        <v>Uzbekistán</v>
      </c>
      <c r="D67" s="7">
        <f>WORLDCUP!AC89</f>
        <v>1</v>
      </c>
      <c r="E67" s="7">
        <f>WORLDCUP!AD89</f>
        <v>0</v>
      </c>
    </row>
    <row r="68" spans="1:5">
      <c r="A68" s="7">
        <v>67</v>
      </c>
      <c r="B68" s="606" t="str">
        <f ca="1">WORLDCUP!AA92</f>
        <v>Inglaterra</v>
      </c>
      <c r="C68" t="str">
        <f ca="1">WORLDCUP!AF92</f>
        <v>Croacia</v>
      </c>
      <c r="D68" s="7">
        <f>WORLDCUP!AC92</f>
        <v>1</v>
      </c>
      <c r="E68" s="7">
        <f>WORLDCUP!AD92</f>
        <v>1</v>
      </c>
    </row>
    <row r="69" spans="1:5">
      <c r="A69" s="7">
        <v>68</v>
      </c>
      <c r="B69" s="606" t="str">
        <f ca="1">WORLDCUP!AA93</f>
        <v>Ghana</v>
      </c>
      <c r="C69" t="str">
        <f ca="1">WORLDCUP!AF93</f>
        <v>Panamá</v>
      </c>
      <c r="D69" s="7">
        <f>WORLDCUP!AC93</f>
        <v>1</v>
      </c>
      <c r="E69" s="7">
        <f>WORLDCUP!AD93</f>
        <v>1</v>
      </c>
    </row>
    <row r="70" spans="1:5">
      <c r="A70" s="7">
        <v>69</v>
      </c>
      <c r="B70" s="606" t="str">
        <f ca="1">WORLDCUP!AA94</f>
        <v>Inglaterra</v>
      </c>
      <c r="C70" t="str">
        <f ca="1">WORLDCUP!AF94</f>
        <v>Ghana</v>
      </c>
      <c r="D70" s="7">
        <f>WORLDCUP!AC94</f>
        <v>3</v>
      </c>
      <c r="E70" s="7">
        <f>WORLDCUP!AD94</f>
        <v>1</v>
      </c>
    </row>
    <row r="71" spans="1:5">
      <c r="A71" s="7">
        <v>70</v>
      </c>
      <c r="B71" s="606" t="str">
        <f ca="1">WORLDCUP!AA95</f>
        <v>Panamá</v>
      </c>
      <c r="C71" t="str">
        <f ca="1">WORLDCUP!AF95</f>
        <v>Croacia</v>
      </c>
      <c r="D71" s="7">
        <f>WORLDCUP!AC95</f>
        <v>0</v>
      </c>
      <c r="E71" s="7">
        <f>WORLDCUP!AD95</f>
        <v>2</v>
      </c>
    </row>
    <row r="72" spans="1:5">
      <c r="A72" s="7">
        <v>71</v>
      </c>
      <c r="B72" s="606" t="str">
        <f ca="1">WORLDCUP!AA96</f>
        <v>Panamá</v>
      </c>
      <c r="C72" t="str">
        <f ca="1">WORLDCUP!AF96</f>
        <v>Inglaterra</v>
      </c>
      <c r="D72" s="7">
        <f>WORLDCUP!AC96</f>
        <v>0</v>
      </c>
      <c r="E72" s="7">
        <f>WORLDCUP!AD96</f>
        <v>2</v>
      </c>
    </row>
    <row r="73" spans="1:5">
      <c r="A73" s="7">
        <v>72</v>
      </c>
      <c r="B73" s="606" t="str">
        <f ca="1">WORLDCUP!AA97</f>
        <v>Croacia</v>
      </c>
      <c r="C73" t="str">
        <f ca="1">WORLDCUP!AF97</f>
        <v>Ghana</v>
      </c>
      <c r="D73" s="7">
        <f>WORLDCUP!AC97</f>
        <v>2</v>
      </c>
      <c r="E73" s="7">
        <f>WORLDCUP!AD97</f>
        <v>1</v>
      </c>
    </row>
    <row r="74" spans="1:5">
      <c r="A74" s="7">
        <v>73</v>
      </c>
      <c r="B74" s="606" t="str">
        <f ca="1">WORLDCUP!AA101</f>
        <v>Corea del Sur</v>
      </c>
      <c r="C74" t="str">
        <f ca="1">WORLDCUP!AF101</f>
        <v>Canadá</v>
      </c>
      <c r="D74" s="7">
        <f>WORLDCUP!AC101</f>
        <v>1</v>
      </c>
      <c r="E74" s="7">
        <f>WORLDCUP!AD101</f>
        <v>1</v>
      </c>
    </row>
    <row r="75" spans="1:5">
      <c r="A75" s="7">
        <v>74</v>
      </c>
      <c r="B75" s="606" t="str">
        <f ca="1">WORLDCUP!AA102</f>
        <v>Marruecos</v>
      </c>
      <c r="C75" t="str">
        <f ca="1">WORLDCUP!AF102</f>
        <v>Países Bajos</v>
      </c>
      <c r="D75" s="7">
        <f>WORLDCUP!AC102</f>
        <v>1</v>
      </c>
      <c r="E75" s="7">
        <f>WORLDCUP!AD102</f>
        <v>1</v>
      </c>
    </row>
    <row r="76" spans="1:5">
      <c r="A76" s="7">
        <v>75</v>
      </c>
      <c r="B76" s="606" t="str">
        <f ca="1">WORLDCUP!AA103</f>
        <v>Alemania</v>
      </c>
      <c r="C76" t="str">
        <f ca="1">WORLDCUP!AF103</f>
        <v>Brasil</v>
      </c>
      <c r="D76" s="7">
        <f>WORLDCUP!AC103</f>
        <v>2</v>
      </c>
      <c r="E76" s="7">
        <f>WORLDCUP!AD103</f>
        <v>1</v>
      </c>
    </row>
    <row r="77" spans="1:5">
      <c r="A77" s="7">
        <v>76</v>
      </c>
      <c r="B77" s="606" t="str">
        <f ca="1">WORLDCUP!AA104</f>
        <v>Japón</v>
      </c>
      <c r="C77" t="str">
        <f ca="1">WORLDCUP!AF104</f>
        <v>Escocia</v>
      </c>
      <c r="D77" s="7">
        <f>WORLDCUP!AC104</f>
        <v>2</v>
      </c>
      <c r="E77" s="7">
        <f>WORLDCUP!AD104</f>
        <v>0</v>
      </c>
    </row>
    <row r="78" spans="1:5">
      <c r="A78" s="7">
        <v>77</v>
      </c>
      <c r="B78" s="606" t="str">
        <f ca="1">WORLDCUP!AA105</f>
        <v>Costa de Marfil</v>
      </c>
      <c r="C78" t="str">
        <f ca="1">WORLDCUP!AF105</f>
        <v>Senegal</v>
      </c>
      <c r="D78" s="7">
        <f>WORLDCUP!AC105</f>
        <v>1</v>
      </c>
      <c r="E78" s="7">
        <f>WORLDCUP!AD105</f>
        <v>1</v>
      </c>
    </row>
    <row r="79" spans="1:5">
      <c r="A79" s="7">
        <v>78</v>
      </c>
      <c r="B79" s="606" t="str">
        <f ca="1">WORLDCUP!AA106</f>
        <v>Francia</v>
      </c>
      <c r="C79" t="str">
        <f ca="1">WORLDCUP!AF106</f>
        <v>Nueva Zelanda</v>
      </c>
      <c r="D79" s="7">
        <f>WORLDCUP!AC106</f>
        <v>3</v>
      </c>
      <c r="E79" s="7">
        <f>WORLDCUP!AD106</f>
        <v>0</v>
      </c>
    </row>
    <row r="80" spans="1:5">
      <c r="A80" s="7">
        <v>79</v>
      </c>
      <c r="B80" s="606" t="str">
        <f ca="1">WORLDCUP!AA107</f>
        <v>México</v>
      </c>
      <c r="C80" t="str">
        <f ca="1">WORLDCUP!AF107</f>
        <v>Ecuador</v>
      </c>
      <c r="D80" s="7">
        <f>WORLDCUP!AC107</f>
        <v>1</v>
      </c>
      <c r="E80" s="7">
        <f>WORLDCUP!AD107</f>
        <v>1</v>
      </c>
    </row>
    <row r="81" spans="1:5">
      <c r="A81" s="7">
        <v>80</v>
      </c>
      <c r="B81" s="606" t="str">
        <f ca="1">WORLDCUP!AA108</f>
        <v>Inglaterra</v>
      </c>
      <c r="C81" t="str">
        <f ca="1">WORLDCUP!AF108</f>
        <v>RD Congo</v>
      </c>
      <c r="D81" s="7">
        <f>WORLDCUP!AC108</f>
        <v>2</v>
      </c>
      <c r="E81" s="7">
        <f>WORLDCUP!AD108</f>
        <v>0</v>
      </c>
    </row>
    <row r="82" spans="1:5">
      <c r="A82" s="7">
        <v>81</v>
      </c>
      <c r="B82" s="606" t="str">
        <f ca="1">WORLDCUP!AA109</f>
        <v>Bélgica</v>
      </c>
      <c r="C82" t="str">
        <f ca="1">WORLDCUP!AF109</f>
        <v>República Checa</v>
      </c>
      <c r="D82" s="7">
        <f>WORLDCUP!AC109</f>
        <v>2</v>
      </c>
      <c r="E82" s="7">
        <f>WORLDCUP!AD109</f>
        <v>1</v>
      </c>
    </row>
    <row r="83" spans="1:5">
      <c r="A83" s="7">
        <v>82</v>
      </c>
      <c r="B83" s="606" t="str">
        <f ca="1">WORLDCUP!AA110</f>
        <v>Turquía</v>
      </c>
      <c r="C83" t="str">
        <f ca="1">WORLDCUP!AF110</f>
        <v>Bosnia y Herzegovina</v>
      </c>
      <c r="D83" s="7">
        <f>WORLDCUP!AC110</f>
        <v>2</v>
      </c>
      <c r="E83" s="7">
        <f>WORLDCUP!AD110</f>
        <v>0</v>
      </c>
    </row>
    <row r="84" spans="1:5">
      <c r="A84" s="7">
        <v>83</v>
      </c>
      <c r="B84" s="606" t="str">
        <f ca="1">WORLDCUP!AA111</f>
        <v>España</v>
      </c>
      <c r="C84" t="str">
        <f ca="1">WORLDCUP!AF111</f>
        <v>Austria</v>
      </c>
      <c r="D84" s="7">
        <f>WORLDCUP!AC111</f>
        <v>2</v>
      </c>
      <c r="E84" s="7">
        <f>WORLDCUP!AD111</f>
        <v>0</v>
      </c>
    </row>
    <row r="85" spans="1:5">
      <c r="A85" s="7">
        <v>84</v>
      </c>
      <c r="B85" s="606" t="str">
        <f ca="1">WORLDCUP!AA112</f>
        <v>Colombia</v>
      </c>
      <c r="C85" t="str">
        <f ca="1">WORLDCUP!AF112</f>
        <v>Croacia</v>
      </c>
      <c r="D85" s="7">
        <f>WORLDCUP!AC112</f>
        <v>2</v>
      </c>
      <c r="E85" s="7">
        <f>WORLDCUP!AD112</f>
        <v>2</v>
      </c>
    </row>
    <row r="86" spans="1:5">
      <c r="A86" s="7">
        <v>85</v>
      </c>
      <c r="B86" s="606" t="str">
        <f ca="1">WORLDCUP!AA113</f>
        <v>Suiza</v>
      </c>
      <c r="C86" t="str">
        <f ca="1">WORLDCUP!AF113</f>
        <v>Argelia</v>
      </c>
      <c r="D86" s="7">
        <f>WORLDCUP!AC113</f>
        <v>1</v>
      </c>
      <c r="E86" s="7">
        <f>WORLDCUP!AD113</f>
        <v>0</v>
      </c>
    </row>
    <row r="87" spans="1:5">
      <c r="A87" s="7">
        <v>86</v>
      </c>
      <c r="B87" s="606" t="str">
        <f ca="1">WORLDCUP!AA114</f>
        <v>Estados Unidos</v>
      </c>
      <c r="C87" t="str">
        <f ca="1">WORLDCUP!AF114</f>
        <v>Irán</v>
      </c>
      <c r="D87" s="7">
        <f>WORLDCUP!AC114</f>
        <v>1</v>
      </c>
      <c r="E87" s="7">
        <f>WORLDCUP!AD114</f>
        <v>0</v>
      </c>
    </row>
    <row r="88" spans="1:5">
      <c r="A88" s="7">
        <v>87</v>
      </c>
      <c r="B88" s="606" t="str">
        <f ca="1">WORLDCUP!AA115</f>
        <v>Argentina</v>
      </c>
      <c r="C88" t="str">
        <f ca="1">WORLDCUP!AF115</f>
        <v>Uruguay</v>
      </c>
      <c r="D88" s="7">
        <f>WORLDCUP!AC115</f>
        <v>2</v>
      </c>
      <c r="E88" s="7">
        <f>WORLDCUP!AD115</f>
        <v>1</v>
      </c>
    </row>
    <row r="89" spans="1:5">
      <c r="A89" s="7">
        <v>88</v>
      </c>
      <c r="B89" s="606" t="str">
        <f ca="1">WORLDCUP!AA116</f>
        <v>Portugal</v>
      </c>
      <c r="C89" t="str">
        <f ca="1">WORLDCUP!AF116</f>
        <v>Noruega</v>
      </c>
      <c r="D89" s="7">
        <f>WORLDCUP!AC116</f>
        <v>2</v>
      </c>
      <c r="E89" s="7">
        <f>WORLDCUP!AD116</f>
        <v>1</v>
      </c>
    </row>
    <row r="90" spans="1:5">
      <c r="A90" s="7">
        <v>89</v>
      </c>
      <c r="B90" s="606" t="str">
        <f ca="1">WORLDCUP!AA120</f>
        <v>Canadá</v>
      </c>
      <c r="C90" t="str">
        <f ca="1">WORLDCUP!AF120</f>
        <v>Japón</v>
      </c>
      <c r="D90" s="7">
        <f>WORLDCUP!AC120</f>
        <v>1</v>
      </c>
      <c r="E90" s="7">
        <f>WORLDCUP!AD120</f>
        <v>2</v>
      </c>
    </row>
    <row r="91" spans="1:5">
      <c r="A91" s="7">
        <v>90</v>
      </c>
      <c r="B91" s="606" t="str">
        <f ca="1">WORLDCUP!AA121</f>
        <v>Alemania</v>
      </c>
      <c r="C91" t="str">
        <f ca="1">WORLDCUP!AF121</f>
        <v>Francia</v>
      </c>
      <c r="D91" s="7">
        <f>WORLDCUP!AC121</f>
        <v>1</v>
      </c>
      <c r="E91" s="7">
        <f>WORLDCUP!AD121</f>
        <v>2</v>
      </c>
    </row>
    <row r="92" spans="1:5">
      <c r="A92" s="7">
        <v>91</v>
      </c>
      <c r="B92" s="606" t="str">
        <f ca="1">WORLDCUP!AA122</f>
        <v>Marruecos</v>
      </c>
      <c r="C92" t="str">
        <f ca="1">WORLDCUP!AF122</f>
        <v>Senegal</v>
      </c>
      <c r="D92" s="7">
        <f>WORLDCUP!AC122</f>
        <v>1</v>
      </c>
      <c r="E92" s="7">
        <f>WORLDCUP!AD122</f>
        <v>1</v>
      </c>
    </row>
    <row r="93" spans="1:5">
      <c r="A93" s="7">
        <v>92</v>
      </c>
      <c r="B93" s="606" t="str">
        <f ca="1">WORLDCUP!AA123</f>
        <v>Ecuador</v>
      </c>
      <c r="C93" t="str">
        <f ca="1">WORLDCUP!AF123</f>
        <v>Inglaterra</v>
      </c>
      <c r="D93" s="7">
        <f>WORLDCUP!AC123</f>
        <v>0</v>
      </c>
      <c r="E93" s="7">
        <f>WORLDCUP!AD123</f>
        <v>2</v>
      </c>
    </row>
    <row r="94" spans="1:5">
      <c r="A94" s="7">
        <v>93</v>
      </c>
      <c r="B94" s="606" t="str">
        <f ca="1">WORLDCUP!AA124</f>
        <v>Croacia</v>
      </c>
      <c r="C94" t="str">
        <f ca="1">WORLDCUP!AF124</f>
        <v>España</v>
      </c>
      <c r="D94" s="7">
        <f>WORLDCUP!AC124</f>
        <v>1</v>
      </c>
      <c r="E94" s="7">
        <f>WORLDCUP!AD124</f>
        <v>2</v>
      </c>
    </row>
    <row r="95" spans="1:5">
      <c r="A95" s="7">
        <v>94</v>
      </c>
      <c r="B95" s="606" t="str">
        <f ca="1">WORLDCUP!AA125</f>
        <v>Turquía</v>
      </c>
      <c r="C95" t="str">
        <f ca="1">WORLDCUP!AF125</f>
        <v>Bélgica</v>
      </c>
      <c r="D95" s="7">
        <f>WORLDCUP!AC125</f>
        <v>1</v>
      </c>
      <c r="E95" s="7">
        <f>WORLDCUP!AD125</f>
        <v>2</v>
      </c>
    </row>
    <row r="96" spans="1:5">
      <c r="A96" s="7">
        <v>95</v>
      </c>
      <c r="B96" s="606" t="str">
        <f ca="1">WORLDCUP!AA126</f>
        <v>Argentina</v>
      </c>
      <c r="C96" t="str">
        <f ca="1">WORLDCUP!AF126</f>
        <v>Estados Unidos</v>
      </c>
      <c r="D96" s="7">
        <f>WORLDCUP!AC126</f>
        <v>2</v>
      </c>
      <c r="E96" s="7">
        <f>WORLDCUP!AD126</f>
        <v>0</v>
      </c>
    </row>
    <row r="97" spans="1:7">
      <c r="A97" s="7">
        <v>96</v>
      </c>
      <c r="B97" s="606" t="str">
        <f ca="1">WORLDCUP!AA127</f>
        <v>Suiza</v>
      </c>
      <c r="C97" t="str">
        <f ca="1">WORLDCUP!AF127</f>
        <v>Portugal</v>
      </c>
      <c r="D97" s="7">
        <f>WORLDCUP!AC127</f>
        <v>0</v>
      </c>
      <c r="E97" s="7">
        <f>WORLDCUP!AD127</f>
        <v>2</v>
      </c>
    </row>
    <row r="98" spans="1:7">
      <c r="A98" s="7">
        <v>97</v>
      </c>
      <c r="B98" s="606" t="str">
        <f ca="1">WORLDCUP!AA131</f>
        <v>Francia</v>
      </c>
      <c r="C98" t="str">
        <f ca="1">WORLDCUP!AF131</f>
        <v>Japón</v>
      </c>
      <c r="D98" s="7">
        <f>WORLDCUP!AC131</f>
        <v>2</v>
      </c>
      <c r="E98" s="7">
        <f>WORLDCUP!AD131</f>
        <v>1</v>
      </c>
    </row>
    <row r="99" spans="1:7">
      <c r="A99" s="7">
        <v>98</v>
      </c>
      <c r="B99" s="606" t="str">
        <f ca="1">WORLDCUP!AA132</f>
        <v>España</v>
      </c>
      <c r="C99" t="str">
        <f ca="1">WORLDCUP!AF132</f>
        <v>Bélgica</v>
      </c>
      <c r="D99" s="7">
        <f>WORLDCUP!AC132</f>
        <v>2</v>
      </c>
      <c r="E99" s="7">
        <f>WORLDCUP!AD132</f>
        <v>1</v>
      </c>
    </row>
    <row r="100" spans="1:7">
      <c r="A100" s="7">
        <v>99</v>
      </c>
      <c r="B100" s="606" t="str">
        <f ca="1">WORLDCUP!AA133</f>
        <v>Senegal</v>
      </c>
      <c r="C100" t="str">
        <f ca="1">WORLDCUP!AF133</f>
        <v>Inglaterra</v>
      </c>
      <c r="D100" s="7">
        <f>WORLDCUP!AC133</f>
        <v>0</v>
      </c>
      <c r="E100" s="7">
        <f>WORLDCUP!AD133</f>
        <v>2</v>
      </c>
    </row>
    <row r="101" spans="1:7">
      <c r="A101" s="7">
        <v>100</v>
      </c>
      <c r="B101" s="606" t="str">
        <f ca="1">WORLDCUP!AA134</f>
        <v>Argentina</v>
      </c>
      <c r="C101" t="str">
        <f ca="1">WORLDCUP!AF134</f>
        <v>Portugal</v>
      </c>
      <c r="D101" s="7">
        <f>WORLDCUP!AC134</f>
        <v>1</v>
      </c>
      <c r="E101" s="7">
        <f>WORLDCUP!AD134</f>
        <v>2</v>
      </c>
    </row>
    <row r="102" spans="1:7">
      <c r="A102" s="7">
        <v>101</v>
      </c>
      <c r="B102" s="606" t="str">
        <f ca="1">WORLDCUP!AA138</f>
        <v>Francia</v>
      </c>
      <c r="C102" t="str">
        <f ca="1">WORLDCUP!AF138</f>
        <v>España</v>
      </c>
      <c r="D102" s="7">
        <f>WORLDCUP!AC138</f>
        <v>2</v>
      </c>
      <c r="E102" s="7">
        <f>WORLDCUP!AD138</f>
        <v>2</v>
      </c>
    </row>
    <row r="103" spans="1:7">
      <c r="A103" s="7">
        <v>102</v>
      </c>
      <c r="B103" s="606" t="str">
        <f ca="1">WORLDCUP!AA139</f>
        <v>Inglaterra</v>
      </c>
      <c r="C103" t="str">
        <f ca="1">WORLDCUP!AF139</f>
        <v>Portugal</v>
      </c>
      <c r="D103" s="7">
        <f>WORLDCUP!AC139</f>
        <v>1</v>
      </c>
      <c r="E103" s="7">
        <f>WORLDCUP!AD139</f>
        <v>2</v>
      </c>
    </row>
    <row r="104" spans="1:7">
      <c r="A104" s="7">
        <v>103</v>
      </c>
      <c r="B104" s="606" t="str">
        <f ca="1">WORLDCUP!AA143</f>
        <v>Francia</v>
      </c>
      <c r="C104" t="str">
        <f ca="1">WORLDCUP!AF143</f>
        <v>Inglaterra</v>
      </c>
      <c r="D104" s="7">
        <f>WORLDCUP!AC143</f>
        <v>1</v>
      </c>
      <c r="E104" s="7">
        <f>WORLDCUP!AD143</f>
        <v>2</v>
      </c>
    </row>
    <row r="105" spans="1:7">
      <c r="A105" s="7">
        <v>104</v>
      </c>
      <c r="B105" s="606" t="str">
        <f ca="1">WORLDCUP!AA147</f>
        <v>España</v>
      </c>
      <c r="C105" t="str">
        <f ca="1">WORLDCUP!AF147</f>
        <v>Portugal</v>
      </c>
      <c r="D105" s="7">
        <f>WORLDCUP!AC147</f>
        <v>2</v>
      </c>
      <c r="E105" s="7">
        <f>WORLDCUP!AD147</f>
        <v>1</v>
      </c>
    </row>
    <row r="106" spans="1:7">
      <c r="B106" s="606"/>
    </row>
    <row r="107" spans="1:7">
      <c r="B107" s="606"/>
    </row>
    <row r="108" spans="1:7">
      <c r="B108" s="606"/>
    </row>
    <row r="109" spans="1:7">
      <c r="A109" s="7">
        <v>988</v>
      </c>
      <c r="B109" s="606"/>
      <c r="F109" t="s">
        <v>1518</v>
      </c>
      <c r="G109" t="str">
        <f>WORLDCUP!AA154</f>
        <v>Mbappe</v>
      </c>
    </row>
    <row r="110" spans="1:7">
      <c r="A110" s="7">
        <v>999</v>
      </c>
      <c r="F110" t="s">
        <v>1519</v>
      </c>
      <c r="G110" t="str">
        <f>WORLDCUP!AA156</f>
        <v>Lamine Yamal</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República Checa</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Marruecos</v>
      </c>
    </row>
    <row r="123" spans="1:4">
      <c r="A123" s="7">
        <v>1009</v>
      </c>
      <c r="B123" t="s">
        <v>1523</v>
      </c>
      <c r="C123" s="7">
        <v>2</v>
      </c>
      <c r="D123" t="str">
        <f ca="1">WORLDCUP!AL23</f>
        <v>Escocia</v>
      </c>
    </row>
    <row r="124" spans="1:4">
      <c r="A124" s="7">
        <v>1010</v>
      </c>
      <c r="B124" t="s">
        <v>1523</v>
      </c>
      <c r="C124" s="7">
        <v>3</v>
      </c>
      <c r="D124" t="str">
        <f ca="1">WORLDCUP!AL24</f>
        <v>Brasil</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Costa de Marfil</v>
      </c>
    </row>
    <row r="132" spans="1:4">
      <c r="A132" s="7">
        <v>1018</v>
      </c>
      <c r="B132" t="s">
        <v>1525</v>
      </c>
      <c r="C132" s="7">
        <v>3</v>
      </c>
      <c r="D132" t="str">
        <f ca="1">WORLDCUP!AL40</f>
        <v>Ecuador</v>
      </c>
    </row>
    <row r="133" spans="1:4">
      <c r="A133" s="7">
        <v>1019</v>
      </c>
      <c r="B133" t="s">
        <v>1525</v>
      </c>
      <c r="C133" s="7">
        <v>4</v>
      </c>
      <c r="D133" t="str">
        <f ca="1">WORLDCUP!AL41</f>
        <v>Curazao</v>
      </c>
    </row>
    <row r="134" spans="1:4">
      <c r="A134" s="7">
        <v>1020</v>
      </c>
      <c r="B134" t="s">
        <v>1526</v>
      </c>
      <c r="C134" s="7">
        <v>1</v>
      </c>
      <c r="D134" t="str">
        <f ca="1">WORLDCUP!AL46</f>
        <v>Japón</v>
      </c>
    </row>
    <row r="135" spans="1:4">
      <c r="A135" s="7">
        <v>1021</v>
      </c>
      <c r="B135" t="s">
        <v>1526</v>
      </c>
      <c r="C135" s="7">
        <v>2</v>
      </c>
      <c r="D135" t="str">
        <f ca="1">WORLDCUP!AL47</f>
        <v>Países Bajos</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Irán</v>
      </c>
    </row>
    <row r="140" spans="1:4">
      <c r="A140" s="7">
        <v>1026</v>
      </c>
      <c r="B140" t="s">
        <v>1527</v>
      </c>
      <c r="C140" s="7">
        <v>3</v>
      </c>
      <c r="D140" t="str">
        <f ca="1">WORLDCUP!AL56</f>
        <v>Nueva Zelanda</v>
      </c>
    </row>
    <row r="141" spans="1:4">
      <c r="A141" s="7">
        <v>1027</v>
      </c>
      <c r="B141" t="s">
        <v>1527</v>
      </c>
      <c r="C141" s="7">
        <v>4</v>
      </c>
      <c r="D141" t="str">
        <f ca="1">WORLDCUP!AL57</f>
        <v>Egipto</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Senegal</v>
      </c>
    </row>
    <row r="148" spans="1:4">
      <c r="A148" s="7">
        <v>1034</v>
      </c>
      <c r="B148" t="s">
        <v>1529</v>
      </c>
      <c r="C148" s="7">
        <v>3</v>
      </c>
      <c r="D148" t="str">
        <f ca="1">WORLDCUP!AL72</f>
        <v>Noruega</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5"/>
  <cols>
    <col min="1" max="1" width="10.81640625" style="13" customWidth="1"/>
    <col min="2" max="2" width="29.453125" customWidth="1"/>
    <col min="3" max="3" width="35" customWidth="1"/>
    <col min="4" max="4" width="12.6328125" style="350" customWidth="1"/>
    <col min="5" max="8" width="10.81640625" style="350" customWidth="1"/>
    <col min="9" max="9" width="3.08984375" style="350" customWidth="1"/>
    <col min="10" max="12" width="10.81640625" style="350" customWidth="1"/>
    <col min="13" max="13" width="3.6328125" style="350" customWidth="1"/>
    <col min="14" max="14" width="4.6328125" style="350" customWidth="1"/>
    <col min="15" max="15" width="4" customWidth="1"/>
    <col min="16" max="16" width="4.81640625" customWidth="1"/>
    <col min="17" max="16384" width="10.81640625" style="1" hidden="1"/>
  </cols>
  <sheetData>
    <row r="1" spans="1:14" ht="20" customHeight="1">
      <c r="A1" s="274"/>
      <c r="B1" s="275"/>
      <c r="C1" s="303" t="str">
        <f>Idiomas!D102</f>
        <v>Para el administrador de la porra</v>
      </c>
      <c r="D1" s="348"/>
      <c r="E1" s="676" t="str">
        <f>Idiomas!D106</f>
        <v>EL ADMINISTRADOR DE LA PORRA SEGUIRÁ LAS INSTRUCCIONES DE AQUÍ ABAJO</v>
      </c>
      <c r="F1" s="676"/>
      <c r="G1" s="676"/>
      <c r="H1" s="676"/>
      <c r="I1" s="676"/>
      <c r="J1" s="676"/>
      <c r="K1" s="676"/>
      <c r="L1" s="676"/>
      <c r="M1" s="676"/>
      <c r="N1" s="676"/>
    </row>
    <row r="2" spans="1:14" ht="20" customHeight="1" thickBot="1">
      <c r="A2" s="272"/>
      <c r="B2" s="273"/>
      <c r="C2" s="273"/>
      <c r="D2" s="349"/>
      <c r="E2" s="676"/>
      <c r="F2" s="676"/>
      <c r="G2" s="676"/>
      <c r="H2" s="676"/>
      <c r="I2" s="676"/>
      <c r="J2" s="676"/>
      <c r="K2" s="676"/>
      <c r="L2" s="676"/>
      <c r="M2" s="676"/>
      <c r="N2" s="676"/>
    </row>
    <row r="3" spans="1:14" ht="35" customHeight="1" thickBot="1">
      <c r="A3" s="272"/>
      <c r="B3" s="276" t="str">
        <f>HYPERLINK(Idiomas!D10,Idiomas!D9)</f>
        <v>▼ Descargar Excel Administrador Porra ▼</v>
      </c>
      <c r="C3" s="273"/>
      <c r="D3" s="349"/>
      <c r="E3" s="679" t="str">
        <f>Idiomas!D107</f>
        <v>·Si haceis todo el Mundial de golpe, incluido el predictor, copiar de la C5 a la C258 y pegar valores en la plantilla de Administrador.</v>
      </c>
      <c r="F3" s="679"/>
      <c r="G3" s="679"/>
      <c r="H3" s="679"/>
      <c r="I3" s="679"/>
      <c r="J3" s="679"/>
      <c r="K3" s="679"/>
      <c r="L3" s="679"/>
      <c r="M3" s="679"/>
      <c r="N3" s="680"/>
    </row>
    <row r="4" spans="1:14" ht="45" customHeight="1">
      <c r="A4" s="272"/>
      <c r="B4" s="273"/>
      <c r="C4" s="554" t="str">
        <f>Idiomas!D105</f>
        <v>¡No tocar nada, se rellena solo!</v>
      </c>
      <c r="D4" s="349"/>
      <c r="E4" s="678"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78"/>
      <c r="G4" s="678"/>
      <c r="H4" s="678"/>
      <c r="I4" s="678"/>
      <c r="J4" s="678"/>
      <c r="K4" s="678"/>
      <c r="L4" s="678"/>
      <c r="M4" s="678"/>
      <c r="N4" s="358"/>
    </row>
    <row r="5" spans="1:14" ht="19" customHeight="1">
      <c r="A5" s="334"/>
      <c r="B5" s="335" t="str">
        <f>Idiomas!D125</f>
        <v>FASE DE GRUPOS</v>
      </c>
      <c r="C5" s="327" t="str">
        <f>Home!C10</f>
        <v>Nombre</v>
      </c>
      <c r="E5" s="681" t="str">
        <f>Idiomas!D109</f>
        <v>·Si haceis jornada a jornada seguir las instrucciones de cada jornada</v>
      </c>
      <c r="F5" s="681"/>
      <c r="G5" s="681"/>
      <c r="H5" s="681"/>
      <c r="I5" s="681"/>
      <c r="J5" s="359"/>
      <c r="K5" s="359"/>
      <c r="L5" s="359"/>
      <c r="M5" s="360"/>
      <c r="N5" s="358"/>
    </row>
    <row r="6" spans="1:14" ht="15" customHeight="1">
      <c r="A6" s="336" t="s">
        <v>114</v>
      </c>
      <c r="B6" s="337" t="str">
        <f ca="1">CONCATENATE(WORLDCUP!AA4,"-",WORLDCUP!AF4)</f>
        <v>México-Sudáfrica</v>
      </c>
      <c r="C6" s="328" t="str">
        <f>CONCATENATE(IF(WORLDCUP!AC4&gt;WORLDCUP!AD4,1,IF(WORLDCUP!AC4&lt;WORLDCUP!AD4,2,IF(AND(WORLDCUP!AC4=WORLDCUP!AD4,WORLDCUP!AC4&lt;&gt;"",WORLDCUP!AD4&lt;&gt;""),"X",0))),"|",WORLDCUP!AC4,"-",WORLDCUP!AD4)</f>
        <v>1|2-1</v>
      </c>
      <c r="D6" s="672" t="str">
        <f>Idiomas!D122</f>
        <v>J1</v>
      </c>
      <c r="E6" s="677" t="str">
        <f>Idiomas!D110</f>
        <v>·Para la primera jornada copiar de la C5 a la C29 y pega valores en la plantilla de administrador. ¡OJO! COPIAR TAMBIÉN de la C253 a la C258.</v>
      </c>
      <c r="F6" s="677"/>
      <c r="G6" s="677"/>
      <c r="H6" s="677"/>
      <c r="I6" s="361"/>
      <c r="J6" s="351"/>
      <c r="K6" s="351"/>
      <c r="L6" s="351"/>
      <c r="M6" s="360"/>
      <c r="N6" s="358"/>
    </row>
    <row r="7" spans="1:14" ht="15" customHeight="1">
      <c r="A7" s="336" t="s">
        <v>114</v>
      </c>
      <c r="B7" s="337" t="str">
        <f ca="1">CONCATENATE(WORLDCUP!AA5,"-",WORLDCUP!AF5)</f>
        <v>Corea del Sur-República Checa</v>
      </c>
      <c r="C7" s="329" t="str">
        <f>CONCATENATE(IF(WORLDCUP!AC5&gt;WORLDCUP!AD5,1,IF(WORLDCUP!AC5&lt;WORLDCUP!AD5,2,IF(AND(WORLDCUP!AC5=WORLDCUP!AD5,WORLDCUP!AC5&lt;&gt;"",WORLDCUP!AD5&lt;&gt;""),"X",0))),"|",WORLDCUP!AC5,"-",WORLDCUP!AD5)</f>
        <v>X|1-1</v>
      </c>
      <c r="D7" s="672"/>
      <c r="E7" s="661"/>
      <c r="F7" s="661"/>
      <c r="G7" s="661"/>
      <c r="H7" s="661"/>
      <c r="I7" s="362"/>
      <c r="J7" s="351"/>
      <c r="K7" s="351"/>
      <c r="L7" s="351"/>
      <c r="M7" s="360"/>
      <c r="N7" s="358"/>
    </row>
    <row r="8" spans="1:14" ht="15" customHeight="1">
      <c r="A8" s="38" t="s">
        <v>115</v>
      </c>
      <c r="B8" s="338" t="str">
        <f ca="1">CONCATENATE(WORLDCUP!AA12,"-",WORLDCUP!AF12)</f>
        <v>Canadá-Bosnia y Herzegovina</v>
      </c>
      <c r="C8" s="329" t="str">
        <f>CONCATENATE(IF(WORLDCUP!AC12&gt;WORLDCUP!AD12,1,IF(WORLDCUP!AC12&lt;WORLDCUP!AD12,2,IF(AND(WORLDCUP!AC12=WORLDCUP!AD12,WORLDCUP!AC12&lt;&gt;"",WORLDCUP!AD12&lt;&gt;""),"X",0))),"|",WORLDCUP!AC12,"-",WORLDCUP!AD12)</f>
        <v>1|2-0</v>
      </c>
      <c r="D8" s="672"/>
      <c r="E8" s="661"/>
      <c r="F8" s="661"/>
      <c r="G8" s="661"/>
      <c r="H8" s="661"/>
      <c r="I8" s="362"/>
      <c r="J8" s="351"/>
      <c r="K8" s="351"/>
      <c r="L8" s="351"/>
      <c r="M8" s="360"/>
      <c r="N8" s="358"/>
    </row>
    <row r="9" spans="1:14" ht="15" customHeight="1">
      <c r="A9" s="38" t="s">
        <v>115</v>
      </c>
      <c r="B9" s="338" t="str">
        <f ca="1">CONCATENATE(WORLDCUP!AA13,"-",WORLDCUP!AF13)</f>
        <v>Catar-Suiza</v>
      </c>
      <c r="C9" s="330" t="str">
        <f>CONCATENATE(IF(WORLDCUP!AC13&gt;WORLDCUP!AD13,1,IF(WORLDCUP!AC13&lt;WORLDCUP!AD13,2,IF(AND(WORLDCUP!AC13=WORLDCUP!AD13,WORLDCUP!AC13&lt;&gt;"",WORLDCUP!AD13&lt;&gt;""),"X",0))),"|",WORLDCUP!AC13,"-",WORLDCUP!AD13)</f>
        <v>2|0-2</v>
      </c>
      <c r="D9" s="672"/>
      <c r="E9" s="661"/>
      <c r="F9" s="661"/>
      <c r="G9" s="661"/>
      <c r="H9" s="661"/>
      <c r="I9" s="362"/>
      <c r="J9" s="351"/>
      <c r="K9" s="351"/>
      <c r="L9" s="351"/>
      <c r="M9" s="360"/>
      <c r="N9" s="358"/>
    </row>
    <row r="10" spans="1:14" ht="15" customHeight="1">
      <c r="A10" s="336" t="s">
        <v>116</v>
      </c>
      <c r="B10" s="337" t="str">
        <f ca="1">CONCATENATE(WORLDCUP!AA20,"-",WORLDCUP!AF20)</f>
        <v>Brasil-Marruecos</v>
      </c>
      <c r="C10" s="330" t="str">
        <f>CONCATENATE(IF(WORLDCUP!AC20&gt;WORLDCUP!AD20,1,IF(WORLDCUP!AC20&lt;WORLDCUP!AD20,2,IF(AND(WORLDCUP!AC20=WORLDCUP!AD20,WORLDCUP!AC20&lt;&gt;"",WORLDCUP!AD20&lt;&gt;""),"X",0))),"|",WORLDCUP!AC20,"-",WORLDCUP!AD20)</f>
        <v>X|2-2</v>
      </c>
      <c r="D10" s="672"/>
      <c r="E10" s="351"/>
      <c r="F10" s="351"/>
      <c r="G10" s="351"/>
      <c r="H10" s="351"/>
      <c r="I10" s="362"/>
      <c r="J10" s="351"/>
      <c r="K10" s="351"/>
      <c r="L10" s="351"/>
      <c r="M10" s="360"/>
      <c r="N10" s="358"/>
    </row>
    <row r="11" spans="1:14" ht="15" customHeight="1">
      <c r="A11" s="336" t="s">
        <v>116</v>
      </c>
      <c r="B11" s="337" t="str">
        <f ca="1">CONCATENATE(WORLDCUP!AA21,"-",WORLDCUP!AF21)</f>
        <v>Haití-Escocia</v>
      </c>
      <c r="C11" s="330" t="str">
        <f>CONCATENATE(IF(WORLDCUP!AC21&gt;WORLDCUP!AD21,1,IF(WORLDCUP!AC21&lt;WORLDCUP!AD21,2,IF(AND(WORLDCUP!AC21=WORLDCUP!AD21,WORLDCUP!AC21&lt;&gt;"",WORLDCUP!AD21&lt;&gt;""),"X",0))),"|",WORLDCUP!AC21,"-",WORLDCUP!AD21)</f>
        <v>2|0-2</v>
      </c>
      <c r="D11" s="672"/>
      <c r="E11" s="351"/>
      <c r="F11" s="351"/>
      <c r="G11" s="351"/>
      <c r="H11" s="351"/>
      <c r="I11" s="362"/>
      <c r="J11" s="351"/>
      <c r="K11" s="351"/>
      <c r="L11" s="351"/>
      <c r="M11" s="360"/>
      <c r="N11" s="358"/>
    </row>
    <row r="12" spans="1:14" ht="15" customHeight="1">
      <c r="A12" s="38" t="s">
        <v>117</v>
      </c>
      <c r="B12" s="338" t="str">
        <f ca="1">CONCATENATE(WORLDCUP!AA28,"-",WORLDCUP!AF28)</f>
        <v>Estados Unidos-Paraguay</v>
      </c>
      <c r="C12" s="330" t="str">
        <f>CONCATENATE(IF(WORLDCUP!AC28&gt;WORLDCUP!AD28,1,IF(WORLDCUP!AC28&lt;WORLDCUP!AD28,2,IF(AND(WORLDCUP!AC28=WORLDCUP!AD28,WORLDCUP!AC28&lt;&gt;"",WORLDCUP!AD28&lt;&gt;""),"X",0))),"|",WORLDCUP!AC28,"-",WORLDCUP!AD28)</f>
        <v>X|2-2</v>
      </c>
      <c r="D12" s="672"/>
      <c r="E12" s="351"/>
      <c r="F12" s="351"/>
      <c r="G12" s="351"/>
      <c r="H12" s="351"/>
      <c r="I12" s="362"/>
      <c r="J12" s="351"/>
      <c r="K12" s="351"/>
      <c r="L12" s="351"/>
      <c r="M12" s="360"/>
      <c r="N12" s="358"/>
    </row>
    <row r="13" spans="1:14" ht="15" customHeight="1">
      <c r="A13" s="38" t="s">
        <v>117</v>
      </c>
      <c r="B13" s="338" t="str">
        <f ca="1">CONCATENATE(WORLDCUP!AA29,"-",WORLDCUP!AF29)</f>
        <v>Australia-Turquía</v>
      </c>
      <c r="C13" s="330" t="str">
        <f>CONCATENATE(IF(WORLDCUP!AC29&gt;WORLDCUP!AD29,1,IF(WORLDCUP!AC29&lt;WORLDCUP!AD29,2,IF(AND(WORLDCUP!AC29=WORLDCUP!AD29,WORLDCUP!AC29&lt;&gt;"",WORLDCUP!AD29&lt;&gt;""),"X",0))),"|",WORLDCUP!AC29,"-",WORLDCUP!AD29)</f>
        <v>2|1-2</v>
      </c>
      <c r="D13" s="672"/>
      <c r="E13" s="351"/>
      <c r="F13" s="351"/>
      <c r="G13" s="351"/>
      <c r="H13" s="351"/>
      <c r="I13" s="362"/>
      <c r="J13" s="351"/>
      <c r="K13" s="351"/>
      <c r="L13" s="351"/>
      <c r="M13" s="360"/>
      <c r="N13" s="358"/>
    </row>
    <row r="14" spans="1:14" ht="15" customHeight="1">
      <c r="A14" s="336" t="s">
        <v>118</v>
      </c>
      <c r="B14" s="337" t="str">
        <f ca="1">CONCATENATE(WORLDCUP!AA36,"-",WORLDCUP!AF36)</f>
        <v>Alemania-Curazao</v>
      </c>
      <c r="C14" s="330" t="str">
        <f>CONCATENATE(IF(WORLDCUP!AC36&gt;WORLDCUP!AD36,1,IF(WORLDCUP!AC36&lt;WORLDCUP!AD36,2,IF(AND(WORLDCUP!AC36=WORLDCUP!AD36,WORLDCUP!AC36&lt;&gt;"",WORLDCUP!AD36&lt;&gt;""),"X",0))),"|",WORLDCUP!AC36,"-",WORLDCUP!AD36)</f>
        <v>1|3-0</v>
      </c>
      <c r="D14" s="672"/>
      <c r="E14" s="351"/>
      <c r="F14" s="351"/>
      <c r="G14" s="351"/>
      <c r="H14" s="351"/>
      <c r="I14" s="362"/>
      <c r="J14" s="351"/>
      <c r="K14" s="351"/>
      <c r="L14" s="351"/>
      <c r="M14" s="360"/>
      <c r="N14" s="358"/>
    </row>
    <row r="15" spans="1:14" ht="15" customHeight="1">
      <c r="A15" s="336" t="s">
        <v>118</v>
      </c>
      <c r="B15" s="337" t="str">
        <f ca="1">CONCATENATE(WORLDCUP!AA37,"-",WORLDCUP!AF37)</f>
        <v>Costa de Marfil-Ecuador</v>
      </c>
      <c r="C15" s="330" t="str">
        <f>CONCATENATE(IF(WORLDCUP!AC37&gt;WORLDCUP!AD37,1,IF(WORLDCUP!AC37&lt;WORLDCUP!AD37,2,IF(AND(WORLDCUP!AC37=WORLDCUP!AD37,WORLDCUP!AC37&lt;&gt;"",WORLDCUP!AD37&lt;&gt;""),"X",0))),"|",WORLDCUP!AC37,"-",WORLDCUP!AD37)</f>
        <v>X|1-1</v>
      </c>
      <c r="D15" s="672"/>
      <c r="E15" s="351"/>
      <c r="F15" s="351"/>
      <c r="G15" s="351"/>
      <c r="H15" s="351"/>
      <c r="I15" s="362"/>
      <c r="J15" s="351"/>
      <c r="K15" s="351"/>
      <c r="L15" s="351"/>
      <c r="M15" s="360"/>
      <c r="N15" s="358"/>
    </row>
    <row r="16" spans="1:14" ht="15" customHeight="1">
      <c r="A16" s="38" t="s">
        <v>119</v>
      </c>
      <c r="B16" s="338" t="str">
        <f ca="1">CONCATENATE(WORLDCUP!AA44,"-",WORLDCUP!AF44)</f>
        <v>Países Bajos-Japón</v>
      </c>
      <c r="C16" s="330" t="str">
        <f>CONCATENATE(IF(WORLDCUP!AC44&gt;WORLDCUP!AD44,1,IF(WORLDCUP!AC44&lt;WORLDCUP!AD44,2,IF(AND(WORLDCUP!AC44=WORLDCUP!AD44,WORLDCUP!AC44&lt;&gt;"",WORLDCUP!AD44&lt;&gt;""),"X",0))),"|",WORLDCUP!AC44,"-",WORLDCUP!AD44)</f>
        <v>2|2-3</v>
      </c>
      <c r="D16" s="672"/>
      <c r="E16" s="351"/>
      <c r="F16" s="351"/>
      <c r="G16" s="351"/>
      <c r="H16" s="351"/>
      <c r="I16" s="362"/>
      <c r="J16" s="351"/>
      <c r="K16" s="351"/>
      <c r="L16" s="351"/>
      <c r="M16" s="360"/>
      <c r="N16" s="358"/>
    </row>
    <row r="17" spans="1:14" ht="15" customHeight="1">
      <c r="A17" s="38" t="s">
        <v>119</v>
      </c>
      <c r="B17" s="338" t="str">
        <f ca="1">CONCATENATE(WORLDCUP!AA45,"-",WORLDCUP!AF45)</f>
        <v>Suecia-Túnez</v>
      </c>
      <c r="C17" s="330" t="str">
        <f>CONCATENATE(IF(WORLDCUP!AC45&gt;WORLDCUP!AD45,1,IF(WORLDCUP!AC45&lt;WORLDCUP!AD45,2,IF(AND(WORLDCUP!AC45=WORLDCUP!AD45,WORLDCUP!AC45&lt;&gt;"",WORLDCUP!AD45&lt;&gt;""),"X",0))),"|",WORLDCUP!AC45,"-",WORLDCUP!AD45)</f>
        <v>X|1-1</v>
      </c>
      <c r="D17" s="672"/>
      <c r="E17" s="351"/>
      <c r="F17" s="351"/>
      <c r="G17" s="351"/>
      <c r="H17" s="351"/>
      <c r="I17" s="362"/>
      <c r="J17" s="351"/>
      <c r="K17" s="351"/>
      <c r="L17" s="351"/>
      <c r="M17" s="360"/>
      <c r="N17" s="358"/>
    </row>
    <row r="18" spans="1:14" ht="15" customHeight="1">
      <c r="A18" s="336" t="s">
        <v>521</v>
      </c>
      <c r="B18" s="337" t="str">
        <f ca="1">CONCATENATE(WORLDCUP!AA52,"-",WORLDCUP!AF52)</f>
        <v>Bélgica-Egipto</v>
      </c>
      <c r="C18" s="330" t="str">
        <f>CONCATENATE(IF(WORLDCUP!AC52&gt;WORLDCUP!AD52,1,IF(WORLDCUP!AC52&lt;WORLDCUP!AD52,2,IF(AND(WORLDCUP!AC52=WORLDCUP!AD52,WORLDCUP!AC52&lt;&gt;"",WORLDCUP!AD52&lt;&gt;""),"X",0))),"|",WORLDCUP!AC52,"-",WORLDCUP!AD52)</f>
        <v>1|2-0</v>
      </c>
      <c r="D18" s="672"/>
      <c r="E18" s="351"/>
      <c r="F18" s="351"/>
      <c r="G18" s="351"/>
      <c r="H18" s="351"/>
      <c r="I18" s="362"/>
      <c r="J18" s="351"/>
      <c r="K18" s="351"/>
      <c r="L18" s="351"/>
      <c r="M18" s="360"/>
      <c r="N18" s="358"/>
    </row>
    <row r="19" spans="1:14" ht="15" customHeight="1">
      <c r="A19" s="336" t="s">
        <v>521</v>
      </c>
      <c r="B19" s="337" t="str">
        <f ca="1">CONCATENATE(WORLDCUP!AA53,"-",WORLDCUP!AF53)</f>
        <v>Irán-Nueva Zelanda</v>
      </c>
      <c r="C19" s="330" t="str">
        <f>CONCATENATE(IF(WORLDCUP!AC53&gt;WORLDCUP!AD53,1,IF(WORLDCUP!AC53&lt;WORLDCUP!AD53,2,IF(AND(WORLDCUP!AC53=WORLDCUP!AD53,WORLDCUP!AC53&lt;&gt;"",WORLDCUP!AD53&lt;&gt;""),"X",0))),"|",WORLDCUP!AC53,"-",WORLDCUP!AD53)</f>
        <v>1|2-0</v>
      </c>
      <c r="D19" s="672"/>
      <c r="E19" s="351"/>
      <c r="F19" s="351"/>
      <c r="G19" s="351"/>
      <c r="H19" s="351"/>
      <c r="I19" s="362"/>
      <c r="J19" s="351"/>
      <c r="K19" s="351"/>
      <c r="L19" s="351"/>
      <c r="M19" s="360"/>
      <c r="N19" s="358"/>
    </row>
    <row r="20" spans="1:14" ht="15" customHeight="1">
      <c r="A20" s="38" t="s">
        <v>523</v>
      </c>
      <c r="B20" s="338" t="str">
        <f ca="1">CONCATENATE(WORLDCUP!AA60,"-",WORLDCUP!AF60)</f>
        <v>España-Cabo Verde</v>
      </c>
      <c r="C20" s="330" t="str">
        <f>CONCATENATE(IF(WORLDCUP!AC60&gt;WORLDCUP!AD60,1,IF(WORLDCUP!AC60&lt;WORLDCUP!AD60,2,IF(AND(WORLDCUP!AC60=WORLDCUP!AD60,WORLDCUP!AC60&lt;&gt;"",WORLDCUP!AD60&lt;&gt;""),"X",0))),"|",WORLDCUP!AC60,"-",WORLDCUP!AD60)</f>
        <v>1|4-0</v>
      </c>
      <c r="D20" s="672"/>
      <c r="E20" s="351"/>
      <c r="F20" s="351"/>
      <c r="G20" s="351"/>
      <c r="H20" s="351"/>
      <c r="I20" s="362"/>
      <c r="J20" s="351"/>
      <c r="K20" s="351"/>
      <c r="L20" s="351"/>
      <c r="M20" s="360"/>
      <c r="N20" s="358"/>
    </row>
    <row r="21" spans="1:14" ht="15" customHeight="1">
      <c r="A21" s="38" t="s">
        <v>523</v>
      </c>
      <c r="B21" s="338" t="str">
        <f ca="1">CONCATENATE(WORLDCUP!AA61,"-",WORLDCUP!AF61)</f>
        <v>Arabia Saudita-Uruguay</v>
      </c>
      <c r="C21" s="330" t="str">
        <f>CONCATENATE(IF(WORLDCUP!AC61&gt;WORLDCUP!AD61,1,IF(WORLDCUP!AC61&lt;WORLDCUP!AD61,2,IF(AND(WORLDCUP!AC61=WORLDCUP!AD61,WORLDCUP!AC61&lt;&gt;"",WORLDCUP!AD61&lt;&gt;""),"X",0))),"|",WORLDCUP!AC61,"-",WORLDCUP!AD61)</f>
        <v>2|0-2</v>
      </c>
      <c r="D21" s="672"/>
      <c r="E21" s="351"/>
      <c r="F21" s="351"/>
      <c r="G21" s="351"/>
      <c r="H21" s="351"/>
      <c r="I21" s="362"/>
      <c r="J21" s="351"/>
      <c r="K21" s="351"/>
      <c r="L21" s="351"/>
      <c r="M21" s="360"/>
      <c r="N21" s="358"/>
    </row>
    <row r="22" spans="1:14" ht="15" customHeight="1">
      <c r="A22" s="336" t="s">
        <v>181</v>
      </c>
      <c r="B22" s="337" t="str">
        <f ca="1">CONCATENATE(WORLDCUP!AA68,"-",WORLDCUP!AF68)</f>
        <v>Francia-Senegal</v>
      </c>
      <c r="C22" s="330" t="str">
        <f>CONCATENATE(IF(WORLDCUP!AC68&gt;WORLDCUP!AD68,1,IF(WORLDCUP!AC68&lt;WORLDCUP!AD68,2,IF(AND(WORLDCUP!AC68=WORLDCUP!AD68,WORLDCUP!AC68&lt;&gt;"",WORLDCUP!AD68&lt;&gt;""),"X",0))),"|",WORLDCUP!AC68,"-",WORLDCUP!AD68)</f>
        <v>1|2-1</v>
      </c>
      <c r="D22" s="672"/>
      <c r="E22" s="351"/>
      <c r="F22" s="351"/>
      <c r="G22" s="351"/>
      <c r="H22" s="351"/>
      <c r="I22" s="362"/>
      <c r="J22" s="351"/>
      <c r="K22" s="351"/>
      <c r="L22" s="351"/>
      <c r="M22" s="360"/>
      <c r="N22" s="358"/>
    </row>
    <row r="23" spans="1:14" ht="15" customHeight="1">
      <c r="A23" s="336" t="s">
        <v>181</v>
      </c>
      <c r="B23" s="337" t="str">
        <f ca="1">CONCATENATE(WORLDCUP!AA69,"-",WORLDCUP!AF69)</f>
        <v>Irak-Noruega</v>
      </c>
      <c r="C23" s="330" t="str">
        <f>CONCATENATE(IF(WORLDCUP!AC69&gt;WORLDCUP!AD69,1,IF(WORLDCUP!AC69&lt;WORLDCUP!AD69,2,IF(AND(WORLDCUP!AC69=WORLDCUP!AD69,WORLDCUP!AC69&lt;&gt;"",WORLDCUP!AD69&lt;&gt;""),"X",0))),"|",WORLDCUP!AC69,"-",WORLDCUP!AD69)</f>
        <v>2|0-2</v>
      </c>
      <c r="D23" s="672"/>
      <c r="E23" s="351"/>
      <c r="F23" s="351"/>
      <c r="G23" s="351"/>
      <c r="H23" s="351"/>
      <c r="I23" s="362"/>
      <c r="J23" s="351"/>
      <c r="K23" s="351"/>
      <c r="L23" s="351"/>
      <c r="M23" s="360"/>
      <c r="N23" s="358"/>
    </row>
    <row r="24" spans="1:14" ht="15" customHeight="1">
      <c r="A24" s="38" t="s">
        <v>28</v>
      </c>
      <c r="B24" s="338" t="str">
        <f ca="1">CONCATENATE(WORLDCUP!AA76,"-",WORLDCUP!AF76)</f>
        <v>Argentina-Argelia</v>
      </c>
      <c r="C24" s="330" t="str">
        <f>CONCATENATE(IF(WORLDCUP!AC76&gt;WORLDCUP!AD76,1,IF(WORLDCUP!AC76&lt;WORLDCUP!AD76,2,IF(AND(WORLDCUP!AC76=WORLDCUP!AD76,WORLDCUP!AC76&lt;&gt;"",WORLDCUP!AD76&lt;&gt;""),"X",0))),"|",WORLDCUP!AC76,"-",WORLDCUP!AD76)</f>
        <v>1|3-0</v>
      </c>
      <c r="D24" s="672"/>
      <c r="E24" s="351"/>
      <c r="F24" s="351"/>
      <c r="G24" s="351"/>
      <c r="H24" s="351"/>
      <c r="I24" s="362"/>
      <c r="J24" s="351"/>
      <c r="K24" s="351"/>
      <c r="L24" s="351"/>
      <c r="M24" s="360"/>
      <c r="N24" s="358"/>
    </row>
    <row r="25" spans="1:14" ht="15" customHeight="1">
      <c r="A25" s="38" t="s">
        <v>28</v>
      </c>
      <c r="B25" s="338" t="str">
        <f ca="1">CONCATENATE(WORLDCUP!AA77,"-",WORLDCUP!AF77)</f>
        <v>Austria-Jordania</v>
      </c>
      <c r="C25" s="330" t="str">
        <f>CONCATENATE(IF(WORLDCUP!AC77&gt;WORLDCUP!AD77,1,IF(WORLDCUP!AC77&lt;WORLDCUP!AD77,2,IF(AND(WORLDCUP!AC77=WORLDCUP!AD77,WORLDCUP!AC77&lt;&gt;"",WORLDCUP!AD77&lt;&gt;""),"X",0))),"|",WORLDCUP!AC77,"-",WORLDCUP!AD77)</f>
        <v>1|2-1</v>
      </c>
      <c r="D25" s="672"/>
      <c r="E25" s="351"/>
      <c r="F25" s="351"/>
      <c r="G25" s="351"/>
      <c r="H25" s="351"/>
      <c r="I25" s="362"/>
      <c r="J25" s="351"/>
      <c r="K25" s="351"/>
      <c r="L25" s="351"/>
      <c r="M25" s="360"/>
      <c r="N25" s="358"/>
    </row>
    <row r="26" spans="1:14" ht="15" customHeight="1">
      <c r="A26" s="336" t="s">
        <v>526</v>
      </c>
      <c r="B26" s="337" t="str">
        <f ca="1">CONCATENATE(WORLDCUP!AA84,"-",WORLDCUP!AF84)</f>
        <v>Portugal-RD Congo</v>
      </c>
      <c r="C26" s="330" t="str">
        <f>CONCATENATE(IF(WORLDCUP!AC84&gt;WORLDCUP!AD84,1,IF(WORLDCUP!AC84&lt;WORLDCUP!AD84,2,IF(AND(WORLDCUP!AC84=WORLDCUP!AD84,WORLDCUP!AC84&lt;&gt;"",WORLDCUP!AD84&lt;&gt;""),"X",0))),"|",WORLDCUP!AC84,"-",WORLDCUP!AD84)</f>
        <v>1|2-0</v>
      </c>
      <c r="D26" s="672"/>
      <c r="E26" s="351"/>
      <c r="F26" s="351"/>
      <c r="G26" s="351"/>
      <c r="H26" s="351"/>
      <c r="I26" s="362"/>
      <c r="J26" s="351"/>
      <c r="K26" s="351"/>
      <c r="L26" s="351"/>
      <c r="M26" s="360"/>
      <c r="N26" s="358"/>
    </row>
    <row r="27" spans="1:14" ht="15" customHeight="1">
      <c r="A27" s="336" t="s">
        <v>526</v>
      </c>
      <c r="B27" s="337" t="str">
        <f ca="1">CONCATENATE(WORLDCUP!AA85,"-",WORLDCUP!AF85)</f>
        <v>Uzbekistán-Colombia</v>
      </c>
      <c r="C27" s="330" t="str">
        <f>CONCATENATE(IF(WORLDCUP!AC85&gt;WORLDCUP!AD85,1,IF(WORLDCUP!AC85&lt;WORLDCUP!AD85,2,IF(AND(WORLDCUP!AC85=WORLDCUP!AD85,WORLDCUP!AC85&lt;&gt;"",WORLDCUP!AD85&lt;&gt;""),"X",0))),"|",WORLDCUP!AC85,"-",WORLDCUP!AD85)</f>
        <v>2|0-3</v>
      </c>
      <c r="D27" s="672"/>
      <c r="E27" s="351"/>
      <c r="F27" s="351"/>
      <c r="G27" s="351"/>
      <c r="H27" s="351"/>
      <c r="I27" s="362"/>
      <c r="J27" s="351"/>
      <c r="K27" s="351"/>
      <c r="L27" s="351"/>
      <c r="M27" s="360"/>
      <c r="N27" s="358"/>
    </row>
    <row r="28" spans="1:14" ht="15" customHeight="1">
      <c r="A28" s="38" t="s">
        <v>1210</v>
      </c>
      <c r="B28" s="338" t="str">
        <f ca="1">CONCATENATE(WORLDCUP!AA92,"-",WORLDCUP!AF92)</f>
        <v>Inglaterra-Croacia</v>
      </c>
      <c r="C28" s="330" t="str">
        <f>CONCATENATE(IF(WORLDCUP!AC92&gt;WORLDCUP!AD92,1,IF(WORLDCUP!AC92&lt;WORLDCUP!AD92,2,IF(AND(WORLDCUP!AC92=WORLDCUP!AD92,WORLDCUP!AC92&lt;&gt;"",WORLDCUP!AD92&lt;&gt;""),"X",0))),"|",WORLDCUP!AC92,"-",WORLDCUP!AD92)</f>
        <v>X|1-1</v>
      </c>
      <c r="D28" s="672"/>
      <c r="E28" s="351"/>
      <c r="F28" s="351"/>
      <c r="G28" s="351"/>
      <c r="H28" s="351"/>
      <c r="I28" s="362"/>
      <c r="J28" s="351"/>
      <c r="K28" s="351"/>
      <c r="L28" s="351"/>
      <c r="M28" s="360"/>
      <c r="N28" s="358"/>
    </row>
    <row r="29" spans="1:14" ht="15" customHeight="1">
      <c r="A29" s="38" t="s">
        <v>1210</v>
      </c>
      <c r="B29" s="338" t="str">
        <f ca="1">CONCATENATE(WORLDCUP!AA93,"-",WORLDCUP!AF93)</f>
        <v>Ghana-Panamá</v>
      </c>
      <c r="C29" s="330" t="str">
        <f>CONCATENATE(IF(WORLDCUP!AC93&gt;WORLDCUP!AD93,1,IF(WORLDCUP!AC93&lt;WORLDCUP!AD93,2,IF(AND(WORLDCUP!AC93=WORLDCUP!AD93,WORLDCUP!AC93&lt;&gt;"",WORLDCUP!AD93&lt;&gt;""),"X",0))),"|",WORLDCUP!AC93,"-",WORLDCUP!AD93)</f>
        <v>X|1-1</v>
      </c>
      <c r="D29" s="673"/>
      <c r="E29" s="353"/>
      <c r="F29" s="353"/>
      <c r="G29" s="353"/>
      <c r="H29" s="353"/>
      <c r="I29" s="362"/>
      <c r="J29" s="351"/>
      <c r="K29" s="351"/>
      <c r="L29" s="351"/>
      <c r="M29" s="360"/>
      <c r="N29" s="358"/>
    </row>
    <row r="30" spans="1:14" ht="15" customHeight="1">
      <c r="A30" s="336" t="s">
        <v>120</v>
      </c>
      <c r="B30" s="337" t="str">
        <f ca="1">CONCATENATE(WORLDCUP!AA6,"-",WORLDCUP!AF6)</f>
        <v>República Checa-Sudáfrica</v>
      </c>
      <c r="C30" s="330" t="str">
        <f>CONCATENATE(IF(WORLDCUP!AC6&gt;WORLDCUP!AD6,1,IF(WORLDCUP!AC6&lt;WORLDCUP!AD6,2,IF(AND(WORLDCUP!AC6=WORLDCUP!AD6,WORLDCUP!AC6&lt;&gt;"",WORLDCUP!AD6&lt;&gt;""),"X",0))),"|",WORLDCUP!AC6,"-",WORLDCUP!AD6)</f>
        <v>1|2-0</v>
      </c>
      <c r="D30" s="674" t="str">
        <f>Idiomas!D123</f>
        <v>J2</v>
      </c>
      <c r="E30" s="677" t="str">
        <f>Idiomas!D111</f>
        <v>·Para la segunda jornada copiar de la C30 a la C53 y pega valores en la plantilla de administrador.</v>
      </c>
      <c r="F30" s="677"/>
      <c r="G30" s="677"/>
      <c r="H30" s="677"/>
      <c r="I30" s="361"/>
      <c r="J30" s="351"/>
      <c r="K30" s="351"/>
      <c r="L30" s="351"/>
      <c r="M30" s="360"/>
      <c r="N30" s="358"/>
    </row>
    <row r="31" spans="1:14" ht="15" customHeight="1">
      <c r="A31" s="336" t="s">
        <v>120</v>
      </c>
      <c r="B31" s="337" t="str">
        <f ca="1">CONCATENATE(WORLDCUP!AA7,"-",WORLDCUP!AF7)</f>
        <v>México-Corea del Sur</v>
      </c>
      <c r="C31" s="330" t="str">
        <f>CONCATENATE(IF(WORLDCUP!AC7&gt;WORLDCUP!AD7,1,IF(WORLDCUP!AC7&lt;WORLDCUP!AD7,2,IF(AND(WORLDCUP!AC7=WORLDCUP!AD7,WORLDCUP!AC7&lt;&gt;"",WORLDCUP!AD7&lt;&gt;""),"X",0))),"|",WORLDCUP!AC7,"-",WORLDCUP!AD7)</f>
        <v>X|1-1</v>
      </c>
      <c r="D31" s="674"/>
      <c r="E31" s="661"/>
      <c r="F31" s="661"/>
      <c r="G31" s="661"/>
      <c r="H31" s="661"/>
      <c r="I31" s="362"/>
      <c r="J31" s="351"/>
      <c r="K31" s="351"/>
      <c r="L31" s="351"/>
      <c r="M31" s="360"/>
      <c r="N31" s="358"/>
    </row>
    <row r="32" spans="1:14" ht="15" customHeight="1">
      <c r="A32" s="38" t="s">
        <v>121</v>
      </c>
      <c r="B32" s="338" t="str">
        <f ca="1">CONCATENATE(WORLDCUP!AA14,"-",WORLDCUP!AF14)</f>
        <v>Suiza-Bosnia y Herzegovina</v>
      </c>
      <c r="C32" s="330" t="str">
        <f>CONCATENATE(IF(WORLDCUP!AC14&gt;WORLDCUP!AD14,1,IF(WORLDCUP!AC14&lt;WORLDCUP!AD14,2,IF(AND(WORLDCUP!AC14=WORLDCUP!AD14,WORLDCUP!AC14&lt;&gt;"",WORLDCUP!AD14&lt;&gt;""),"X",0))),"|",WORLDCUP!AC14,"-",WORLDCUP!AD14)</f>
        <v>1|2-0</v>
      </c>
      <c r="D32" s="674"/>
      <c r="E32" s="661"/>
      <c r="F32" s="661"/>
      <c r="G32" s="661"/>
      <c r="H32" s="661"/>
      <c r="I32" s="362"/>
      <c r="J32" s="351"/>
      <c r="K32" s="351"/>
      <c r="L32" s="351"/>
      <c r="M32" s="360"/>
      <c r="N32" s="358"/>
    </row>
    <row r="33" spans="1:14" ht="15" customHeight="1">
      <c r="A33" s="38" t="s">
        <v>121</v>
      </c>
      <c r="B33" s="338" t="str">
        <f ca="1">CONCATENATE(WORLDCUP!AA15,"-",WORLDCUP!AF15)</f>
        <v>Canadá-Catar</v>
      </c>
      <c r="C33" s="330" t="str">
        <f>CONCATENATE(IF(WORLDCUP!AC15&gt;WORLDCUP!AD15,1,IF(WORLDCUP!AC15&lt;WORLDCUP!AD15,2,IF(AND(WORLDCUP!AC15=WORLDCUP!AD15,WORLDCUP!AC15&lt;&gt;"",WORLDCUP!AD15&lt;&gt;""),"X",0))),"|",WORLDCUP!AC15,"-",WORLDCUP!AD15)</f>
        <v>1|2-1</v>
      </c>
      <c r="D33" s="674"/>
      <c r="E33" s="661"/>
      <c r="F33" s="661"/>
      <c r="G33" s="661"/>
      <c r="H33" s="661"/>
      <c r="I33" s="362"/>
      <c r="J33" s="351"/>
      <c r="K33" s="351"/>
      <c r="L33" s="351"/>
      <c r="M33" s="360"/>
      <c r="N33" s="358"/>
    </row>
    <row r="34" spans="1:14" ht="15" customHeight="1">
      <c r="A34" s="336" t="s">
        <v>122</v>
      </c>
      <c r="B34" s="337" t="str">
        <f ca="1">CONCATENATE(WORLDCUP!AA22,"-",WORLDCUP!AF22)</f>
        <v>Escocia-Marruecos</v>
      </c>
      <c r="C34" s="330" t="str">
        <f>CONCATENATE(IF(WORLDCUP!AC22&gt;WORLDCUP!AD22,1,IF(WORLDCUP!AC22&lt;WORLDCUP!AD22,2,IF(AND(WORLDCUP!AC22=WORLDCUP!AD22,WORLDCUP!AC22&lt;&gt;"",WORLDCUP!AD22&lt;&gt;""),"X",0))),"|",WORLDCUP!AC22,"-",WORLDCUP!AD22)</f>
        <v>2|1-2</v>
      </c>
      <c r="D34" s="674"/>
      <c r="E34" s="351"/>
      <c r="F34" s="351"/>
      <c r="G34" s="351"/>
      <c r="H34" s="351"/>
      <c r="I34" s="362"/>
      <c r="J34" s="351"/>
      <c r="K34" s="351"/>
      <c r="L34" s="351"/>
      <c r="M34" s="360"/>
      <c r="N34" s="358"/>
    </row>
    <row r="35" spans="1:14" ht="15" customHeight="1">
      <c r="A35" s="336" t="s">
        <v>122</v>
      </c>
      <c r="B35" s="337" t="str">
        <f ca="1">CONCATENATE(WORLDCUP!AA23,"-",WORLDCUP!AF23)</f>
        <v>Brasil-Haití</v>
      </c>
      <c r="C35" s="330" t="str">
        <f>CONCATENATE(IF(WORLDCUP!AC23&gt;WORLDCUP!AD23,1,IF(WORLDCUP!AC23&lt;WORLDCUP!AD23,2,IF(AND(WORLDCUP!AC23=WORLDCUP!AD23,WORLDCUP!AC23&lt;&gt;"",WORLDCUP!AD23&lt;&gt;""),"X",0))),"|",WORLDCUP!AC23,"-",WORLDCUP!AD23)</f>
        <v>1|3-0</v>
      </c>
      <c r="D35" s="674"/>
      <c r="E35" s="351"/>
      <c r="F35" s="351"/>
      <c r="G35" s="351"/>
      <c r="H35" s="351"/>
      <c r="I35" s="362"/>
      <c r="J35" s="351"/>
      <c r="K35" s="351"/>
      <c r="L35" s="351"/>
      <c r="M35" s="360"/>
      <c r="N35" s="358"/>
    </row>
    <row r="36" spans="1:14" ht="15" customHeight="1">
      <c r="A36" s="38" t="s">
        <v>123</v>
      </c>
      <c r="B36" s="338" t="str">
        <f ca="1">CONCATENATE(WORLDCUP!AA30,"-",WORLDCUP!AF30)</f>
        <v>Estados Unidos-Australia</v>
      </c>
      <c r="C36" s="330" t="str">
        <f>CONCATENATE(IF(WORLDCUP!AC30&gt;WORLDCUP!AD30,1,IF(WORLDCUP!AC30&lt;WORLDCUP!AD30,2,IF(AND(WORLDCUP!AC30=WORLDCUP!AD30,WORLDCUP!AC30&lt;&gt;"",WORLDCUP!AD30&lt;&gt;""),"X",0))),"|",WORLDCUP!AC30,"-",WORLDCUP!AD30)</f>
        <v>1|2-0</v>
      </c>
      <c r="D36" s="674"/>
      <c r="E36" s="351"/>
      <c r="F36" s="351"/>
      <c r="G36" s="351"/>
      <c r="H36" s="351"/>
      <c r="I36" s="362"/>
      <c r="J36" s="351"/>
      <c r="K36" s="351"/>
      <c r="L36" s="351"/>
      <c r="M36" s="360"/>
      <c r="N36" s="358"/>
    </row>
    <row r="37" spans="1:14" ht="15" customHeight="1">
      <c r="A37" s="38" t="s">
        <v>123</v>
      </c>
      <c r="B37" s="338" t="str">
        <f ca="1">CONCATENATE(WORLDCUP!AA31,"-",WORLDCUP!AF31)</f>
        <v>Turquía-Paraguay</v>
      </c>
      <c r="C37" s="330" t="str">
        <f>CONCATENATE(IF(WORLDCUP!AC31&gt;WORLDCUP!AD31,1,IF(WORLDCUP!AC31&lt;WORLDCUP!AD31,2,IF(AND(WORLDCUP!AC31=WORLDCUP!AD31,WORLDCUP!AC31&lt;&gt;"",WORLDCUP!AD31&lt;&gt;""),"X",0))),"|",WORLDCUP!AC31,"-",WORLDCUP!AD31)</f>
        <v>1|2-1</v>
      </c>
      <c r="D37" s="674"/>
      <c r="E37" s="351"/>
      <c r="F37" s="351"/>
      <c r="G37" s="351"/>
      <c r="H37" s="351"/>
      <c r="I37" s="362"/>
      <c r="J37" s="351"/>
      <c r="K37" s="351"/>
      <c r="L37" s="351"/>
      <c r="M37" s="360"/>
      <c r="N37" s="358"/>
    </row>
    <row r="38" spans="1:14" ht="15" customHeight="1">
      <c r="A38" s="336" t="s">
        <v>124</v>
      </c>
      <c r="B38" s="337" t="str">
        <f ca="1">CONCATENATE(WORLDCUP!AA38,"-",WORLDCUP!AF38)</f>
        <v>Alemania-Costa de Marfil</v>
      </c>
      <c r="C38" s="330" t="str">
        <f>CONCATENATE(IF(WORLDCUP!AC38&gt;WORLDCUP!AD38,1,IF(WORLDCUP!AC38&lt;WORLDCUP!AD38,2,IF(AND(WORLDCUP!AC38=WORLDCUP!AD38,WORLDCUP!AC38&lt;&gt;"",WORLDCUP!AD38&lt;&gt;""),"X",0))),"|",WORLDCUP!AC38,"-",WORLDCUP!AD38)</f>
        <v>1|3-1</v>
      </c>
      <c r="D38" s="674"/>
      <c r="E38" s="351"/>
      <c r="F38" s="351"/>
      <c r="G38" s="351"/>
      <c r="H38" s="351"/>
      <c r="I38" s="362"/>
      <c r="J38" s="351"/>
      <c r="K38" s="351"/>
      <c r="L38" s="351"/>
      <c r="M38" s="360"/>
      <c r="N38" s="358"/>
    </row>
    <row r="39" spans="1:14" ht="15" customHeight="1">
      <c r="A39" s="336" t="s">
        <v>124</v>
      </c>
      <c r="B39" s="337" t="str">
        <f ca="1">CONCATENATE(WORLDCUP!AA39,"-",WORLDCUP!AF39)</f>
        <v>Ecuador-Curazao</v>
      </c>
      <c r="C39" s="330" t="str">
        <f>CONCATENATE(IF(WORLDCUP!AC39&gt;WORLDCUP!AD39,1,IF(WORLDCUP!AC39&lt;WORLDCUP!AD39,2,IF(AND(WORLDCUP!AC39=WORLDCUP!AD39,WORLDCUP!AC39&lt;&gt;"",WORLDCUP!AD39&lt;&gt;""),"X",0))),"|",WORLDCUP!AC39,"-",WORLDCUP!AD39)</f>
        <v>1|2-0</v>
      </c>
      <c r="D39" s="674"/>
      <c r="E39" s="351"/>
      <c r="F39" s="351"/>
      <c r="G39" s="351"/>
      <c r="H39" s="351"/>
      <c r="I39" s="362"/>
      <c r="J39" s="351"/>
      <c r="K39" s="351"/>
      <c r="L39" s="351"/>
      <c r="M39" s="360"/>
      <c r="N39" s="358"/>
    </row>
    <row r="40" spans="1:14" ht="15" customHeight="1">
      <c r="A40" s="38" t="s">
        <v>125</v>
      </c>
      <c r="B40" s="338" t="str">
        <f ca="1">CONCATENATE(WORLDCUP!AA46,"-",WORLDCUP!AF46)</f>
        <v>Países Bajos-Suecia</v>
      </c>
      <c r="C40" s="330" t="str">
        <f>CONCATENATE(IF(WORLDCUP!AC46&gt;WORLDCUP!AD46,1,IF(WORLDCUP!AC46&lt;WORLDCUP!AD46,2,IF(AND(WORLDCUP!AC46=WORLDCUP!AD46,WORLDCUP!AC46&lt;&gt;"",WORLDCUP!AD46&lt;&gt;""),"X",0))),"|",WORLDCUP!AC46,"-",WORLDCUP!AD46)</f>
        <v>X|1-1</v>
      </c>
      <c r="D40" s="674"/>
      <c r="E40" s="351"/>
      <c r="F40" s="351"/>
      <c r="G40" s="351"/>
      <c r="H40" s="351"/>
      <c r="I40" s="362"/>
      <c r="J40" s="351"/>
      <c r="K40" s="351"/>
      <c r="L40" s="351"/>
      <c r="M40" s="360"/>
      <c r="N40" s="358"/>
    </row>
    <row r="41" spans="1:14" ht="15" customHeight="1">
      <c r="A41" s="38" t="s">
        <v>125</v>
      </c>
      <c r="B41" s="338" t="str">
        <f ca="1">CONCATENATE(WORLDCUP!AA47,"-",WORLDCUP!AF47)</f>
        <v>Túnez-Japón</v>
      </c>
      <c r="C41" s="330" t="str">
        <f>CONCATENATE(IF(WORLDCUP!AC47&gt;WORLDCUP!AD47,1,IF(WORLDCUP!AC47&lt;WORLDCUP!AD47,2,IF(AND(WORLDCUP!AC47=WORLDCUP!AD47,WORLDCUP!AC47&lt;&gt;"",WORLDCUP!AD47&lt;&gt;""),"X",0))),"|",WORLDCUP!AC47,"-",WORLDCUP!AD47)</f>
        <v>2|0-2</v>
      </c>
      <c r="D41" s="674"/>
      <c r="E41" s="351"/>
      <c r="F41" s="351"/>
      <c r="G41" s="351"/>
      <c r="H41" s="351"/>
      <c r="I41" s="362"/>
      <c r="J41" s="351"/>
      <c r="K41" s="351"/>
      <c r="L41" s="351"/>
      <c r="M41" s="360"/>
      <c r="N41" s="358"/>
    </row>
    <row r="42" spans="1:14" ht="15" customHeight="1">
      <c r="A42" s="336" t="s">
        <v>522</v>
      </c>
      <c r="B42" s="337" t="str">
        <f ca="1">CONCATENATE(WORLDCUP!AA54,"-",WORLDCUP!AF54)</f>
        <v>Bélgica-Irán</v>
      </c>
      <c r="C42" s="330" t="str">
        <f>CONCATENATE(IF(WORLDCUP!AC54&gt;WORLDCUP!AD54,1,IF(WORLDCUP!AC54&lt;WORLDCUP!AD54,2,IF(AND(WORLDCUP!AC54=WORLDCUP!AD54,WORLDCUP!AC54&lt;&gt;"",WORLDCUP!AD54&lt;&gt;""),"X",0))),"|",WORLDCUP!AC54,"-",WORLDCUP!AD54)</f>
        <v>X|1-1</v>
      </c>
      <c r="D42" s="674"/>
      <c r="E42" s="351"/>
      <c r="F42" s="351"/>
      <c r="G42" s="351"/>
      <c r="H42" s="351"/>
      <c r="I42" s="362"/>
      <c r="J42" s="351"/>
      <c r="K42" s="351"/>
      <c r="L42" s="351"/>
      <c r="M42" s="360"/>
      <c r="N42" s="358"/>
    </row>
    <row r="43" spans="1:14" ht="15" customHeight="1">
      <c r="A43" s="336" t="s">
        <v>522</v>
      </c>
      <c r="B43" s="337" t="str">
        <f ca="1">CONCATENATE(WORLDCUP!AA55,"-",WORLDCUP!AF55)</f>
        <v>Nueva Zelanda-Egipto</v>
      </c>
      <c r="C43" s="330" t="str">
        <f>CONCATENATE(IF(WORLDCUP!AC55&gt;WORLDCUP!AD55,1,IF(WORLDCUP!AC55&lt;WORLDCUP!AD55,2,IF(AND(WORLDCUP!AC55=WORLDCUP!AD55,WORLDCUP!AC55&lt;&gt;"",WORLDCUP!AD55&lt;&gt;""),"X",0))),"|",WORLDCUP!AC55,"-",WORLDCUP!AD55)</f>
        <v>1|2-1</v>
      </c>
      <c r="D43" s="674"/>
      <c r="E43" s="351"/>
      <c r="F43" s="351"/>
      <c r="G43" s="351"/>
      <c r="H43" s="351"/>
      <c r="I43" s="362"/>
      <c r="J43" s="351"/>
      <c r="K43" s="351"/>
      <c r="L43" s="351"/>
      <c r="M43" s="360"/>
      <c r="N43" s="358"/>
    </row>
    <row r="44" spans="1:14" ht="15" customHeight="1">
      <c r="A44" s="38" t="s">
        <v>524</v>
      </c>
      <c r="B44" s="338" t="str">
        <f ca="1">CONCATENATE(WORLDCUP!AA62,"-",WORLDCUP!AF62)</f>
        <v>España-Arabia Saudita</v>
      </c>
      <c r="C44" s="330" t="str">
        <f>CONCATENATE(IF(WORLDCUP!AC62&gt;WORLDCUP!AD62,1,IF(WORLDCUP!AC62&lt;WORLDCUP!AD62,2,IF(AND(WORLDCUP!AC62=WORLDCUP!AD62,WORLDCUP!AC62&lt;&gt;"",WORLDCUP!AD62&lt;&gt;""),"X",0))),"|",WORLDCUP!AC62,"-",WORLDCUP!AD62)</f>
        <v>1|2-0</v>
      </c>
      <c r="D44" s="674"/>
      <c r="E44" s="351"/>
      <c r="F44" s="351"/>
      <c r="G44" s="351"/>
      <c r="H44" s="351"/>
      <c r="I44" s="362"/>
      <c r="J44" s="351"/>
      <c r="K44" s="351"/>
      <c r="L44" s="351"/>
      <c r="M44" s="360"/>
      <c r="N44" s="358"/>
    </row>
    <row r="45" spans="1:14" ht="15" customHeight="1">
      <c r="A45" s="38" t="s">
        <v>524</v>
      </c>
      <c r="B45" s="338" t="str">
        <f ca="1">CONCATENATE(WORLDCUP!AA63,"-",WORLDCUP!AF63)</f>
        <v>Uruguay-Cabo Verde</v>
      </c>
      <c r="C45" s="330" t="str">
        <f>CONCATENATE(IF(WORLDCUP!AC63&gt;WORLDCUP!AD63,1,IF(WORLDCUP!AC63&lt;WORLDCUP!AD63,2,IF(AND(WORLDCUP!AC63=WORLDCUP!AD63,WORLDCUP!AC63&lt;&gt;"",WORLDCUP!AD63&lt;&gt;""),"X",0))),"|",WORLDCUP!AC63,"-",WORLDCUP!AD63)</f>
        <v>1|2-0</v>
      </c>
      <c r="D45" s="674"/>
      <c r="E45" s="351"/>
      <c r="F45" s="351"/>
      <c r="G45" s="351"/>
      <c r="H45" s="351"/>
      <c r="I45" s="362"/>
      <c r="J45" s="351"/>
      <c r="K45" s="351"/>
      <c r="L45" s="351"/>
      <c r="M45" s="360"/>
      <c r="N45" s="358"/>
    </row>
    <row r="46" spans="1:14" ht="15" customHeight="1">
      <c r="A46" s="336" t="s">
        <v>525</v>
      </c>
      <c r="B46" s="337" t="str">
        <f ca="1">CONCATENATE(WORLDCUP!AA70,"-",WORLDCUP!AF70)</f>
        <v>Francia-Irak</v>
      </c>
      <c r="C46" s="330" t="str">
        <f>CONCATENATE(IF(WORLDCUP!AC70&gt;WORLDCUP!AD70,1,IF(WORLDCUP!AC70&lt;WORLDCUP!AD70,2,IF(AND(WORLDCUP!AC70=WORLDCUP!AD70,WORLDCUP!AC70&lt;&gt;"",WORLDCUP!AD70&lt;&gt;""),"X",0))),"|",WORLDCUP!AC70,"-",WORLDCUP!AD70)</f>
        <v>1|3-0</v>
      </c>
      <c r="D46" s="674"/>
      <c r="E46" s="351"/>
      <c r="F46" s="351"/>
      <c r="G46" s="351"/>
      <c r="H46" s="351"/>
      <c r="I46" s="362"/>
      <c r="J46" s="351"/>
      <c r="K46" s="351"/>
      <c r="L46" s="351"/>
      <c r="M46" s="360"/>
      <c r="N46" s="358"/>
    </row>
    <row r="47" spans="1:14" ht="15" customHeight="1">
      <c r="A47" s="336" t="s">
        <v>525</v>
      </c>
      <c r="B47" s="337" t="str">
        <f ca="1">CONCATENATE(WORLDCUP!AA71,"-",WORLDCUP!AF71)</f>
        <v>Noruega-Senegal</v>
      </c>
      <c r="C47" s="330" t="str">
        <f>CONCATENATE(IF(WORLDCUP!AC71&gt;WORLDCUP!AD71,1,IF(WORLDCUP!AC71&lt;WORLDCUP!AD71,2,IF(AND(WORLDCUP!AC71=WORLDCUP!AD71,WORLDCUP!AC71&lt;&gt;"",WORLDCUP!AD71&lt;&gt;""),"X",0))),"|",WORLDCUP!AC71,"-",WORLDCUP!AD71)</f>
        <v>X|1-1</v>
      </c>
      <c r="D47" s="674"/>
      <c r="E47" s="351"/>
      <c r="F47" s="351"/>
      <c r="G47" s="351"/>
      <c r="H47" s="351"/>
      <c r="I47" s="362"/>
      <c r="J47" s="351"/>
      <c r="K47" s="351"/>
      <c r="L47" s="351"/>
      <c r="M47" s="360"/>
      <c r="N47" s="358"/>
    </row>
    <row r="48" spans="1:14" ht="15" customHeight="1">
      <c r="A48" s="38" t="s">
        <v>29</v>
      </c>
      <c r="B48" s="338" t="str">
        <f ca="1">CONCATENATE(WORLDCUP!AA78,"-",WORLDCUP!AF78)</f>
        <v>Argentina-Austria</v>
      </c>
      <c r="C48" s="330" t="str">
        <f>CONCATENATE(IF(WORLDCUP!AC78&gt;WORLDCUP!AD78,1,IF(WORLDCUP!AC78&lt;WORLDCUP!AD78,2,IF(AND(WORLDCUP!AC78=WORLDCUP!AD78,WORLDCUP!AC78&lt;&gt;"",WORLDCUP!AD78&lt;&gt;""),"X",0))),"|",WORLDCUP!AC78,"-",WORLDCUP!AD78)</f>
        <v>1|2-1</v>
      </c>
      <c r="D48" s="674"/>
      <c r="E48" s="351"/>
      <c r="F48" s="351"/>
      <c r="G48" s="351"/>
      <c r="H48" s="351"/>
      <c r="I48" s="362"/>
      <c r="J48" s="351"/>
      <c r="K48" s="351"/>
      <c r="L48" s="351"/>
      <c r="M48" s="360"/>
      <c r="N48" s="358"/>
    </row>
    <row r="49" spans="1:14" ht="15" customHeight="1">
      <c r="A49" s="38" t="s">
        <v>29</v>
      </c>
      <c r="B49" s="338" t="str">
        <f ca="1">CONCATENATE(WORLDCUP!AA79,"-",WORLDCUP!AF79)</f>
        <v>Jordania-Argelia</v>
      </c>
      <c r="C49" s="330" t="str">
        <f>CONCATENATE(IF(WORLDCUP!AC79&gt;WORLDCUP!AD79,1,IF(WORLDCUP!AC79&lt;WORLDCUP!AD79,2,IF(AND(WORLDCUP!AC79=WORLDCUP!AD79,WORLDCUP!AC79&lt;&gt;"",WORLDCUP!AD79&lt;&gt;""),"X",0))),"|",WORLDCUP!AC79,"-",WORLDCUP!AD79)</f>
        <v>2|0-1</v>
      </c>
      <c r="D49" s="674"/>
      <c r="E49" s="351"/>
      <c r="F49" s="351"/>
      <c r="G49" s="351"/>
      <c r="H49" s="351"/>
      <c r="I49" s="362"/>
      <c r="J49" s="351"/>
      <c r="K49" s="351"/>
      <c r="L49" s="351"/>
      <c r="M49" s="360"/>
      <c r="N49" s="358"/>
    </row>
    <row r="50" spans="1:14" ht="15" customHeight="1">
      <c r="A50" s="336" t="s">
        <v>311</v>
      </c>
      <c r="B50" s="337" t="str">
        <f ca="1">CONCATENATE(WORLDCUP!AA86,"-",WORLDCUP!AF86)</f>
        <v>Portugal-Uzbekistán</v>
      </c>
      <c r="C50" s="330" t="str">
        <f>CONCATENATE(IF(WORLDCUP!AC86&gt;WORLDCUP!AD86,1,IF(WORLDCUP!AC86&lt;WORLDCUP!AD86,2,IF(AND(WORLDCUP!AC86=WORLDCUP!AD86,WORLDCUP!AC86&lt;&gt;"",WORLDCUP!AD86&lt;&gt;""),"X",0))),"|",WORLDCUP!AC86,"-",WORLDCUP!AD86)</f>
        <v>1|3-1</v>
      </c>
      <c r="D50" s="674"/>
      <c r="E50" s="351"/>
      <c r="F50" s="351"/>
      <c r="G50" s="351"/>
      <c r="H50" s="351"/>
      <c r="I50" s="362"/>
      <c r="J50" s="351"/>
      <c r="K50" s="351"/>
      <c r="L50" s="351"/>
      <c r="M50" s="360"/>
      <c r="N50" s="358"/>
    </row>
    <row r="51" spans="1:14" ht="15" customHeight="1">
      <c r="A51" s="336" t="s">
        <v>311</v>
      </c>
      <c r="B51" s="337" t="str">
        <f ca="1">CONCATENATE(WORLDCUP!AA87,"-",WORLDCUP!AF87)</f>
        <v>Colombia-RD Congo</v>
      </c>
      <c r="C51" s="330" t="str">
        <f>CONCATENATE(IF(WORLDCUP!AC87&gt;WORLDCUP!AD87,1,IF(WORLDCUP!AC87&lt;WORLDCUP!AD87,2,IF(AND(WORLDCUP!AC87=WORLDCUP!AD87,WORLDCUP!AC87&lt;&gt;"",WORLDCUP!AD87&lt;&gt;""),"X",0))),"|",WORLDCUP!AC87,"-",WORLDCUP!AD87)</f>
        <v>1|2-1</v>
      </c>
      <c r="D51" s="674"/>
      <c r="E51" s="351"/>
      <c r="F51" s="351"/>
      <c r="G51" s="351"/>
      <c r="H51" s="351"/>
      <c r="I51" s="362"/>
      <c r="J51" s="351"/>
      <c r="K51" s="351"/>
      <c r="L51" s="351"/>
      <c r="M51" s="360"/>
      <c r="N51" s="358"/>
    </row>
    <row r="52" spans="1:14" ht="15" customHeight="1">
      <c r="A52" s="38" t="s">
        <v>1211</v>
      </c>
      <c r="B52" s="338" t="str">
        <f ca="1">CONCATENATE(WORLDCUP!AA94,"-",WORLDCUP!AF94)</f>
        <v>Inglaterra-Ghana</v>
      </c>
      <c r="C52" s="330" t="str">
        <f>CONCATENATE(IF(WORLDCUP!AC94&gt;WORLDCUP!AD94,1,IF(WORLDCUP!AC94&lt;WORLDCUP!AD94,2,IF(AND(WORLDCUP!AC94=WORLDCUP!AD94,WORLDCUP!AC94&lt;&gt;"",WORLDCUP!AD94&lt;&gt;""),"X",0))),"|",WORLDCUP!AC94,"-",WORLDCUP!AD94)</f>
        <v>1|3-1</v>
      </c>
      <c r="D52" s="674"/>
      <c r="E52" s="351"/>
      <c r="F52" s="351"/>
      <c r="G52" s="351"/>
      <c r="H52" s="351"/>
      <c r="I52" s="362"/>
      <c r="J52" s="351"/>
      <c r="K52" s="351"/>
      <c r="L52" s="351"/>
      <c r="M52" s="360"/>
      <c r="N52" s="358"/>
    </row>
    <row r="53" spans="1:14" ht="15" customHeight="1">
      <c r="A53" s="38" t="s">
        <v>1211</v>
      </c>
      <c r="B53" s="338" t="str">
        <f ca="1">CONCATENATE(WORLDCUP!AA95,"-",WORLDCUP!AF95)</f>
        <v>Panamá-Croacia</v>
      </c>
      <c r="C53" s="330" t="str">
        <f>CONCATENATE(IF(WORLDCUP!AC95&gt;WORLDCUP!AD95,1,IF(WORLDCUP!AC95&lt;WORLDCUP!AD95,2,IF(AND(WORLDCUP!AC95=WORLDCUP!AD95,WORLDCUP!AC95&lt;&gt;"",WORLDCUP!AD95&lt;&gt;""),"X",0))),"|",WORLDCUP!AC95,"-",WORLDCUP!AD95)</f>
        <v>2|0-2</v>
      </c>
      <c r="D53" s="675"/>
      <c r="E53" s="353"/>
      <c r="F53" s="353"/>
      <c r="G53" s="353"/>
      <c r="H53" s="353"/>
      <c r="I53" s="363"/>
      <c r="J53" s="351"/>
      <c r="K53" s="351"/>
      <c r="L53" s="351"/>
      <c r="M53" s="360"/>
      <c r="N53" s="358"/>
    </row>
    <row r="54" spans="1:14" ht="15" customHeight="1">
      <c r="A54" s="336" t="s">
        <v>126</v>
      </c>
      <c r="B54" s="337" t="str">
        <f ca="1">CONCATENATE(WORLDCUP!AA8,"-",WORLDCUP!AF8)</f>
        <v>República Checa-México</v>
      </c>
      <c r="C54" s="330" t="str">
        <f>CONCATENATE(IF(WORLDCUP!AC8&gt;WORLDCUP!AD8,1,IF(WORLDCUP!AC8&lt;WORLDCUP!AD8,2,IF(AND(WORLDCUP!AC8=WORLDCUP!AD8,WORLDCUP!AC8&lt;&gt;"",WORLDCUP!AD8&lt;&gt;""),"X",0))),"|",WORLDCUP!AC8,"-",WORLDCUP!AD8)</f>
        <v>2|0-2</v>
      </c>
      <c r="D54" s="668" t="str">
        <f>Idiomas!D124</f>
        <v>J3</v>
      </c>
      <c r="E54" s="677" t="str">
        <f>Idiomas!D112</f>
        <v>·Para la tercera jornada copiar de la C54 a la C161 y pega valores en la plantilla de administrador.</v>
      </c>
      <c r="F54" s="677"/>
      <c r="G54" s="677"/>
      <c r="H54" s="677"/>
      <c r="I54" s="362"/>
      <c r="J54" s="351"/>
      <c r="K54" s="351"/>
      <c r="L54" s="351"/>
      <c r="M54" s="360"/>
      <c r="N54" s="358"/>
    </row>
    <row r="55" spans="1:14" ht="15" customHeight="1">
      <c r="A55" s="336" t="s">
        <v>126</v>
      </c>
      <c r="B55" s="337" t="str">
        <f ca="1">CONCATENATE(WORLDCUP!AA9,"-",WORLDCUP!AF9)</f>
        <v>Sudáfrica-Corea del Sur</v>
      </c>
      <c r="C55" s="330" t="str">
        <f>CONCATENATE(IF(WORLDCUP!AC9&gt;WORLDCUP!AD9,1,IF(WORLDCUP!AC9&lt;WORLDCUP!AD9,2,IF(AND(WORLDCUP!AC9=WORLDCUP!AD9,WORLDCUP!AC9&lt;&gt;"",WORLDCUP!AD9&lt;&gt;""),"X",0))),"|",WORLDCUP!AC9,"-",WORLDCUP!AD9)</f>
        <v>2|1-2</v>
      </c>
      <c r="D55" s="668"/>
      <c r="E55" s="661"/>
      <c r="F55" s="661"/>
      <c r="G55" s="661"/>
      <c r="H55" s="661"/>
      <c r="I55" s="362"/>
      <c r="J55" s="351"/>
      <c r="K55" s="351"/>
      <c r="L55" s="351"/>
      <c r="M55" s="360"/>
      <c r="N55" s="358"/>
    </row>
    <row r="56" spans="1:14" ht="15" customHeight="1">
      <c r="A56" s="38" t="s">
        <v>127</v>
      </c>
      <c r="B56" s="338" t="str">
        <f ca="1">CONCATENATE(WORLDCUP!AA16,"-",WORLDCUP!AF16)</f>
        <v>Suiza-Canadá</v>
      </c>
      <c r="C56" s="330" t="str">
        <f>CONCATENATE(IF(WORLDCUP!AC16&gt;WORLDCUP!AD16,1,IF(WORLDCUP!AC16&lt;WORLDCUP!AD16,2,IF(AND(WORLDCUP!AC16=WORLDCUP!AD16,WORLDCUP!AC16&lt;&gt;"",WORLDCUP!AD16&lt;&gt;""),"X",0))),"|",WORLDCUP!AC16,"-",WORLDCUP!AD16)</f>
        <v>X|1-1</v>
      </c>
      <c r="D56" s="668"/>
      <c r="E56" s="661"/>
      <c r="F56" s="661"/>
      <c r="G56" s="661"/>
      <c r="H56" s="661"/>
      <c r="I56" s="362"/>
      <c r="J56" s="351"/>
      <c r="K56" s="351"/>
      <c r="L56" s="351"/>
      <c r="M56" s="360"/>
      <c r="N56" s="358"/>
    </row>
    <row r="57" spans="1:14" ht="15" customHeight="1">
      <c r="A57" s="38" t="s">
        <v>127</v>
      </c>
      <c r="B57" s="338" t="str">
        <f ca="1">CONCATENATE(WORLDCUP!AA17,"-",WORLDCUP!AF17)</f>
        <v>Bosnia y Herzegovina-Catar</v>
      </c>
      <c r="C57" s="330" t="str">
        <f>CONCATENATE(IF(WORLDCUP!AC17&gt;WORLDCUP!AD17,1,IF(WORLDCUP!AC17&lt;WORLDCUP!AD17,2,IF(AND(WORLDCUP!AC17=WORLDCUP!AD17,WORLDCUP!AC17&lt;&gt;"",WORLDCUP!AD17&lt;&gt;""),"X",0))),"|",WORLDCUP!AC17,"-",WORLDCUP!AD17)</f>
        <v>1|2-1</v>
      </c>
      <c r="D57" s="668"/>
      <c r="E57" s="661"/>
      <c r="F57" s="661"/>
      <c r="G57" s="661"/>
      <c r="H57" s="661"/>
      <c r="I57" s="362"/>
      <c r="J57" s="351"/>
      <c r="K57" s="351"/>
      <c r="L57" s="351"/>
      <c r="M57" s="360"/>
      <c r="N57" s="358"/>
    </row>
    <row r="58" spans="1:14" ht="15" customHeight="1">
      <c r="A58" s="336" t="s">
        <v>128</v>
      </c>
      <c r="B58" s="337" t="str">
        <f ca="1">CONCATENATE(WORLDCUP!AA24,"-",WORLDCUP!AF24)</f>
        <v>Escocia-Brasil</v>
      </c>
      <c r="C58" s="330" t="str">
        <f>CONCATENATE(IF(WORLDCUP!AC24&gt;WORLDCUP!AD24,1,IF(WORLDCUP!AC24&lt;WORLDCUP!AD24,2,IF(AND(WORLDCUP!AC24=WORLDCUP!AD24,WORLDCUP!AC24&lt;&gt;"",WORLDCUP!AD24&lt;&gt;""),"X",0))),"|",WORLDCUP!AC24,"-",WORLDCUP!AD24)</f>
        <v>1|2-0</v>
      </c>
      <c r="D58" s="668"/>
      <c r="E58" s="351"/>
      <c r="F58" s="351"/>
      <c r="G58" s="351"/>
      <c r="H58" s="351"/>
      <c r="I58" s="362"/>
      <c r="J58" s="351"/>
      <c r="K58" s="351"/>
      <c r="L58" s="351"/>
      <c r="M58" s="360"/>
      <c r="N58" s="358"/>
    </row>
    <row r="59" spans="1:14" ht="15" customHeight="1">
      <c r="A59" s="336" t="s">
        <v>128</v>
      </c>
      <c r="B59" s="337" t="str">
        <f ca="1">CONCATENATE(WORLDCUP!AA25,"-",WORLDCUP!AF25)</f>
        <v>Marruecos-Haití</v>
      </c>
      <c r="C59" s="330" t="str">
        <f>CONCATENATE(IF(WORLDCUP!AC25&gt;WORLDCUP!AD25,1,IF(WORLDCUP!AC25&lt;WORLDCUP!AD25,2,IF(AND(WORLDCUP!AC25=WORLDCUP!AD25,WORLDCUP!AC25&lt;&gt;"",WORLDCUP!AD25&lt;&gt;""),"X",0))),"|",WORLDCUP!AC25,"-",WORLDCUP!AD25)</f>
        <v>1|2-0</v>
      </c>
      <c r="D59" s="668"/>
      <c r="E59" s="351"/>
      <c r="F59" s="351"/>
      <c r="G59" s="351"/>
      <c r="H59" s="351"/>
      <c r="I59" s="362"/>
      <c r="J59" s="351"/>
      <c r="K59" s="351"/>
      <c r="L59" s="351"/>
      <c r="M59" s="360"/>
      <c r="N59" s="358"/>
    </row>
    <row r="60" spans="1:14" ht="15" customHeight="1">
      <c r="A60" s="38" t="s">
        <v>129</v>
      </c>
      <c r="B60" s="338" t="str">
        <f ca="1">CONCATENATE(WORLDCUP!AA32,"-",WORLDCUP!AF32)</f>
        <v>Turquía-Estados Unidos</v>
      </c>
      <c r="C60" s="330" t="str">
        <f>CONCATENATE(IF(WORLDCUP!AC32&gt;WORLDCUP!AD32,1,IF(WORLDCUP!AC32&lt;WORLDCUP!AD32,2,IF(AND(WORLDCUP!AC32=WORLDCUP!AD32,WORLDCUP!AC32&lt;&gt;"",WORLDCUP!AD32&lt;&gt;""),"X",0))),"|",WORLDCUP!AC32,"-",WORLDCUP!AD32)</f>
        <v>1|2-0</v>
      </c>
      <c r="D60" s="668"/>
      <c r="E60" s="351"/>
      <c r="F60" s="351"/>
      <c r="G60" s="351"/>
      <c r="H60" s="351"/>
      <c r="I60" s="362"/>
      <c r="J60" s="351"/>
      <c r="K60" s="351"/>
      <c r="L60" s="351"/>
      <c r="M60" s="360"/>
      <c r="N60" s="358"/>
    </row>
    <row r="61" spans="1:14" ht="15" customHeight="1">
      <c r="A61" s="38" t="s">
        <v>129</v>
      </c>
      <c r="B61" s="338" t="str">
        <f ca="1">CONCATENATE(WORLDCUP!AA33,"-",WORLDCUP!AF33)</f>
        <v>Paraguay-Australia</v>
      </c>
      <c r="C61" s="330" t="str">
        <f>CONCATENATE(IF(WORLDCUP!AC33&gt;WORLDCUP!AD33,1,IF(WORLDCUP!AC33&lt;WORLDCUP!AD33,2,IF(AND(WORLDCUP!AC33=WORLDCUP!AD33,WORLDCUP!AC33&lt;&gt;"",WORLDCUP!AD33&lt;&gt;""),"X",0))),"|",WORLDCUP!AC33,"-",WORLDCUP!AD33)</f>
        <v>X|1-1</v>
      </c>
      <c r="D61" s="668"/>
      <c r="E61" s="351"/>
      <c r="F61" s="351"/>
      <c r="G61" s="351"/>
      <c r="H61" s="351"/>
      <c r="I61" s="362"/>
      <c r="J61" s="351"/>
      <c r="K61" s="351"/>
      <c r="L61" s="351"/>
      <c r="M61" s="360"/>
      <c r="N61" s="358"/>
    </row>
    <row r="62" spans="1:14" ht="15" customHeight="1">
      <c r="A62" s="336" t="s">
        <v>130</v>
      </c>
      <c r="B62" s="337" t="str">
        <f ca="1">CONCATENATE(WORLDCUP!AA40,"-",WORLDCUP!AF40)</f>
        <v>Curazao-Costa de Marfil</v>
      </c>
      <c r="C62" s="330" t="str">
        <f>CONCATENATE(IF(WORLDCUP!AC40&gt;WORLDCUP!AD40,1,IF(WORLDCUP!AC40&lt;WORLDCUP!AD40,2,IF(AND(WORLDCUP!AC40=WORLDCUP!AD40,WORLDCUP!AC40&lt;&gt;"",WORLDCUP!AD40&lt;&gt;""),"X",0))),"|",WORLDCUP!AC40,"-",WORLDCUP!AD40)</f>
        <v>2|0-2</v>
      </c>
      <c r="D62" s="668"/>
      <c r="E62" s="351"/>
      <c r="F62" s="351"/>
      <c r="G62" s="351"/>
      <c r="H62" s="351"/>
      <c r="I62" s="362"/>
      <c r="J62" s="351"/>
      <c r="K62" s="351"/>
      <c r="L62" s="351"/>
      <c r="M62" s="360"/>
      <c r="N62" s="358"/>
    </row>
    <row r="63" spans="1:14" ht="15" customHeight="1">
      <c r="A63" s="336" t="s">
        <v>130</v>
      </c>
      <c r="B63" s="337" t="str">
        <f ca="1">CONCATENATE(WORLDCUP!AA41,"-",WORLDCUP!AF41)</f>
        <v>Ecuador-Alemania</v>
      </c>
      <c r="C63" s="330" t="str">
        <f>CONCATENATE(IF(WORLDCUP!AC41&gt;WORLDCUP!AD41,1,IF(WORLDCUP!AC41&lt;WORLDCUP!AD41,2,IF(AND(WORLDCUP!AC41=WORLDCUP!AD41,WORLDCUP!AC41&lt;&gt;"",WORLDCUP!AD41&lt;&gt;""),"X",0))),"|",WORLDCUP!AC41,"-",WORLDCUP!AD41)</f>
        <v>2|0-2</v>
      </c>
      <c r="D63" s="668"/>
      <c r="E63" s="351"/>
      <c r="F63" s="351"/>
      <c r="G63" s="351"/>
      <c r="H63" s="351"/>
      <c r="I63" s="362"/>
      <c r="J63" s="351"/>
      <c r="K63" s="351"/>
      <c r="L63" s="351"/>
      <c r="M63" s="360"/>
      <c r="N63" s="358"/>
    </row>
    <row r="64" spans="1:14" ht="15" customHeight="1">
      <c r="A64" s="38" t="s">
        <v>131</v>
      </c>
      <c r="B64" s="338" t="str">
        <f ca="1">CONCATENATE(WORLDCUP!AA48,"-",WORLDCUP!AF48)</f>
        <v>Japón-Suecia</v>
      </c>
      <c r="C64" s="330" t="str">
        <f>CONCATENATE(IF(WORLDCUP!AC48&gt;WORLDCUP!AD48,1,IF(WORLDCUP!AC48&lt;WORLDCUP!AD48,2,IF(AND(WORLDCUP!AC48=WORLDCUP!AD48,WORLDCUP!AC48&lt;&gt;"",WORLDCUP!AD48&lt;&gt;""),"X",0))),"|",WORLDCUP!AC48,"-",WORLDCUP!AD48)</f>
        <v>1|2-1</v>
      </c>
      <c r="D64" s="668"/>
      <c r="E64" s="351"/>
      <c r="F64" s="351"/>
      <c r="G64" s="351"/>
      <c r="H64" s="351"/>
      <c r="I64" s="362"/>
      <c r="J64" s="351"/>
      <c r="K64" s="351"/>
      <c r="L64" s="351"/>
      <c r="M64" s="360"/>
      <c r="N64" s="358"/>
    </row>
    <row r="65" spans="1:14" ht="15" customHeight="1">
      <c r="A65" s="38" t="s">
        <v>131</v>
      </c>
      <c r="B65" s="338" t="str">
        <f ca="1">CONCATENATE(WORLDCUP!AA49,"-",WORLDCUP!AF49)</f>
        <v>Túnez-Países Bajos</v>
      </c>
      <c r="C65" s="330" t="str">
        <f>CONCATENATE(IF(WORLDCUP!AC49&gt;WORLDCUP!AD49,1,IF(WORLDCUP!AC49&lt;WORLDCUP!AD49,2,IF(AND(WORLDCUP!AC49=WORLDCUP!AD49,WORLDCUP!AC49&lt;&gt;"",WORLDCUP!AD49&lt;&gt;""),"X",0))),"|",WORLDCUP!AC49,"-",WORLDCUP!AD49)</f>
        <v>2|0-2</v>
      </c>
      <c r="D65" s="668"/>
      <c r="E65" s="351"/>
      <c r="F65" s="351"/>
      <c r="G65" s="351"/>
      <c r="H65" s="351"/>
      <c r="I65" s="362"/>
      <c r="J65" s="351"/>
      <c r="K65" s="351"/>
      <c r="L65" s="351"/>
      <c r="M65" s="360"/>
      <c r="N65" s="358"/>
    </row>
    <row r="66" spans="1:14" ht="15" customHeight="1">
      <c r="A66" s="336" t="s">
        <v>182</v>
      </c>
      <c r="B66" s="337" t="str">
        <f ca="1">CONCATENATE(WORLDCUP!AA56,"-",WORLDCUP!AF56)</f>
        <v>Egipto-Irán</v>
      </c>
      <c r="C66" s="330" t="str">
        <f>CONCATENATE(IF(WORLDCUP!AC56&gt;WORLDCUP!AD56,1,IF(WORLDCUP!AC56&lt;WORLDCUP!AD56,2,IF(AND(WORLDCUP!AC56=WORLDCUP!AD56,WORLDCUP!AC56&lt;&gt;"",WORLDCUP!AD56&lt;&gt;""),"X",0))),"|",WORLDCUP!AC56,"-",WORLDCUP!AD56)</f>
        <v>X|1-1</v>
      </c>
      <c r="D66" s="668"/>
      <c r="E66" s="351"/>
      <c r="F66" s="351"/>
      <c r="G66" s="351"/>
      <c r="H66" s="351"/>
      <c r="I66" s="362"/>
      <c r="J66" s="351"/>
      <c r="K66" s="351"/>
      <c r="L66" s="351"/>
      <c r="M66" s="360"/>
      <c r="N66" s="358"/>
    </row>
    <row r="67" spans="1:14" ht="15" customHeight="1">
      <c r="A67" s="336" t="s">
        <v>182</v>
      </c>
      <c r="B67" s="337" t="str">
        <f ca="1">CONCATENATE(WORLDCUP!AA57,"-",WORLDCUP!AF57)</f>
        <v>Nueva Zelanda-Bélgica</v>
      </c>
      <c r="C67" s="330" t="str">
        <f>CONCATENATE(IF(WORLDCUP!AC57&gt;WORLDCUP!AD57,1,IF(WORLDCUP!AC57&lt;WORLDCUP!AD57,2,IF(AND(WORLDCUP!AC57=WORLDCUP!AD57,WORLDCUP!AC57&lt;&gt;"",WORLDCUP!AD57&lt;&gt;""),"X",0))),"|",WORLDCUP!AC57,"-",WORLDCUP!AD57)</f>
        <v>2|0-3</v>
      </c>
      <c r="D67" s="668"/>
      <c r="E67" s="351"/>
      <c r="F67" s="351"/>
      <c r="G67" s="351"/>
      <c r="H67" s="351"/>
      <c r="I67" s="362"/>
      <c r="J67" s="351"/>
      <c r="K67" s="351"/>
      <c r="L67" s="351"/>
      <c r="M67" s="360"/>
      <c r="N67" s="358"/>
    </row>
    <row r="68" spans="1:14" ht="15" customHeight="1">
      <c r="A68" s="38" t="s">
        <v>183</v>
      </c>
      <c r="B68" s="338" t="str">
        <f ca="1">CONCATENATE(WORLDCUP!AA64,"-",WORLDCUP!AF64)</f>
        <v>Cabo Verde-Arabia Saudita</v>
      </c>
      <c r="C68" s="330" t="str">
        <f>CONCATENATE(IF(WORLDCUP!AC64&gt;WORLDCUP!AD64,1,IF(WORLDCUP!AC64&lt;WORLDCUP!AD64,2,IF(AND(WORLDCUP!AC64=WORLDCUP!AD64,WORLDCUP!AC64&lt;&gt;"",WORLDCUP!AD64&lt;&gt;""),"X",0))),"|",WORLDCUP!AC64,"-",WORLDCUP!AD64)</f>
        <v>X|1-1</v>
      </c>
      <c r="D68" s="668"/>
      <c r="E68" s="351"/>
      <c r="F68" s="351"/>
      <c r="G68" s="351"/>
      <c r="H68" s="351"/>
      <c r="I68" s="362"/>
      <c r="J68" s="351"/>
      <c r="K68" s="351"/>
      <c r="L68" s="351"/>
      <c r="M68" s="360"/>
      <c r="N68" s="358"/>
    </row>
    <row r="69" spans="1:14" ht="15" customHeight="1">
      <c r="A69" s="38" t="s">
        <v>183</v>
      </c>
      <c r="B69" s="338" t="str">
        <f ca="1">CONCATENATE(WORLDCUP!AA65,"-",WORLDCUP!AF65)</f>
        <v>Uruguay-España</v>
      </c>
      <c r="C69" s="330" t="str">
        <f>CONCATENATE(IF(WORLDCUP!AC65&gt;WORLDCUP!AD65,1,IF(WORLDCUP!AC65&lt;WORLDCUP!AD65,2,IF(AND(WORLDCUP!AC65=WORLDCUP!AD65,WORLDCUP!AC65&lt;&gt;"",WORLDCUP!AD65&lt;&gt;""),"X",0))),"|",WORLDCUP!AC65,"-",WORLDCUP!AD65)</f>
        <v>2|2-3</v>
      </c>
      <c r="D69" s="668"/>
      <c r="E69" s="351"/>
      <c r="F69" s="351"/>
      <c r="G69" s="351"/>
      <c r="H69" s="351"/>
      <c r="I69" s="362"/>
      <c r="J69" s="351"/>
      <c r="K69" s="351"/>
      <c r="L69" s="351"/>
      <c r="M69" s="360"/>
      <c r="N69" s="358"/>
    </row>
    <row r="70" spans="1:14" ht="15" customHeight="1">
      <c r="A70" s="336" t="s">
        <v>184</v>
      </c>
      <c r="B70" s="337" t="str">
        <f ca="1">CONCATENATE(WORLDCUP!AA72,"-",WORLDCUP!AF72)</f>
        <v>Noruega-Francia</v>
      </c>
      <c r="C70" s="330" t="str">
        <f>CONCATENATE(IF(WORLDCUP!AC72&gt;WORLDCUP!AD72,1,IF(WORLDCUP!AC72&lt;WORLDCUP!AD72,2,IF(AND(WORLDCUP!AC72=WORLDCUP!AD72,WORLDCUP!AC72&lt;&gt;"",WORLDCUP!AD72&lt;&gt;""),"X",0))),"|",WORLDCUP!AC72,"-",WORLDCUP!AD72)</f>
        <v>2|0-2</v>
      </c>
      <c r="D70" s="668"/>
      <c r="E70" s="351"/>
      <c r="F70" s="351"/>
      <c r="G70" s="351"/>
      <c r="H70" s="351"/>
      <c r="I70" s="362"/>
      <c r="J70" s="351"/>
      <c r="K70" s="351"/>
      <c r="L70" s="351"/>
      <c r="M70" s="360"/>
      <c r="N70" s="358"/>
    </row>
    <row r="71" spans="1:14" ht="15" customHeight="1">
      <c r="A71" s="336" t="s">
        <v>184</v>
      </c>
      <c r="B71" s="337" t="str">
        <f ca="1">CONCATENATE(WORLDCUP!AA73,"-",WORLDCUP!AF73)</f>
        <v>Senegal-Irak</v>
      </c>
      <c r="C71" s="330" t="str">
        <f>CONCATENATE(IF(WORLDCUP!AC73&gt;WORLDCUP!AD73,1,IF(WORLDCUP!AC73&lt;WORLDCUP!AD73,2,IF(AND(WORLDCUP!AC73=WORLDCUP!AD73,WORLDCUP!AC73&lt;&gt;"",WORLDCUP!AD73&lt;&gt;""),"X",0))),"|",WORLDCUP!AC73,"-",WORLDCUP!AD73)</f>
        <v>1|1-0</v>
      </c>
      <c r="D71" s="668"/>
      <c r="E71" s="351"/>
      <c r="F71" s="351"/>
      <c r="G71" s="351"/>
      <c r="H71" s="351"/>
      <c r="I71" s="362"/>
      <c r="J71" s="351"/>
      <c r="K71" s="351"/>
      <c r="L71" s="351"/>
      <c r="M71" s="360"/>
      <c r="N71" s="358"/>
    </row>
    <row r="72" spans="1:14" ht="15" customHeight="1">
      <c r="A72" s="38" t="s">
        <v>30</v>
      </c>
      <c r="B72" s="338" t="str">
        <f ca="1">CONCATENATE(WORLDCUP!AA80,"-",WORLDCUP!AF80)</f>
        <v>Argelia-Austria</v>
      </c>
      <c r="C72" s="330" t="str">
        <f>CONCATENATE(IF(WORLDCUP!AC80&gt;WORLDCUP!AD80,1,IF(WORLDCUP!AC80&lt;WORLDCUP!AD80,2,IF(AND(WORLDCUP!AC80=WORLDCUP!AD80,WORLDCUP!AC80&lt;&gt;"",WORLDCUP!AD80&lt;&gt;""),"X",0))),"|",WORLDCUP!AC80,"-",WORLDCUP!AD80)</f>
        <v>2|1-2</v>
      </c>
      <c r="D72" s="668"/>
      <c r="E72" s="351"/>
      <c r="F72" s="351"/>
      <c r="G72" s="351"/>
      <c r="H72" s="351"/>
      <c r="I72" s="362"/>
      <c r="J72" s="351"/>
      <c r="K72" s="351"/>
      <c r="L72" s="351"/>
      <c r="M72" s="360"/>
      <c r="N72" s="358"/>
    </row>
    <row r="73" spans="1:14" ht="15" customHeight="1">
      <c r="A73" s="38" t="s">
        <v>30</v>
      </c>
      <c r="B73" s="338" t="str">
        <f ca="1">CONCATENATE(WORLDCUP!AA81,"-",WORLDCUP!AF81)</f>
        <v>Jordania-Argentina</v>
      </c>
      <c r="C73" s="330" t="str">
        <f>CONCATENATE(IF(WORLDCUP!AC81&gt;WORLDCUP!AD81,1,IF(WORLDCUP!AC81&lt;WORLDCUP!AD81,2,IF(AND(WORLDCUP!AC81=WORLDCUP!AD81,WORLDCUP!AC81&lt;&gt;"",WORLDCUP!AD81&lt;&gt;""),"X",0))),"|",WORLDCUP!AC81,"-",WORLDCUP!AD81)</f>
        <v>2|0-2</v>
      </c>
      <c r="D73" s="668"/>
      <c r="E73" s="351"/>
      <c r="F73" s="351"/>
      <c r="G73" s="351"/>
      <c r="H73" s="351"/>
      <c r="I73" s="362"/>
      <c r="J73" s="351"/>
      <c r="K73" s="351"/>
      <c r="L73" s="351"/>
      <c r="M73" s="360"/>
      <c r="N73" s="358"/>
    </row>
    <row r="74" spans="1:14" ht="15" customHeight="1">
      <c r="A74" s="336" t="s">
        <v>190</v>
      </c>
      <c r="B74" s="337" t="str">
        <f ca="1">CONCATENATE(WORLDCUP!AA88,"-",WORLDCUP!AF88)</f>
        <v>Colombia-Portugal</v>
      </c>
      <c r="C74" s="330" t="str">
        <f>CONCATENATE(IF(WORLDCUP!AC88&gt;WORLDCUP!AD88,1,IF(WORLDCUP!AC88&lt;WORLDCUP!AD88,2,IF(AND(WORLDCUP!AC88=WORLDCUP!AD88,WORLDCUP!AC88&lt;&gt;"",WORLDCUP!AD88&lt;&gt;""),"X",0))),"|",WORLDCUP!AC88,"-",WORLDCUP!AD88)</f>
        <v>X|1-1</v>
      </c>
      <c r="D74" s="668"/>
      <c r="E74" s="351"/>
      <c r="F74" s="351"/>
      <c r="G74" s="351"/>
      <c r="H74" s="351"/>
      <c r="I74" s="362"/>
      <c r="J74" s="351"/>
      <c r="K74" s="351"/>
      <c r="L74" s="351"/>
      <c r="M74" s="360"/>
      <c r="N74" s="358"/>
    </row>
    <row r="75" spans="1:14" ht="15" customHeight="1">
      <c r="A75" s="336" t="s">
        <v>190</v>
      </c>
      <c r="B75" s="337" t="str">
        <f ca="1">CONCATENATE(WORLDCUP!AA89,"-",WORLDCUP!AF89)</f>
        <v>RD Congo-Uzbekistán</v>
      </c>
      <c r="C75" s="330" t="str">
        <f>CONCATENATE(IF(WORLDCUP!AC89&gt;WORLDCUP!AD89,1,IF(WORLDCUP!AC89&lt;WORLDCUP!AD89,2,IF(AND(WORLDCUP!AC89=WORLDCUP!AD89,WORLDCUP!AC89&lt;&gt;"",WORLDCUP!AD89&lt;&gt;""),"X",0))),"|",WORLDCUP!AC89,"-",WORLDCUP!AD89)</f>
        <v>1|1-0</v>
      </c>
      <c r="D75" s="668"/>
      <c r="E75" s="351"/>
      <c r="F75" s="351"/>
      <c r="G75" s="351"/>
      <c r="H75" s="351"/>
      <c r="I75" s="362"/>
      <c r="J75" s="351"/>
      <c r="K75" s="351"/>
      <c r="L75" s="351"/>
      <c r="M75" s="360"/>
      <c r="N75" s="358"/>
    </row>
    <row r="76" spans="1:14" ht="15" customHeight="1">
      <c r="A76" s="38" t="s">
        <v>1212</v>
      </c>
      <c r="B76" s="338" t="str">
        <f ca="1">CONCATENATE(WORLDCUP!AA96,"-",WORLDCUP!AF96)</f>
        <v>Panamá-Inglaterra</v>
      </c>
      <c r="C76" s="330" t="str">
        <f>CONCATENATE(IF(WORLDCUP!AC96&gt;WORLDCUP!AD96,1,IF(WORLDCUP!AC96&lt;WORLDCUP!AD96,2,IF(AND(WORLDCUP!AC96=WORLDCUP!AD96,WORLDCUP!AC96&lt;&gt;"",WORLDCUP!AD96&lt;&gt;""),"X",0))),"|",WORLDCUP!AC96,"-",WORLDCUP!AD96)</f>
        <v>2|0-2</v>
      </c>
      <c r="D76" s="668"/>
      <c r="E76" s="351"/>
      <c r="F76" s="351"/>
      <c r="G76" s="351"/>
      <c r="H76" s="351"/>
      <c r="I76" s="362"/>
      <c r="J76" s="351"/>
      <c r="K76" s="351"/>
      <c r="L76" s="351"/>
      <c r="M76" s="360"/>
      <c r="N76" s="358"/>
    </row>
    <row r="77" spans="1:14" ht="15" customHeight="1">
      <c r="A77" s="38" t="s">
        <v>1212</v>
      </c>
      <c r="B77" s="338" t="str">
        <f ca="1">CONCATENATE(WORLDCUP!AA97,"-",WORLDCUP!AF97)</f>
        <v>Croacia-Ghana</v>
      </c>
      <c r="C77" s="330" t="str">
        <f>CONCATENATE(IF(WORLDCUP!AC97&gt;WORLDCUP!AD97,1,IF(WORLDCUP!AC97&lt;WORLDCUP!AD97,2,IF(AND(WORLDCUP!AC97=WORLDCUP!AD97,WORLDCUP!AC97&lt;&gt;"",WORLDCUP!AD97&lt;&gt;""),"X",0))),"|",WORLDCUP!AC97,"-",WORLDCUP!AD97)</f>
        <v>1|2-1</v>
      </c>
      <c r="D77" s="668"/>
      <c r="E77" s="351"/>
      <c r="F77" s="351"/>
      <c r="G77" s="351"/>
      <c r="H77" s="351"/>
      <c r="I77" s="362"/>
      <c r="J77" s="351"/>
      <c r="K77" s="351"/>
      <c r="L77" s="351"/>
      <c r="M77" s="360"/>
      <c r="N77" s="358"/>
    </row>
    <row r="78" spans="1:14" ht="15" customHeight="1">
      <c r="A78" s="334"/>
      <c r="B78" s="334"/>
      <c r="C78" s="331"/>
      <c r="D78" s="668"/>
      <c r="E78" s="351"/>
      <c r="F78" s="351"/>
      <c r="G78" s="351"/>
      <c r="H78" s="351"/>
      <c r="I78" s="362"/>
      <c r="J78" s="351"/>
      <c r="K78" s="351"/>
      <c r="L78" s="351"/>
      <c r="M78" s="360"/>
      <c r="N78" s="358"/>
    </row>
    <row r="79" spans="1:14" ht="19" customHeight="1">
      <c r="A79" s="334"/>
      <c r="B79" s="339" t="str">
        <f>Idiomas!D126</f>
        <v>POSICIÓN GRUPOS</v>
      </c>
      <c r="C79" s="331"/>
      <c r="D79" s="668"/>
      <c r="E79" s="351"/>
      <c r="F79" s="351"/>
      <c r="G79" s="351"/>
      <c r="H79" s="351"/>
      <c r="I79" s="362"/>
      <c r="J79" s="351"/>
      <c r="K79" s="351"/>
      <c r="L79" s="351"/>
      <c r="M79" s="360"/>
      <c r="N79" s="358"/>
    </row>
    <row r="80" spans="1:14" ht="15" customHeight="1">
      <c r="A80" s="671" t="s">
        <v>0</v>
      </c>
      <c r="B80" s="340" t="str">
        <f>Idiomas!D140</f>
        <v>1º GRUPO A</v>
      </c>
      <c r="C80" s="330" t="str">
        <f ca="1">IF(OR(SUM(WORLDCUP!$AN$6:$AN$9)=12,WORLDCUP!$AJ$99=144),WORLDCUP!AL6,B80)</f>
        <v>México</v>
      </c>
      <c r="D80" s="668"/>
      <c r="E80" s="351"/>
      <c r="F80" s="351"/>
      <c r="G80" s="351"/>
      <c r="H80" s="351"/>
      <c r="I80" s="362"/>
      <c r="J80" s="351"/>
      <c r="K80" s="351"/>
      <c r="L80" s="351"/>
      <c r="M80" s="360"/>
      <c r="N80" s="358"/>
    </row>
    <row r="81" spans="1:14" ht="15" customHeight="1">
      <c r="A81" s="671"/>
      <c r="B81" s="340" t="str">
        <f>Idiomas!D141</f>
        <v>2º GRUPO A</v>
      </c>
      <c r="C81" s="330" t="str">
        <f ca="1">IF(OR(SUM(WORLDCUP!$AN$6:$AN$9)=12,WORLDCUP!$AJ$99=144),WORLDCUP!AL7,B81)</f>
        <v>Corea del Sur</v>
      </c>
      <c r="D81" s="668"/>
      <c r="E81" s="351"/>
      <c r="F81" s="351"/>
      <c r="G81" s="351"/>
      <c r="H81" s="351"/>
      <c r="I81" s="362"/>
      <c r="J81" s="351"/>
      <c r="K81" s="351"/>
      <c r="L81" s="351"/>
      <c r="M81" s="360"/>
      <c r="N81" s="358"/>
    </row>
    <row r="82" spans="1:14" ht="15" customHeight="1">
      <c r="A82" s="671"/>
      <c r="B82" s="340" t="str">
        <f>Idiomas!D142</f>
        <v>3º GRUPO A</v>
      </c>
      <c r="C82" s="330" t="str">
        <f ca="1">IF(OR(SUM(WORLDCUP!$AN$6:$AN$9)=12,WORLDCUP!$AJ$99=144),WORLDCUP!AL8,B82)</f>
        <v>República Checa</v>
      </c>
      <c r="D82" s="668"/>
      <c r="E82" s="351"/>
      <c r="F82" s="351"/>
      <c r="G82" s="351"/>
      <c r="H82" s="351"/>
      <c r="I82" s="362"/>
      <c r="J82" s="351"/>
      <c r="K82" s="351"/>
      <c r="L82" s="351"/>
      <c r="M82" s="360"/>
      <c r="N82" s="358"/>
    </row>
    <row r="83" spans="1:14" ht="15" customHeight="1">
      <c r="A83" s="671"/>
      <c r="B83" s="340" t="str">
        <f>Idiomas!D143</f>
        <v>4º GRUPO A</v>
      </c>
      <c r="C83" s="330" t="str">
        <f ca="1">IF(OR(SUM(WORLDCUP!$AN$6:$AN$9)=12,WORLDCUP!$AJ$99=144),WORLDCUP!AL9,B83)</f>
        <v>Sudáfrica</v>
      </c>
      <c r="D83" s="668"/>
      <c r="E83" s="351"/>
      <c r="F83" s="351"/>
      <c r="G83" s="351"/>
      <c r="H83" s="351"/>
      <c r="I83" s="362"/>
      <c r="J83" s="351"/>
      <c r="K83" s="351"/>
      <c r="L83" s="351"/>
      <c r="M83" s="360"/>
      <c r="N83" s="358"/>
    </row>
    <row r="84" spans="1:14" ht="15" customHeight="1">
      <c r="A84" s="670" t="s">
        <v>1</v>
      </c>
      <c r="B84" s="338" t="str">
        <f>Idiomas!D144</f>
        <v>1º GRUPO B</v>
      </c>
      <c r="C84" s="330" t="str">
        <f ca="1">IF(OR(SUM(WORLDCUP!$AN$14:$AN$17)=12,WORLDCUP!$AJ$99=144),WORLDCUP!AL14,B84)</f>
        <v>Suiza</v>
      </c>
      <c r="D84" s="668"/>
      <c r="E84" s="351"/>
      <c r="F84" s="351"/>
      <c r="G84" s="351"/>
      <c r="H84" s="351"/>
      <c r="I84" s="362"/>
      <c r="J84" s="351"/>
      <c r="K84" s="351"/>
      <c r="L84" s="351"/>
      <c r="M84" s="360"/>
      <c r="N84" s="358"/>
    </row>
    <row r="85" spans="1:14" ht="15" customHeight="1">
      <c r="A85" s="670"/>
      <c r="B85" s="338" t="str">
        <f>Idiomas!D145</f>
        <v>2º GRUPO B</v>
      </c>
      <c r="C85" s="330" t="str">
        <f ca="1">IF(OR(SUM(WORLDCUP!$AN$14:$AN$17)=12,WORLDCUP!$AJ$99=144),WORLDCUP!AL15,B85)</f>
        <v>Canadá</v>
      </c>
      <c r="D85" s="668"/>
      <c r="E85" s="351"/>
      <c r="F85" s="351"/>
      <c r="G85" s="351"/>
      <c r="H85" s="351"/>
      <c r="I85" s="362"/>
      <c r="J85" s="351"/>
      <c r="K85" s="351"/>
      <c r="L85" s="351"/>
      <c r="M85" s="360"/>
      <c r="N85" s="358"/>
    </row>
    <row r="86" spans="1:14" ht="15" customHeight="1">
      <c r="A86" s="670"/>
      <c r="B86" s="338" t="str">
        <f>Idiomas!D146</f>
        <v>3º GRUPO B</v>
      </c>
      <c r="C86" s="330" t="str">
        <f ca="1">IF(OR(SUM(WORLDCUP!$AN$14:$AN$17)=12,WORLDCUP!$AJ$99=144),WORLDCUP!AL16,B86)</f>
        <v>Bosnia y Herzegovina</v>
      </c>
      <c r="D86" s="668"/>
      <c r="E86" s="351"/>
      <c r="F86" s="351"/>
      <c r="G86" s="351"/>
      <c r="H86" s="351"/>
      <c r="I86" s="362"/>
      <c r="J86" s="351"/>
      <c r="K86" s="351"/>
      <c r="L86" s="351"/>
      <c r="M86" s="360"/>
      <c r="N86" s="358"/>
    </row>
    <row r="87" spans="1:14" ht="15" customHeight="1">
      <c r="A87" s="670"/>
      <c r="B87" s="338" t="str">
        <f>Idiomas!D147</f>
        <v>4º GRUPO B</v>
      </c>
      <c r="C87" s="330" t="str">
        <f ca="1">IF(OR(SUM(WORLDCUP!$AN$14:$AN$17)=12,WORLDCUP!$AJ$99=144),WORLDCUP!AL17,B87)</f>
        <v>Catar</v>
      </c>
      <c r="D87" s="668"/>
      <c r="E87" s="351"/>
      <c r="F87" s="351"/>
      <c r="G87" s="351"/>
      <c r="H87" s="351"/>
      <c r="I87" s="362"/>
      <c r="J87" s="351"/>
      <c r="K87" s="351"/>
      <c r="L87" s="351"/>
      <c r="M87" s="360"/>
      <c r="N87" s="358"/>
    </row>
    <row r="88" spans="1:14" ht="15" customHeight="1">
      <c r="A88" s="671" t="s">
        <v>2</v>
      </c>
      <c r="B88" s="340" t="str">
        <f>Idiomas!D148</f>
        <v>1º GRUPO C</v>
      </c>
      <c r="C88" s="330" t="str">
        <f ca="1">IF(OR(SUM(WORLDCUP!$AN$22:$AN$25)=12,WORLDCUP!$AJ$99=144),WORLDCUP!AL22,B88)</f>
        <v>Marruecos</v>
      </c>
      <c r="D88" s="668"/>
      <c r="E88" s="351"/>
      <c r="F88" s="351"/>
      <c r="G88" s="351"/>
      <c r="H88" s="351"/>
      <c r="I88" s="362"/>
      <c r="J88" s="351"/>
      <c r="K88" s="351"/>
      <c r="L88" s="351"/>
      <c r="M88" s="360"/>
      <c r="N88" s="358"/>
    </row>
    <row r="89" spans="1:14" ht="15" customHeight="1">
      <c r="A89" s="671"/>
      <c r="B89" s="340" t="str">
        <f>Idiomas!D149</f>
        <v>2º GRUPO C</v>
      </c>
      <c r="C89" s="330" t="str">
        <f ca="1">IF(OR(SUM(WORLDCUP!$AN$22:$AN$25)=12,WORLDCUP!$AJ$99=144),WORLDCUP!AL23,B89)</f>
        <v>Escocia</v>
      </c>
      <c r="D89" s="668"/>
      <c r="E89" s="351"/>
      <c r="F89" s="351"/>
      <c r="G89" s="351"/>
      <c r="H89" s="351"/>
      <c r="I89" s="362"/>
      <c r="J89" s="351"/>
      <c r="K89" s="351"/>
      <c r="L89" s="351"/>
      <c r="M89" s="360"/>
      <c r="N89" s="358"/>
    </row>
    <row r="90" spans="1:14" ht="15" customHeight="1">
      <c r="A90" s="671"/>
      <c r="B90" s="340" t="str">
        <f>Idiomas!D150</f>
        <v>3º GRUPO C</v>
      </c>
      <c r="C90" s="330" t="str">
        <f ca="1">IF(OR(SUM(WORLDCUP!$AN$22:$AN$25)=12,WORLDCUP!$AJ$99=144),WORLDCUP!AL24,B90)</f>
        <v>Brasil</v>
      </c>
      <c r="D90" s="668"/>
      <c r="E90" s="351"/>
      <c r="F90" s="351"/>
      <c r="G90" s="351"/>
      <c r="H90" s="351"/>
      <c r="I90" s="362"/>
      <c r="J90" s="351"/>
      <c r="K90" s="351"/>
      <c r="L90" s="351"/>
      <c r="M90" s="360"/>
      <c r="N90" s="358"/>
    </row>
    <row r="91" spans="1:14" ht="15" customHeight="1">
      <c r="A91" s="671"/>
      <c r="B91" s="340" t="str">
        <f>Idiomas!D151</f>
        <v>4º GRUPO C</v>
      </c>
      <c r="C91" s="330" t="str">
        <f ca="1">IF(OR(SUM(WORLDCUP!$AN$22:$AN$25)=12,WORLDCUP!$AJ$99=144),WORLDCUP!AL25,B91)</f>
        <v>Haití</v>
      </c>
      <c r="D91" s="668"/>
      <c r="E91" s="351"/>
      <c r="F91" s="351"/>
      <c r="G91" s="351"/>
      <c r="H91" s="351"/>
      <c r="I91" s="362"/>
      <c r="J91" s="351"/>
      <c r="K91" s="351"/>
      <c r="L91" s="351"/>
      <c r="M91" s="360"/>
      <c r="N91" s="358"/>
    </row>
    <row r="92" spans="1:14" ht="15" customHeight="1">
      <c r="A92" s="670" t="s">
        <v>74</v>
      </c>
      <c r="B92" s="338" t="str">
        <f>Idiomas!D152</f>
        <v>1º GRUPO D</v>
      </c>
      <c r="C92" s="330" t="str">
        <f ca="1">IF(OR(SUM(WORLDCUP!$AN$30:$AN$33)=12,WORLDCUP!$AJ$99=144),WORLDCUP!AL30,B92)</f>
        <v>Turquía</v>
      </c>
      <c r="D92" s="668"/>
      <c r="E92" s="351"/>
      <c r="F92" s="351"/>
      <c r="G92" s="351"/>
      <c r="H92" s="351"/>
      <c r="I92" s="362"/>
      <c r="J92" s="351"/>
      <c r="K92" s="351"/>
      <c r="L92" s="351"/>
      <c r="M92" s="360"/>
      <c r="N92" s="358"/>
    </row>
    <row r="93" spans="1:14" ht="15" customHeight="1">
      <c r="A93" s="670"/>
      <c r="B93" s="338" t="str">
        <f>Idiomas!D153</f>
        <v>2º GRUPO D</v>
      </c>
      <c r="C93" s="330" t="str">
        <f ca="1">IF(OR(SUM(WORLDCUP!$AN$30:$AN$33)=12,WORLDCUP!$AJ$99=144),WORLDCUP!AL31,B93)</f>
        <v>Estados Unidos</v>
      </c>
      <c r="D93" s="668"/>
      <c r="E93" s="351"/>
      <c r="F93" s="351"/>
      <c r="G93" s="351"/>
      <c r="H93" s="351"/>
      <c r="I93" s="362"/>
      <c r="J93" s="351"/>
      <c r="K93" s="351"/>
      <c r="L93" s="351"/>
      <c r="M93" s="360"/>
      <c r="N93" s="358"/>
    </row>
    <row r="94" spans="1:14" ht="15" customHeight="1">
      <c r="A94" s="670"/>
      <c r="B94" s="338" t="str">
        <f>Idiomas!D154</f>
        <v>3º GRUPO D</v>
      </c>
      <c r="C94" s="330" t="str">
        <f ca="1">IF(OR(SUM(WORLDCUP!$AN$30:$AN$33)=12,WORLDCUP!$AJ$99=144),WORLDCUP!AL32,B94)</f>
        <v>Paraguay</v>
      </c>
      <c r="D94" s="668"/>
      <c r="E94" s="351"/>
      <c r="F94" s="351"/>
      <c r="G94" s="351"/>
      <c r="H94" s="351"/>
      <c r="I94" s="362"/>
      <c r="J94" s="351"/>
      <c r="K94" s="351"/>
      <c r="L94" s="351"/>
      <c r="M94" s="360"/>
      <c r="N94" s="358"/>
    </row>
    <row r="95" spans="1:14" ht="15" customHeight="1">
      <c r="A95" s="670"/>
      <c r="B95" s="338" t="str">
        <f>Idiomas!D155</f>
        <v>4º GRUPO D</v>
      </c>
      <c r="C95" s="330" t="str">
        <f ca="1">IF(OR(SUM(WORLDCUP!$AN$30:$AN$33)=12,WORLDCUP!$AJ$99=144),WORLDCUP!AL33,B95)</f>
        <v>Australia</v>
      </c>
      <c r="D95" s="668"/>
      <c r="E95" s="351"/>
      <c r="F95" s="351"/>
      <c r="G95" s="351"/>
      <c r="H95" s="351"/>
      <c r="I95" s="362"/>
      <c r="J95" s="351"/>
      <c r="K95" s="351"/>
      <c r="L95" s="351"/>
      <c r="M95" s="360"/>
      <c r="N95" s="358"/>
    </row>
    <row r="96" spans="1:14" ht="15" customHeight="1">
      <c r="A96" s="671" t="s">
        <v>3</v>
      </c>
      <c r="B96" s="340" t="str">
        <f>Idiomas!D156</f>
        <v>1º GRUPO E</v>
      </c>
      <c r="C96" s="330" t="str">
        <f ca="1">IF(OR(SUM(WORLDCUP!$AN$38:$AN$41)=12,WORLDCUP!$AJ$99=144),WORLDCUP!AL38,B96)</f>
        <v>Alemania</v>
      </c>
      <c r="D96" s="668"/>
      <c r="E96" s="351"/>
      <c r="F96" s="351"/>
      <c r="G96" s="351"/>
      <c r="H96" s="351"/>
      <c r="I96" s="362"/>
      <c r="J96" s="351"/>
      <c r="K96" s="351"/>
      <c r="L96" s="351"/>
      <c r="M96" s="360"/>
      <c r="N96" s="358"/>
    </row>
    <row r="97" spans="1:14" ht="15" customHeight="1">
      <c r="A97" s="671"/>
      <c r="B97" s="340" t="str">
        <f>Idiomas!D157</f>
        <v>2º GRUPO E</v>
      </c>
      <c r="C97" s="330" t="str">
        <f ca="1">IF(OR(SUM(WORLDCUP!$AN$38:$AN$41)=12,WORLDCUP!$AJ$99=144),WORLDCUP!AL39,B97)</f>
        <v>Costa de Marfil</v>
      </c>
      <c r="D97" s="668"/>
      <c r="E97" s="351"/>
      <c r="F97" s="351"/>
      <c r="G97" s="351"/>
      <c r="H97" s="351"/>
      <c r="I97" s="362"/>
      <c r="J97" s="351"/>
      <c r="K97" s="351"/>
      <c r="L97" s="351"/>
      <c r="M97" s="360"/>
      <c r="N97" s="358"/>
    </row>
    <row r="98" spans="1:14" ht="15" customHeight="1">
      <c r="A98" s="671"/>
      <c r="B98" s="340" t="str">
        <f>Idiomas!D158</f>
        <v>3º GRUPO E</v>
      </c>
      <c r="C98" s="330" t="str">
        <f ca="1">IF(OR(SUM(WORLDCUP!$AN$38:$AN$41)=12,WORLDCUP!$AJ$99=144),WORLDCUP!AL40,B98)</f>
        <v>Ecuador</v>
      </c>
      <c r="D98" s="668"/>
      <c r="E98" s="351"/>
      <c r="F98" s="351"/>
      <c r="G98" s="351"/>
      <c r="H98" s="351"/>
      <c r="I98" s="362"/>
      <c r="J98" s="351"/>
      <c r="K98" s="351"/>
      <c r="L98" s="351"/>
      <c r="M98" s="360"/>
      <c r="N98" s="358"/>
    </row>
    <row r="99" spans="1:14" ht="15" customHeight="1">
      <c r="A99" s="671"/>
      <c r="B99" s="340" t="str">
        <f>Idiomas!D159</f>
        <v>4º GRUPO E</v>
      </c>
      <c r="C99" s="330" t="str">
        <f ca="1">IF(OR(SUM(WORLDCUP!$AN$38:$AN$41)=12,WORLDCUP!$AJ$99=144),WORLDCUP!AL41,B99)</f>
        <v>Curazao</v>
      </c>
      <c r="D99" s="668"/>
      <c r="E99" s="351"/>
      <c r="F99" s="351"/>
      <c r="G99" s="351"/>
      <c r="H99" s="351"/>
      <c r="I99" s="362"/>
      <c r="J99" s="351"/>
      <c r="K99" s="351"/>
      <c r="L99" s="351"/>
      <c r="M99" s="360"/>
      <c r="N99" s="358"/>
    </row>
    <row r="100" spans="1:14" ht="15" customHeight="1">
      <c r="A100" s="670" t="s">
        <v>4</v>
      </c>
      <c r="B100" s="338" t="str">
        <f>Idiomas!D160</f>
        <v>1º GRUPO F</v>
      </c>
      <c r="C100" s="330" t="str">
        <f ca="1">IF(OR(SUM(WORLDCUP!$AN$46:$AN$49)=12,WORLDCUP!$AJ$99=144),WORLDCUP!AL46,B100)</f>
        <v>Japón</v>
      </c>
      <c r="D100" s="668"/>
      <c r="E100" s="351"/>
      <c r="F100" s="351"/>
      <c r="G100" s="351"/>
      <c r="H100" s="351"/>
      <c r="I100" s="362"/>
      <c r="J100" s="351"/>
      <c r="K100" s="351"/>
      <c r="L100" s="351"/>
      <c r="M100" s="360"/>
      <c r="N100" s="358"/>
    </row>
    <row r="101" spans="1:14" ht="15" customHeight="1">
      <c r="A101" s="670"/>
      <c r="B101" s="338" t="str">
        <f>Idiomas!D161</f>
        <v>2º GRUPO F</v>
      </c>
      <c r="C101" s="330" t="str">
        <f ca="1">IF(OR(SUM(WORLDCUP!$AN$46:$AN$49)=12,WORLDCUP!$AJ$99=144),WORLDCUP!AL47,B101)</f>
        <v>Países Bajos</v>
      </c>
      <c r="D101" s="668"/>
      <c r="E101" s="351"/>
      <c r="F101" s="351"/>
      <c r="G101" s="351"/>
      <c r="H101" s="351"/>
      <c r="I101" s="362"/>
      <c r="J101" s="351"/>
      <c r="K101" s="351"/>
      <c r="L101" s="351"/>
      <c r="M101" s="360"/>
      <c r="N101" s="358"/>
    </row>
    <row r="102" spans="1:14" ht="15" customHeight="1">
      <c r="A102" s="670"/>
      <c r="B102" s="338" t="str">
        <f>Idiomas!D162</f>
        <v>3º GRUPO F</v>
      </c>
      <c r="C102" s="330" t="str">
        <f ca="1">IF(OR(SUM(WORLDCUP!$AN$46:$AN$49)=12,WORLDCUP!$AJ$99=144),WORLDCUP!AL48,B102)</f>
        <v>Suecia</v>
      </c>
      <c r="D102" s="668"/>
      <c r="E102" s="351"/>
      <c r="F102" s="351"/>
      <c r="G102" s="351"/>
      <c r="H102" s="351"/>
      <c r="I102" s="362"/>
      <c r="J102" s="351"/>
      <c r="K102" s="351"/>
      <c r="L102" s="351"/>
      <c r="M102" s="360"/>
      <c r="N102" s="358"/>
    </row>
    <row r="103" spans="1:14" ht="15" customHeight="1">
      <c r="A103" s="670"/>
      <c r="B103" s="338" t="str">
        <f>Idiomas!D163</f>
        <v>4º GRUPO F</v>
      </c>
      <c r="C103" s="330" t="str">
        <f ca="1">IF(OR(SUM(WORLDCUP!$AN$46:$AN$49)=12,WORLDCUP!$AJ$99=144),WORLDCUP!AL49,B103)</f>
        <v>Túnez</v>
      </c>
      <c r="D103" s="668"/>
      <c r="E103" s="351"/>
      <c r="F103" s="351"/>
      <c r="G103" s="351"/>
      <c r="H103" s="351"/>
      <c r="I103" s="362"/>
      <c r="J103" s="351"/>
      <c r="K103" s="351"/>
      <c r="L103" s="351"/>
      <c r="M103" s="360"/>
      <c r="N103" s="358"/>
    </row>
    <row r="104" spans="1:14" ht="15" customHeight="1">
      <c r="A104" s="671" t="s">
        <v>6</v>
      </c>
      <c r="B104" s="340" t="str">
        <f>Idiomas!D164</f>
        <v>1º GRUPO G</v>
      </c>
      <c r="C104" s="330" t="str">
        <f ca="1">IF(OR(SUM(WORLDCUP!$AN$54:$AN$57)=12,WORLDCUP!$AJ$99=144),WORLDCUP!AL54,B104)</f>
        <v>Bélgica</v>
      </c>
      <c r="D104" s="668"/>
      <c r="E104" s="351"/>
      <c r="F104" s="351"/>
      <c r="G104" s="351"/>
      <c r="H104" s="351"/>
      <c r="I104" s="362"/>
      <c r="J104" s="351"/>
      <c r="K104" s="351"/>
      <c r="L104" s="351"/>
      <c r="M104" s="360"/>
      <c r="N104" s="358"/>
    </row>
    <row r="105" spans="1:14" ht="15" customHeight="1">
      <c r="A105" s="671"/>
      <c r="B105" s="340" t="str">
        <f>Idiomas!D165</f>
        <v>2º GRUPO G</v>
      </c>
      <c r="C105" s="330" t="str">
        <f ca="1">IF(OR(SUM(WORLDCUP!$AN$54:$AN$57)=12,WORLDCUP!$AJ$99=144),WORLDCUP!AL55,B105)</f>
        <v>Irán</v>
      </c>
      <c r="D105" s="668"/>
      <c r="E105" s="351"/>
      <c r="F105" s="351"/>
      <c r="G105" s="351"/>
      <c r="H105" s="351"/>
      <c r="I105" s="362"/>
      <c r="J105" s="351"/>
      <c r="K105" s="351"/>
      <c r="L105" s="351"/>
      <c r="M105" s="360"/>
      <c r="N105" s="358"/>
    </row>
    <row r="106" spans="1:14" ht="15" customHeight="1">
      <c r="A106" s="671"/>
      <c r="B106" s="340" t="str">
        <f>Idiomas!D166</f>
        <v>3º GRUPO G</v>
      </c>
      <c r="C106" s="330" t="str">
        <f ca="1">IF(OR(SUM(WORLDCUP!$AN$54:$AN$57)=12,WORLDCUP!$AJ$99=144),WORLDCUP!AL56,B106)</f>
        <v>Nueva Zelanda</v>
      </c>
      <c r="D106" s="668"/>
      <c r="E106" s="351"/>
      <c r="F106" s="351"/>
      <c r="G106" s="351"/>
      <c r="H106" s="351"/>
      <c r="I106" s="362"/>
      <c r="J106" s="351"/>
      <c r="K106" s="351"/>
      <c r="L106" s="351"/>
      <c r="M106" s="360"/>
      <c r="N106" s="358"/>
    </row>
    <row r="107" spans="1:14" ht="15" customHeight="1">
      <c r="A107" s="671"/>
      <c r="B107" s="340" t="str">
        <f>Idiomas!D167</f>
        <v>4º GRUPO G</v>
      </c>
      <c r="C107" s="330" t="str">
        <f ca="1">IF(OR(SUM(WORLDCUP!$AN$54:$AN$57)=12,WORLDCUP!$AJ$99=144),WORLDCUP!AL57,B107)</f>
        <v>Egipto</v>
      </c>
      <c r="D107" s="668"/>
      <c r="E107" s="351"/>
      <c r="F107" s="351"/>
      <c r="G107" s="351"/>
      <c r="H107" s="351"/>
      <c r="I107" s="362"/>
      <c r="J107" s="351"/>
      <c r="K107" s="351"/>
      <c r="L107" s="351"/>
      <c r="M107" s="360"/>
      <c r="N107" s="358"/>
    </row>
    <row r="108" spans="1:14" ht="15" customHeight="1">
      <c r="A108" s="670" t="s">
        <v>447</v>
      </c>
      <c r="B108" s="338" t="str">
        <f>Idiomas!D168</f>
        <v>1º GRUPO H</v>
      </c>
      <c r="C108" s="330" t="str">
        <f ca="1">IF(OR(SUM(WORLDCUP!$AN$62:$AN$65)=12,WORLDCUP!$AJ$99=144),WORLDCUP!AL62,B108)</f>
        <v>España</v>
      </c>
      <c r="D108" s="668"/>
      <c r="E108" s="351"/>
      <c r="F108" s="351"/>
      <c r="G108" s="351"/>
      <c r="H108" s="351"/>
      <c r="I108" s="362"/>
      <c r="J108" s="351"/>
      <c r="K108" s="351"/>
      <c r="L108" s="351"/>
      <c r="M108" s="360"/>
      <c r="N108" s="358"/>
    </row>
    <row r="109" spans="1:14" ht="15" customHeight="1">
      <c r="A109" s="670"/>
      <c r="B109" s="338" t="str">
        <f>Idiomas!D169</f>
        <v>2º GRUPO H</v>
      </c>
      <c r="C109" s="330" t="str">
        <f ca="1">IF(OR(SUM(WORLDCUP!$AN$62:$AN$65)=12,WORLDCUP!$AJ$99=144),WORLDCUP!AL63,B109)</f>
        <v>Uruguay</v>
      </c>
      <c r="D109" s="668"/>
      <c r="E109" s="351"/>
      <c r="F109" s="351"/>
      <c r="G109" s="351"/>
      <c r="H109" s="351"/>
      <c r="I109" s="362"/>
      <c r="J109" s="351"/>
      <c r="K109" s="351"/>
      <c r="L109" s="351"/>
      <c r="M109" s="360"/>
      <c r="N109" s="358"/>
    </row>
    <row r="110" spans="1:14" ht="15" customHeight="1">
      <c r="A110" s="670"/>
      <c r="B110" s="338" t="str">
        <f>Idiomas!D170</f>
        <v>3º GRUPO H</v>
      </c>
      <c r="C110" s="330" t="str">
        <f ca="1">IF(OR(SUM(WORLDCUP!$AN$62:$AN$65)=12,WORLDCUP!$AJ$99=144),WORLDCUP!AL64,B110)</f>
        <v>Arabia Saudita</v>
      </c>
      <c r="D110" s="668"/>
      <c r="E110" s="351"/>
      <c r="F110" s="351"/>
      <c r="G110" s="351"/>
      <c r="H110" s="351"/>
      <c r="I110" s="362"/>
      <c r="J110" s="351"/>
      <c r="K110" s="351"/>
      <c r="L110" s="351"/>
      <c r="M110" s="360"/>
      <c r="N110" s="358"/>
    </row>
    <row r="111" spans="1:14" ht="15" customHeight="1">
      <c r="A111" s="670"/>
      <c r="B111" s="338" t="str">
        <f>Idiomas!D171</f>
        <v>4º GRUPO H</v>
      </c>
      <c r="C111" s="330" t="str">
        <f ca="1">IF(OR(SUM(WORLDCUP!$AN$62:$AN$65)=12,WORLDCUP!$AJ$99=144),WORLDCUP!AL65,B111)</f>
        <v>Cabo Verde</v>
      </c>
      <c r="D111" s="668"/>
      <c r="E111" s="351"/>
      <c r="F111" s="351"/>
      <c r="G111" s="351"/>
      <c r="H111" s="351"/>
      <c r="I111" s="362"/>
      <c r="J111" s="351"/>
      <c r="K111" s="351"/>
      <c r="L111" s="351"/>
      <c r="M111" s="360"/>
      <c r="N111" s="358"/>
    </row>
    <row r="112" spans="1:14" ht="15" customHeight="1">
      <c r="A112" s="671" t="s">
        <v>448</v>
      </c>
      <c r="B112" s="340" t="str">
        <f>Idiomas!D172</f>
        <v>1º GRUPO I</v>
      </c>
      <c r="C112" s="330" t="str">
        <f ca="1">IF(OR(SUM(WORLDCUP!$AN$70:$AN$73)=12,WORLDCUP!$AJ$99=144),WORLDCUP!AL70,B112)</f>
        <v>Francia</v>
      </c>
      <c r="D112" s="668"/>
      <c r="E112" s="351"/>
      <c r="F112" s="351"/>
      <c r="G112" s="351"/>
      <c r="H112" s="351"/>
      <c r="I112" s="362"/>
      <c r="J112" s="351"/>
      <c r="K112" s="351"/>
      <c r="L112" s="351"/>
      <c r="M112" s="360"/>
      <c r="N112" s="358"/>
    </row>
    <row r="113" spans="1:14" ht="15" customHeight="1">
      <c r="A113" s="671"/>
      <c r="B113" s="340" t="str">
        <f>Idiomas!D173</f>
        <v>2º GRUPO I</v>
      </c>
      <c r="C113" s="330" t="str">
        <f ca="1">IF(OR(SUM(WORLDCUP!$AN$70:$AN$73)=12,WORLDCUP!$AJ$99=144),WORLDCUP!AL71,B113)</f>
        <v>Senegal</v>
      </c>
      <c r="D113" s="668"/>
      <c r="E113" s="351"/>
      <c r="F113" s="351"/>
      <c r="G113" s="351"/>
      <c r="H113" s="351"/>
      <c r="I113" s="362"/>
      <c r="J113" s="351"/>
      <c r="K113" s="351"/>
      <c r="L113" s="351"/>
      <c r="M113" s="360"/>
      <c r="N113" s="358"/>
    </row>
    <row r="114" spans="1:14" ht="15" customHeight="1">
      <c r="A114" s="671"/>
      <c r="B114" s="340" t="str">
        <f>Idiomas!D174</f>
        <v>3º GRUPO I</v>
      </c>
      <c r="C114" s="330" t="str">
        <f ca="1">IF(OR(SUM(WORLDCUP!$AN$70:$AN$73)=12,WORLDCUP!$AJ$99=144),WORLDCUP!AL72,B114)</f>
        <v>Noruega</v>
      </c>
      <c r="D114" s="668"/>
      <c r="E114" s="351"/>
      <c r="F114" s="351"/>
      <c r="G114" s="351"/>
      <c r="H114" s="351"/>
      <c r="I114" s="362"/>
      <c r="J114" s="351"/>
      <c r="K114" s="351"/>
      <c r="L114" s="351"/>
      <c r="M114" s="360"/>
      <c r="N114" s="358"/>
    </row>
    <row r="115" spans="1:14" ht="15" customHeight="1">
      <c r="A115" s="671"/>
      <c r="B115" s="340" t="str">
        <f>Idiomas!D175</f>
        <v>4º GRUPO I</v>
      </c>
      <c r="C115" s="330" t="str">
        <f ca="1">IF(OR(SUM(WORLDCUP!$AN$70:$AN$73)=12,WORLDCUP!$AJ$99=144),WORLDCUP!AL73,B115)</f>
        <v>Irak</v>
      </c>
      <c r="D115" s="668"/>
      <c r="E115" s="351"/>
      <c r="F115" s="351"/>
      <c r="G115" s="351"/>
      <c r="H115" s="351"/>
      <c r="I115" s="362"/>
      <c r="J115" s="351"/>
      <c r="K115" s="351"/>
      <c r="L115" s="351"/>
      <c r="M115" s="360"/>
      <c r="N115" s="358"/>
    </row>
    <row r="116" spans="1:14" ht="15" customHeight="1">
      <c r="A116" s="670" t="s">
        <v>5</v>
      </c>
      <c r="B116" s="338" t="str">
        <f>Idiomas!D176</f>
        <v>1º GRUPO J</v>
      </c>
      <c r="C116" s="330" t="str">
        <f ca="1">IF(OR(SUM(WORLDCUP!$AN$78:$AN$81)=12,WORLDCUP!$AJ$99=144),WORLDCUP!AL78,B116)</f>
        <v>Argentina</v>
      </c>
      <c r="D116" s="668"/>
      <c r="E116" s="351"/>
      <c r="F116" s="351"/>
      <c r="G116" s="351"/>
      <c r="H116" s="351"/>
      <c r="I116" s="362"/>
      <c r="J116" s="351"/>
      <c r="K116" s="351"/>
      <c r="L116" s="351"/>
      <c r="M116" s="360"/>
      <c r="N116" s="358"/>
    </row>
    <row r="117" spans="1:14" ht="15" customHeight="1">
      <c r="A117" s="670"/>
      <c r="B117" s="338" t="str">
        <f>Idiomas!D177</f>
        <v>2º GRUPO J</v>
      </c>
      <c r="C117" s="330" t="str">
        <f ca="1">IF(OR(SUM(WORLDCUP!$AN$78:$AN$81)=12,WORLDCUP!$AJ$99=144),WORLDCUP!AL79,B117)</f>
        <v>Austria</v>
      </c>
      <c r="D117" s="668"/>
      <c r="E117" s="351"/>
      <c r="F117" s="351"/>
      <c r="G117" s="351"/>
      <c r="H117" s="351"/>
      <c r="I117" s="362"/>
      <c r="J117" s="351"/>
      <c r="K117" s="351"/>
      <c r="L117" s="351"/>
      <c r="M117" s="360"/>
      <c r="N117" s="358"/>
    </row>
    <row r="118" spans="1:14" ht="15" customHeight="1">
      <c r="A118" s="670"/>
      <c r="B118" s="338" t="str">
        <f>Idiomas!D178</f>
        <v>3º GRUPO J</v>
      </c>
      <c r="C118" s="330" t="str">
        <f ca="1">IF(OR(SUM(WORLDCUP!$AN$78:$AN$81)=12,WORLDCUP!$AJ$99=144),WORLDCUP!AL80,B118)</f>
        <v>Argelia</v>
      </c>
      <c r="D118" s="668"/>
      <c r="E118" s="351"/>
      <c r="F118" s="351"/>
      <c r="G118" s="351"/>
      <c r="H118" s="351"/>
      <c r="I118" s="362"/>
      <c r="J118" s="351"/>
      <c r="K118" s="351"/>
      <c r="L118" s="351"/>
      <c r="M118" s="360"/>
      <c r="N118" s="358"/>
    </row>
    <row r="119" spans="1:14" ht="15" customHeight="1">
      <c r="A119" s="670"/>
      <c r="B119" s="338" t="str">
        <f>Idiomas!D179</f>
        <v>4º GRUPO J</v>
      </c>
      <c r="C119" s="330" t="str">
        <f ca="1">IF(OR(SUM(WORLDCUP!$AN$78:$AN$81)=12,WORLDCUP!$AJ$99=144),WORLDCUP!AL81,B119)</f>
        <v>Jordania</v>
      </c>
      <c r="D119" s="668"/>
      <c r="E119" s="351"/>
      <c r="F119" s="351"/>
      <c r="G119" s="351"/>
      <c r="H119" s="351"/>
      <c r="I119" s="362"/>
      <c r="J119" s="351"/>
      <c r="K119" s="351"/>
      <c r="L119" s="351"/>
      <c r="M119" s="360"/>
      <c r="N119" s="358"/>
    </row>
    <row r="120" spans="1:14" ht="15" customHeight="1">
      <c r="A120" s="671" t="s">
        <v>449</v>
      </c>
      <c r="B120" s="340" t="str">
        <f>Idiomas!D180</f>
        <v>1º GRUPO K</v>
      </c>
      <c r="C120" s="330" t="str">
        <f ca="1">IF(OR(SUM(WORLDCUP!$AN$86:$AN$89)=12,WORLDCUP!$AJ$99=144),WORLDCUP!AL86,B120)</f>
        <v>Portugal</v>
      </c>
      <c r="D120" s="668"/>
      <c r="E120" s="351"/>
      <c r="F120" s="351"/>
      <c r="G120" s="351"/>
      <c r="H120" s="351"/>
      <c r="I120" s="362"/>
      <c r="J120" s="351"/>
      <c r="K120" s="351"/>
      <c r="L120" s="351"/>
      <c r="M120" s="360"/>
      <c r="N120" s="358"/>
    </row>
    <row r="121" spans="1:14" ht="15" customHeight="1">
      <c r="A121" s="671"/>
      <c r="B121" s="340" t="str">
        <f>Idiomas!D181</f>
        <v>2º GRUPO K</v>
      </c>
      <c r="C121" s="330" t="str">
        <f ca="1">IF(OR(SUM(WORLDCUP!$AN$86:$AN$89)=12,WORLDCUP!$AJ$99=144),WORLDCUP!AL87,B121)</f>
        <v>Colombia</v>
      </c>
      <c r="D121" s="668"/>
      <c r="E121" s="351"/>
      <c r="F121" s="351"/>
      <c r="G121" s="351"/>
      <c r="H121" s="351"/>
      <c r="I121" s="362"/>
      <c r="J121" s="351"/>
      <c r="K121" s="351"/>
      <c r="L121" s="351"/>
      <c r="M121" s="360"/>
      <c r="N121" s="358"/>
    </row>
    <row r="122" spans="1:14" ht="15" customHeight="1">
      <c r="A122" s="671"/>
      <c r="B122" s="340" t="str">
        <f>Idiomas!D182</f>
        <v>3º GRUPO K</v>
      </c>
      <c r="C122" s="330" t="str">
        <f ca="1">IF(OR(SUM(WORLDCUP!$AN$86:$AN$89)=12,WORLDCUP!$AJ$99=144),WORLDCUP!AL88,B122)</f>
        <v>RD Congo</v>
      </c>
      <c r="D122" s="668"/>
      <c r="E122" s="351"/>
      <c r="F122" s="351"/>
      <c r="G122" s="351"/>
      <c r="H122" s="351"/>
      <c r="I122" s="362"/>
      <c r="J122" s="351"/>
      <c r="K122" s="351"/>
      <c r="L122" s="351"/>
      <c r="M122" s="360"/>
      <c r="N122" s="358"/>
    </row>
    <row r="123" spans="1:14" ht="15" customHeight="1">
      <c r="A123" s="671"/>
      <c r="B123" s="340" t="str">
        <f>Idiomas!D183</f>
        <v>4º GRUPO K</v>
      </c>
      <c r="C123" s="330" t="str">
        <f ca="1">IF(OR(SUM(WORLDCUP!$AN$86:$AN$89)=12,WORLDCUP!$AJ$99=144),WORLDCUP!AL89,B123)</f>
        <v>Uzbekistán</v>
      </c>
      <c r="D123" s="668"/>
      <c r="E123" s="351"/>
      <c r="F123" s="351"/>
      <c r="G123" s="351"/>
      <c r="H123" s="351"/>
      <c r="I123" s="362"/>
      <c r="J123" s="351"/>
      <c r="K123" s="351"/>
      <c r="L123" s="351"/>
      <c r="M123" s="360"/>
      <c r="N123" s="358"/>
    </row>
    <row r="124" spans="1:14" ht="15" customHeight="1">
      <c r="A124" s="670" t="s">
        <v>247</v>
      </c>
      <c r="B124" s="338" t="str">
        <f>Idiomas!D184</f>
        <v>1º GRUPO L</v>
      </c>
      <c r="C124" s="330" t="str">
        <f ca="1">IF(OR(SUM(WORLDCUP!$AN$94:$AN$97)=12,WORLDCUP!$AJ$99=144),WORLDCUP!AL94,B124)</f>
        <v>Inglaterra</v>
      </c>
      <c r="D124" s="668"/>
      <c r="E124" s="351"/>
      <c r="F124" s="351"/>
      <c r="G124" s="351"/>
      <c r="H124" s="351"/>
      <c r="I124" s="362"/>
      <c r="J124" s="351"/>
      <c r="K124" s="351"/>
      <c r="L124" s="351"/>
      <c r="M124" s="360"/>
      <c r="N124" s="358"/>
    </row>
    <row r="125" spans="1:14" ht="15" customHeight="1">
      <c r="A125" s="670"/>
      <c r="B125" s="338" t="str">
        <f>Idiomas!D185</f>
        <v>2º GRUPO L</v>
      </c>
      <c r="C125" s="330" t="str">
        <f ca="1">IF(OR(SUM(WORLDCUP!$AN$94:$AN$97)=12,WORLDCUP!$AJ$99=144),WORLDCUP!AL95,B125)</f>
        <v>Croacia</v>
      </c>
      <c r="D125" s="668"/>
      <c r="E125" s="351"/>
      <c r="F125" s="351"/>
      <c r="G125" s="351"/>
      <c r="H125" s="351"/>
      <c r="I125" s="362"/>
      <c r="J125" s="351"/>
      <c r="K125" s="351"/>
      <c r="L125" s="351"/>
      <c r="M125" s="360"/>
      <c r="N125" s="358"/>
    </row>
    <row r="126" spans="1:14" ht="15" customHeight="1">
      <c r="A126" s="670"/>
      <c r="B126" s="338" t="str">
        <f>Idiomas!D186</f>
        <v>3º GRUPO L</v>
      </c>
      <c r="C126" s="330" t="str">
        <f ca="1">IF(OR(SUM(WORLDCUP!$AN$94:$AN$97)=12,WORLDCUP!$AJ$99=144),WORLDCUP!AL96,B126)</f>
        <v>Ghana</v>
      </c>
      <c r="D126" s="668"/>
      <c r="E126" s="351"/>
      <c r="F126" s="351"/>
      <c r="G126" s="351"/>
      <c r="H126" s="351"/>
      <c r="I126" s="362"/>
      <c r="J126" s="351"/>
      <c r="K126" s="351"/>
      <c r="L126" s="351"/>
      <c r="M126" s="360"/>
      <c r="N126" s="358"/>
    </row>
    <row r="127" spans="1:14" ht="15" customHeight="1">
      <c r="A127" s="670"/>
      <c r="B127" s="338" t="str">
        <f>Idiomas!D187</f>
        <v>4º GRUPO L</v>
      </c>
      <c r="C127" s="330" t="str">
        <f ca="1">IF(OR(SUM(WORLDCUP!$AN$94:$AN$97)=12,WORLDCUP!$AJ$99=144),WORLDCUP!AL97,B127)</f>
        <v>Panamá</v>
      </c>
      <c r="D127" s="668"/>
      <c r="E127" s="351"/>
      <c r="F127" s="351"/>
      <c r="G127" s="351"/>
      <c r="H127" s="351"/>
      <c r="I127" s="362"/>
      <c r="J127" s="351"/>
      <c r="K127" s="351"/>
      <c r="L127" s="351"/>
      <c r="M127" s="360"/>
      <c r="N127" s="358"/>
    </row>
    <row r="128" spans="1:14" ht="15" customHeight="1">
      <c r="A128" s="334"/>
      <c r="B128" s="334"/>
      <c r="C128" s="331"/>
      <c r="D128" s="668"/>
      <c r="E128" s="351"/>
      <c r="F128" s="351"/>
      <c r="G128" s="351"/>
      <c r="H128" s="351"/>
      <c r="I128" s="362"/>
      <c r="J128" s="351"/>
      <c r="K128" s="351"/>
      <c r="L128" s="351"/>
      <c r="M128" s="360"/>
      <c r="N128" s="358"/>
    </row>
    <row r="129" spans="1:14" ht="19" customHeight="1">
      <c r="A129" s="334"/>
      <c r="B129" s="339" t="str">
        <f>Idiomas!D127</f>
        <v>CLASIFICADOS PARA DIECISEISAVOS</v>
      </c>
      <c r="C129" s="331"/>
      <c r="D129" s="668"/>
      <c r="E129" s="351"/>
      <c r="F129" s="351"/>
      <c r="G129" s="351"/>
      <c r="H129" s="351"/>
      <c r="I129" s="362"/>
      <c r="J129" s="351"/>
      <c r="K129" s="351"/>
      <c r="L129" s="351"/>
      <c r="M129" s="360"/>
      <c r="N129" s="358"/>
    </row>
    <row r="130" spans="1:14" ht="15" customHeight="1">
      <c r="A130" s="665" t="s">
        <v>493</v>
      </c>
      <c r="B130" s="341" t="str">
        <f>Idiomas!$D$188</f>
        <v>Dieciseisavofinalista</v>
      </c>
      <c r="C130" s="330" t="str">
        <f ca="1">WORLDCUP!AA101</f>
        <v>Corea del Sur</v>
      </c>
      <c r="D130" s="668"/>
      <c r="E130" s="351"/>
      <c r="F130" s="351"/>
      <c r="G130" s="351"/>
      <c r="H130" s="351"/>
      <c r="I130" s="362"/>
      <c r="J130" s="351"/>
      <c r="K130" s="351"/>
      <c r="L130" s="351"/>
      <c r="M130" s="360"/>
      <c r="N130" s="358"/>
    </row>
    <row r="131" spans="1:14" ht="15" customHeight="1">
      <c r="A131" s="665"/>
      <c r="B131" s="341" t="str">
        <f>B130</f>
        <v>Dieciseisavofinalista</v>
      </c>
      <c r="C131" s="330" t="str">
        <f ca="1">WORLDCUP!AA102</f>
        <v>Marruecos</v>
      </c>
      <c r="D131" s="668"/>
      <c r="E131" s="351"/>
      <c r="F131" s="351"/>
      <c r="G131" s="351"/>
      <c r="H131" s="351"/>
      <c r="I131" s="362"/>
      <c r="J131" s="351"/>
      <c r="K131" s="351"/>
      <c r="L131" s="351"/>
      <c r="M131" s="360"/>
      <c r="N131" s="358"/>
    </row>
    <row r="132" spans="1:14" ht="15" customHeight="1">
      <c r="A132" s="665"/>
      <c r="B132" s="341" t="str">
        <f t="shared" ref="B132:B145" si="0">B131</f>
        <v>Dieciseisavofinalista</v>
      </c>
      <c r="C132" s="330" t="str">
        <f ca="1">WORLDCUP!AA103</f>
        <v>Alemania</v>
      </c>
      <c r="D132" s="668"/>
      <c r="E132" s="351"/>
      <c r="F132" s="351"/>
      <c r="G132" s="351"/>
      <c r="H132" s="351"/>
      <c r="I132" s="362"/>
      <c r="J132" s="351"/>
      <c r="K132" s="351"/>
      <c r="L132" s="351"/>
      <c r="M132" s="360"/>
      <c r="N132" s="358"/>
    </row>
    <row r="133" spans="1:14" ht="15" customHeight="1">
      <c r="A133" s="665"/>
      <c r="B133" s="341" t="str">
        <f t="shared" si="0"/>
        <v>Dieciseisavofinalista</v>
      </c>
      <c r="C133" s="330" t="str">
        <f ca="1">WORLDCUP!AA104</f>
        <v>Japón</v>
      </c>
      <c r="D133" s="668"/>
      <c r="E133" s="351"/>
      <c r="F133" s="351"/>
      <c r="G133" s="351"/>
      <c r="H133" s="351"/>
      <c r="I133" s="362"/>
      <c r="J133" s="351"/>
      <c r="K133" s="351"/>
      <c r="L133" s="351"/>
      <c r="M133" s="360"/>
      <c r="N133" s="358"/>
    </row>
    <row r="134" spans="1:14" ht="15" customHeight="1">
      <c r="A134" s="665"/>
      <c r="B134" s="341" t="str">
        <f t="shared" si="0"/>
        <v>Dieciseisavofinalista</v>
      </c>
      <c r="C134" s="330" t="str">
        <f ca="1">WORLDCUP!AA105</f>
        <v>Costa de Marfil</v>
      </c>
      <c r="D134" s="668"/>
      <c r="E134" s="351"/>
      <c r="F134" s="351"/>
      <c r="G134" s="351"/>
      <c r="H134" s="351"/>
      <c r="I134" s="362"/>
      <c r="J134" s="351"/>
      <c r="K134" s="351"/>
      <c r="L134" s="351"/>
      <c r="M134" s="360"/>
      <c r="N134" s="358"/>
    </row>
    <row r="135" spans="1:14" ht="15" customHeight="1">
      <c r="A135" s="665"/>
      <c r="B135" s="341" t="str">
        <f t="shared" si="0"/>
        <v>Dieciseisavofinalista</v>
      </c>
      <c r="C135" s="330" t="str">
        <f ca="1">WORLDCUP!AA106</f>
        <v>Francia</v>
      </c>
      <c r="D135" s="668"/>
      <c r="E135" s="351"/>
      <c r="F135" s="351"/>
      <c r="G135" s="351"/>
      <c r="H135" s="351"/>
      <c r="I135" s="362"/>
      <c r="J135" s="351"/>
      <c r="K135" s="351"/>
      <c r="L135" s="351"/>
      <c r="M135" s="360"/>
      <c r="N135" s="358"/>
    </row>
    <row r="136" spans="1:14" ht="15" customHeight="1">
      <c r="A136" s="665"/>
      <c r="B136" s="341" t="str">
        <f t="shared" si="0"/>
        <v>Dieciseisavofinalista</v>
      </c>
      <c r="C136" s="330" t="str">
        <f ca="1">WORLDCUP!AA107</f>
        <v>México</v>
      </c>
      <c r="D136" s="668"/>
      <c r="E136" s="351"/>
      <c r="F136" s="351"/>
      <c r="G136" s="351"/>
      <c r="H136" s="351"/>
      <c r="I136" s="362"/>
      <c r="J136" s="351"/>
      <c r="K136" s="351"/>
      <c r="L136" s="351"/>
      <c r="M136" s="360"/>
      <c r="N136" s="358"/>
    </row>
    <row r="137" spans="1:14" ht="15" customHeight="1">
      <c r="A137" s="665"/>
      <c r="B137" s="341" t="str">
        <f t="shared" si="0"/>
        <v>Dieciseisavofinalista</v>
      </c>
      <c r="C137" s="330" t="str">
        <f ca="1">WORLDCUP!AA108</f>
        <v>Inglaterra</v>
      </c>
      <c r="D137" s="668"/>
      <c r="E137" s="351"/>
      <c r="F137" s="351"/>
      <c r="G137" s="351"/>
      <c r="H137" s="351"/>
      <c r="I137" s="362"/>
      <c r="J137" s="351"/>
      <c r="K137" s="351"/>
      <c r="L137" s="351"/>
      <c r="M137" s="360"/>
      <c r="N137" s="358"/>
    </row>
    <row r="138" spans="1:14" ht="15" customHeight="1">
      <c r="A138" s="665"/>
      <c r="B138" s="341" t="str">
        <f t="shared" si="0"/>
        <v>Dieciseisavofinalista</v>
      </c>
      <c r="C138" s="330" t="str">
        <f ca="1">WORLDCUP!AA109</f>
        <v>Bélgica</v>
      </c>
      <c r="D138" s="668"/>
      <c r="E138" s="351"/>
      <c r="F138" s="351"/>
      <c r="G138" s="351"/>
      <c r="H138" s="351"/>
      <c r="I138" s="362"/>
      <c r="J138" s="351"/>
      <c r="K138" s="351"/>
      <c r="L138" s="351"/>
      <c r="M138" s="360"/>
      <c r="N138" s="358"/>
    </row>
    <row r="139" spans="1:14" ht="15" customHeight="1">
      <c r="A139" s="665"/>
      <c r="B139" s="341" t="str">
        <f t="shared" si="0"/>
        <v>Dieciseisavofinalista</v>
      </c>
      <c r="C139" s="330" t="str">
        <f ca="1">WORLDCUP!AA110</f>
        <v>Turquía</v>
      </c>
      <c r="D139" s="668"/>
      <c r="E139" s="351"/>
      <c r="F139" s="351"/>
      <c r="G139" s="351"/>
      <c r="H139" s="351"/>
      <c r="I139" s="362"/>
      <c r="J139" s="351"/>
      <c r="K139" s="351"/>
      <c r="L139" s="351"/>
      <c r="M139" s="360"/>
      <c r="N139" s="358"/>
    </row>
    <row r="140" spans="1:14" ht="15" customHeight="1">
      <c r="A140" s="665"/>
      <c r="B140" s="341" t="str">
        <f t="shared" si="0"/>
        <v>Dieciseisavofinalista</v>
      </c>
      <c r="C140" s="330" t="str">
        <f ca="1">WORLDCUP!AA111</f>
        <v>España</v>
      </c>
      <c r="D140" s="668"/>
      <c r="E140" s="351"/>
      <c r="F140" s="351"/>
      <c r="G140" s="351"/>
      <c r="H140" s="351"/>
      <c r="I140" s="362"/>
      <c r="J140" s="351"/>
      <c r="K140" s="351"/>
      <c r="L140" s="351"/>
      <c r="M140" s="360"/>
      <c r="N140" s="358"/>
    </row>
    <row r="141" spans="1:14" ht="15" customHeight="1">
      <c r="A141" s="665"/>
      <c r="B141" s="341" t="str">
        <f t="shared" si="0"/>
        <v>Dieciseisavofinalista</v>
      </c>
      <c r="C141" s="330" t="str">
        <f ca="1">WORLDCUP!AA112</f>
        <v>Colombia</v>
      </c>
      <c r="D141" s="668"/>
      <c r="E141" s="351"/>
      <c r="F141" s="351"/>
      <c r="G141" s="351"/>
      <c r="H141" s="351"/>
      <c r="I141" s="362"/>
      <c r="J141" s="351"/>
      <c r="K141" s="351"/>
      <c r="L141" s="351"/>
      <c r="M141" s="360"/>
      <c r="N141" s="358"/>
    </row>
    <row r="142" spans="1:14" ht="15" customHeight="1">
      <c r="A142" s="665"/>
      <c r="B142" s="341" t="str">
        <f t="shared" si="0"/>
        <v>Dieciseisavofinalista</v>
      </c>
      <c r="C142" s="330" t="str">
        <f ca="1">WORLDCUP!AA113</f>
        <v>Suiza</v>
      </c>
      <c r="D142" s="668"/>
      <c r="E142" s="351"/>
      <c r="F142" s="351"/>
      <c r="G142" s="351"/>
      <c r="H142" s="351"/>
      <c r="I142" s="362"/>
      <c r="J142" s="351"/>
      <c r="K142" s="351"/>
      <c r="L142" s="351"/>
      <c r="M142" s="360"/>
      <c r="N142" s="358"/>
    </row>
    <row r="143" spans="1:14" ht="15" customHeight="1">
      <c r="A143" s="665"/>
      <c r="B143" s="341" t="str">
        <f t="shared" si="0"/>
        <v>Dieciseisavofinalista</v>
      </c>
      <c r="C143" s="330" t="str">
        <f ca="1">WORLDCUP!AA114</f>
        <v>Estados Unidos</v>
      </c>
      <c r="D143" s="668"/>
      <c r="E143" s="351"/>
      <c r="F143" s="351"/>
      <c r="G143" s="351"/>
      <c r="H143" s="351"/>
      <c r="I143" s="362"/>
      <c r="J143" s="351"/>
      <c r="K143" s="351"/>
      <c r="L143" s="351"/>
      <c r="M143" s="360"/>
      <c r="N143" s="358"/>
    </row>
    <row r="144" spans="1:14" ht="15" customHeight="1">
      <c r="A144" s="665"/>
      <c r="B144" s="341" t="str">
        <f t="shared" si="0"/>
        <v>Dieciseisavofinalista</v>
      </c>
      <c r="C144" s="330" t="str">
        <f ca="1">WORLDCUP!AA115</f>
        <v>Argentina</v>
      </c>
      <c r="D144" s="668"/>
      <c r="E144" s="351"/>
      <c r="F144" s="351"/>
      <c r="G144" s="351"/>
      <c r="H144" s="351"/>
      <c r="I144" s="362"/>
      <c r="J144" s="351"/>
      <c r="K144" s="351"/>
      <c r="L144" s="351"/>
      <c r="M144" s="360"/>
      <c r="N144" s="358"/>
    </row>
    <row r="145" spans="1:14" ht="15" customHeight="1">
      <c r="A145" s="665"/>
      <c r="B145" s="341" t="str">
        <f t="shared" si="0"/>
        <v>Dieciseisavofinalista</v>
      </c>
      <c r="C145" s="330" t="str">
        <f ca="1">WORLDCUP!AA116</f>
        <v>Portugal</v>
      </c>
      <c r="D145" s="668"/>
      <c r="E145" s="351"/>
      <c r="F145" s="351"/>
      <c r="G145" s="351"/>
      <c r="H145" s="351"/>
      <c r="I145" s="362"/>
      <c r="J145" s="351"/>
      <c r="K145" s="351"/>
      <c r="L145" s="351"/>
      <c r="M145" s="360"/>
      <c r="N145" s="358"/>
    </row>
    <row r="146" spans="1:14" ht="15" customHeight="1">
      <c r="A146" s="665"/>
      <c r="B146" s="341" t="str">
        <f>Idiomas!$D$188</f>
        <v>Dieciseisavofinalista</v>
      </c>
      <c r="C146" s="330" t="str">
        <f ca="1">WORLDCUP!AF101</f>
        <v>Canadá</v>
      </c>
      <c r="D146" s="668"/>
      <c r="E146" s="351"/>
      <c r="F146" s="351"/>
      <c r="G146" s="351"/>
      <c r="H146" s="351"/>
      <c r="I146" s="362"/>
      <c r="J146" s="351"/>
      <c r="K146" s="351"/>
      <c r="L146" s="351"/>
      <c r="M146" s="360"/>
      <c r="N146" s="358"/>
    </row>
    <row r="147" spans="1:14" ht="15" customHeight="1">
      <c r="A147" s="665"/>
      <c r="B147" s="341" t="str">
        <f>B146</f>
        <v>Dieciseisavofinalista</v>
      </c>
      <c r="C147" s="330" t="str">
        <f ca="1">WORLDCUP!AF102</f>
        <v>Países Bajos</v>
      </c>
      <c r="D147" s="668"/>
      <c r="E147" s="351"/>
      <c r="F147" s="351"/>
      <c r="G147" s="351"/>
      <c r="H147" s="351"/>
      <c r="I147" s="362"/>
      <c r="J147" s="351"/>
      <c r="K147" s="351"/>
      <c r="L147" s="351"/>
      <c r="M147" s="360"/>
      <c r="N147" s="358"/>
    </row>
    <row r="148" spans="1:14" ht="15" customHeight="1">
      <c r="A148" s="665"/>
      <c r="B148" s="341" t="str">
        <f t="shared" ref="B148:B161" si="1">B147</f>
        <v>Dieciseisavofinalista</v>
      </c>
      <c r="C148" s="330" t="str">
        <f ca="1">WORLDCUP!AF103</f>
        <v>Brasil</v>
      </c>
      <c r="D148" s="668"/>
      <c r="E148" s="351"/>
      <c r="F148" s="351"/>
      <c r="G148" s="351"/>
      <c r="H148" s="351"/>
      <c r="I148" s="362"/>
      <c r="J148" s="351"/>
      <c r="K148" s="351"/>
      <c r="L148" s="351"/>
      <c r="M148" s="360"/>
      <c r="N148" s="358"/>
    </row>
    <row r="149" spans="1:14" ht="15" customHeight="1">
      <c r="A149" s="665"/>
      <c r="B149" s="341" t="str">
        <f t="shared" si="1"/>
        <v>Dieciseisavofinalista</v>
      </c>
      <c r="C149" s="330" t="str">
        <f ca="1">WORLDCUP!AF104</f>
        <v>Escocia</v>
      </c>
      <c r="D149" s="668"/>
      <c r="E149" s="351"/>
      <c r="F149" s="351"/>
      <c r="G149" s="351"/>
      <c r="H149" s="351"/>
      <c r="I149" s="362"/>
      <c r="J149" s="351"/>
      <c r="K149" s="351"/>
      <c r="L149" s="351"/>
      <c r="M149" s="360"/>
      <c r="N149" s="358"/>
    </row>
    <row r="150" spans="1:14" ht="15" customHeight="1">
      <c r="A150" s="665"/>
      <c r="B150" s="341" t="str">
        <f t="shared" si="1"/>
        <v>Dieciseisavofinalista</v>
      </c>
      <c r="C150" s="330" t="str">
        <f ca="1">WORLDCUP!AF105</f>
        <v>Senegal</v>
      </c>
      <c r="D150" s="668"/>
      <c r="E150" s="351"/>
      <c r="F150" s="351"/>
      <c r="G150" s="351"/>
      <c r="H150" s="351"/>
      <c r="I150" s="362"/>
      <c r="J150" s="351"/>
      <c r="K150" s="351"/>
      <c r="L150" s="351"/>
      <c r="M150" s="360"/>
      <c r="N150" s="358"/>
    </row>
    <row r="151" spans="1:14" ht="15" customHeight="1">
      <c r="A151" s="665"/>
      <c r="B151" s="341" t="str">
        <f t="shared" si="1"/>
        <v>Dieciseisavofinalista</v>
      </c>
      <c r="C151" s="330" t="str">
        <f ca="1">WORLDCUP!AF106</f>
        <v>Nueva Zelanda</v>
      </c>
      <c r="D151" s="668"/>
      <c r="E151" s="351"/>
      <c r="F151" s="351"/>
      <c r="G151" s="351"/>
      <c r="H151" s="351"/>
      <c r="I151" s="362"/>
      <c r="J151" s="351"/>
      <c r="K151" s="351"/>
      <c r="L151" s="351"/>
      <c r="M151" s="360"/>
      <c r="N151" s="358"/>
    </row>
    <row r="152" spans="1:14" ht="15" customHeight="1">
      <c r="A152" s="665"/>
      <c r="B152" s="341" t="str">
        <f t="shared" si="1"/>
        <v>Dieciseisavofinalista</v>
      </c>
      <c r="C152" s="330" t="str">
        <f ca="1">WORLDCUP!AF107</f>
        <v>Ecuador</v>
      </c>
      <c r="D152" s="668"/>
      <c r="E152" s="351"/>
      <c r="F152" s="351"/>
      <c r="G152" s="351"/>
      <c r="H152" s="351"/>
      <c r="I152" s="362"/>
      <c r="J152" s="351"/>
      <c r="K152" s="351"/>
      <c r="L152" s="351"/>
      <c r="M152" s="360"/>
      <c r="N152" s="358"/>
    </row>
    <row r="153" spans="1:14" ht="15" customHeight="1">
      <c r="A153" s="665"/>
      <c r="B153" s="341" t="str">
        <f t="shared" si="1"/>
        <v>Dieciseisavofinalista</v>
      </c>
      <c r="C153" s="330" t="str">
        <f ca="1">WORLDCUP!AF108</f>
        <v>RD Congo</v>
      </c>
      <c r="D153" s="668"/>
      <c r="E153" s="351"/>
      <c r="F153" s="351"/>
      <c r="G153" s="351"/>
      <c r="H153" s="351"/>
      <c r="I153" s="362"/>
      <c r="J153" s="351"/>
      <c r="K153" s="351"/>
      <c r="L153" s="351"/>
      <c r="M153" s="360"/>
      <c r="N153" s="358"/>
    </row>
    <row r="154" spans="1:14" ht="15" customHeight="1">
      <c r="A154" s="665"/>
      <c r="B154" s="341" t="str">
        <f t="shared" si="1"/>
        <v>Dieciseisavofinalista</v>
      </c>
      <c r="C154" s="330" t="str">
        <f ca="1">WORLDCUP!AF109</f>
        <v>República Checa</v>
      </c>
      <c r="D154" s="668"/>
      <c r="E154" s="351"/>
      <c r="F154" s="351"/>
      <c r="G154" s="351"/>
      <c r="H154" s="351"/>
      <c r="I154" s="362"/>
      <c r="J154" s="351"/>
      <c r="K154" s="351"/>
      <c r="L154" s="351"/>
      <c r="M154" s="360"/>
      <c r="N154" s="358"/>
    </row>
    <row r="155" spans="1:14" ht="15" customHeight="1">
      <c r="A155" s="665"/>
      <c r="B155" s="341" t="str">
        <f t="shared" si="1"/>
        <v>Dieciseisavofinalista</v>
      </c>
      <c r="C155" s="330" t="str">
        <f ca="1">WORLDCUP!AF110</f>
        <v>Bosnia y Herzegovina</v>
      </c>
      <c r="D155" s="668"/>
      <c r="E155" s="351"/>
      <c r="F155" s="351"/>
      <c r="G155" s="351"/>
      <c r="H155" s="351"/>
      <c r="I155" s="362"/>
      <c r="J155" s="351"/>
      <c r="K155" s="351"/>
      <c r="L155" s="351"/>
      <c r="M155" s="360"/>
      <c r="N155" s="358"/>
    </row>
    <row r="156" spans="1:14" ht="15" customHeight="1">
      <c r="A156" s="665"/>
      <c r="B156" s="341" t="str">
        <f t="shared" si="1"/>
        <v>Dieciseisavofinalista</v>
      </c>
      <c r="C156" s="330" t="str">
        <f ca="1">WORLDCUP!AF111</f>
        <v>Austria</v>
      </c>
      <c r="D156" s="668"/>
      <c r="E156" s="351"/>
      <c r="F156" s="351"/>
      <c r="G156" s="351"/>
      <c r="H156" s="351"/>
      <c r="I156" s="362"/>
      <c r="J156" s="351"/>
      <c r="K156" s="351"/>
      <c r="L156" s="351"/>
      <c r="M156" s="360"/>
      <c r="N156" s="358"/>
    </row>
    <row r="157" spans="1:14" ht="15" customHeight="1">
      <c r="A157" s="665"/>
      <c r="B157" s="341" t="str">
        <f t="shared" si="1"/>
        <v>Dieciseisavofinalista</v>
      </c>
      <c r="C157" s="330" t="str">
        <f ca="1">WORLDCUP!AF112</f>
        <v>Croacia</v>
      </c>
      <c r="D157" s="668"/>
      <c r="E157" s="351"/>
      <c r="F157" s="351"/>
      <c r="G157" s="351"/>
      <c r="H157" s="351"/>
      <c r="I157" s="362"/>
      <c r="J157" s="351"/>
      <c r="K157" s="351"/>
      <c r="L157" s="351"/>
      <c r="M157" s="360"/>
      <c r="N157" s="358"/>
    </row>
    <row r="158" spans="1:14" ht="15" customHeight="1">
      <c r="A158" s="665"/>
      <c r="B158" s="341" t="str">
        <f t="shared" si="1"/>
        <v>Dieciseisavofinalista</v>
      </c>
      <c r="C158" s="330" t="str">
        <f ca="1">WORLDCUP!AF113</f>
        <v>Argelia</v>
      </c>
      <c r="D158" s="668"/>
      <c r="E158" s="351"/>
      <c r="F158" s="351"/>
      <c r="G158" s="351"/>
      <c r="H158" s="351"/>
      <c r="I158" s="362"/>
      <c r="J158" s="351"/>
      <c r="K158" s="351"/>
      <c r="L158" s="351"/>
      <c r="M158" s="360"/>
      <c r="N158" s="358"/>
    </row>
    <row r="159" spans="1:14" ht="15" customHeight="1">
      <c r="A159" s="665"/>
      <c r="B159" s="341" t="str">
        <f t="shared" si="1"/>
        <v>Dieciseisavofinalista</v>
      </c>
      <c r="C159" s="330" t="str">
        <f ca="1">WORLDCUP!AF114</f>
        <v>Irán</v>
      </c>
      <c r="D159" s="668"/>
      <c r="E159" s="351"/>
      <c r="F159" s="351"/>
      <c r="G159" s="351"/>
      <c r="H159" s="351"/>
      <c r="I159" s="362"/>
      <c r="J159" s="351"/>
      <c r="K159" s="351"/>
      <c r="L159" s="351"/>
      <c r="M159" s="360"/>
      <c r="N159" s="358"/>
    </row>
    <row r="160" spans="1:14" ht="15" customHeight="1">
      <c r="A160" s="665"/>
      <c r="B160" s="341" t="str">
        <f t="shared" si="1"/>
        <v>Dieciseisavofinalista</v>
      </c>
      <c r="C160" s="330" t="str">
        <f ca="1">WORLDCUP!AF115</f>
        <v>Uruguay</v>
      </c>
      <c r="D160" s="668"/>
      <c r="E160" s="351"/>
      <c r="F160" s="351"/>
      <c r="G160" s="351"/>
      <c r="H160" s="351"/>
      <c r="I160" s="362"/>
      <c r="J160" s="351"/>
      <c r="K160" s="351"/>
      <c r="L160" s="351"/>
      <c r="M160" s="360"/>
      <c r="N160" s="358"/>
    </row>
    <row r="161" spans="1:14" ht="15" customHeight="1">
      <c r="A161" s="665"/>
      <c r="B161" s="341" t="str">
        <f t="shared" si="1"/>
        <v>Dieciseisavofinalista</v>
      </c>
      <c r="C161" s="330" t="str">
        <f ca="1">WORLDCUP!AF116</f>
        <v>Noruega</v>
      </c>
      <c r="D161" s="669"/>
      <c r="E161" s="353"/>
      <c r="F161" s="353"/>
      <c r="G161" s="353"/>
      <c r="H161" s="353"/>
      <c r="I161" s="363"/>
      <c r="J161" s="364"/>
      <c r="K161" s="353"/>
      <c r="L161" s="353"/>
      <c r="M161" s="365"/>
      <c r="N161" s="358"/>
    </row>
    <row r="162" spans="1:14" ht="20" customHeight="1">
      <c r="A162" s="334"/>
      <c r="B162" s="334"/>
      <c r="C162" s="331"/>
      <c r="D162" s="351"/>
      <c r="E162" s="682" t="str">
        <f>Idiomas!D113</f>
        <v>·Si haceis todas las eliminatorias de golpe, copiar de la C164 a la C252 y pegar valores en la plantilla de Administrador.</v>
      </c>
      <c r="F162" s="682"/>
      <c r="G162" s="682"/>
      <c r="H162" s="682"/>
      <c r="I162" s="682"/>
      <c r="J162" s="682"/>
      <c r="K162" s="682"/>
      <c r="L162" s="683"/>
      <c r="M162" s="366"/>
      <c r="N162" s="358"/>
    </row>
    <row r="163" spans="1:14" ht="23" customHeight="1">
      <c r="A163" s="334"/>
      <c r="B163" s="339" t="str">
        <f>Idiomas!D128</f>
        <v>ENFRENTAMIENTOS DIECISEISAVOS</v>
      </c>
      <c r="C163" s="331"/>
      <c r="D163" s="351"/>
      <c r="E163" s="681" t="str">
        <f>Idiomas!D114</f>
        <v>·Si haceis eliminatoria a eliminatoria seguir las instrucciones de cada eliminatoria.</v>
      </c>
      <c r="F163" s="681"/>
      <c r="G163" s="681"/>
      <c r="H163" s="681"/>
      <c r="I163" s="681"/>
      <c r="J163" s="681"/>
      <c r="K163" s="681"/>
      <c r="L163" s="684"/>
      <c r="M163" s="367"/>
      <c r="N163" s="358"/>
    </row>
    <row r="164" spans="1:14" ht="15" customHeight="1">
      <c r="A164" s="665" t="s">
        <v>493</v>
      </c>
      <c r="B164" s="341" t="str">
        <f ca="1">CONCATENATE(WORLDCUP!AA101,"-",WORLDCUP!AF101)</f>
        <v>Corea del Sur-Canadá</v>
      </c>
      <c r="C164" s="330" t="str">
        <f ca="1">CONCATENATE(WORLDCUP!AA101,"-",WORLDCUP!AF101,"·",IF(WORLDCUP!AC101&gt;WORLDCUP!AD101,1,IF(WORLDCUP!AC101&lt;WORLDCUP!AD101,2,IF(AND(WORLDCUP!AC101=WORLDCUP!AD101,WORLDCUP!AC101&lt;&gt;"",WORLDCUP!AD101&lt;&gt;""),"X",0))),"|",WORLDCUP!AC101,"-",WORLDCUP!AD101)</f>
        <v>Corea del Sur-Canadá·X|1-1</v>
      </c>
      <c r="D164" s="667" t="s">
        <v>493</v>
      </c>
      <c r="E164" s="685" t="str">
        <f>Idiomas!D115</f>
        <v>·Para los dieciseisavos copiar de la C164 a la C197 y pega valores en la plantilla de administrador.</v>
      </c>
      <c r="F164" s="685"/>
      <c r="G164" s="685"/>
      <c r="H164" s="685"/>
      <c r="I164" s="333"/>
      <c r="J164" s="351"/>
      <c r="K164" s="351"/>
      <c r="L164" s="351"/>
      <c r="M164" s="367"/>
      <c r="N164" s="358"/>
    </row>
    <row r="165" spans="1:14" ht="15" customHeight="1">
      <c r="A165" s="665"/>
      <c r="B165" s="341" t="str">
        <f ca="1">CONCATENATE(WORLDCUP!AA102,"-",WORLDCUP!AF102)</f>
        <v>Marruecos-Países Bajos</v>
      </c>
      <c r="C165" s="330" t="str">
        <f ca="1">CONCATENATE(WORLDCUP!AA102,"-",WORLDCUP!AF102,"·",IF(WORLDCUP!AC102&gt;WORLDCUP!AD102,1,IF(WORLDCUP!AC102&lt;WORLDCUP!AD102,2,IF(AND(WORLDCUP!AC102=WORLDCUP!AD102,WORLDCUP!AC102&lt;&gt;"",WORLDCUP!AD102&lt;&gt;""),"X",0))),"|",WORLDCUP!AC102,"-",WORLDCUP!AD102)</f>
        <v>Marruecos-Países Bajos·X|1-1</v>
      </c>
      <c r="D165" s="667"/>
      <c r="E165" s="686"/>
      <c r="F165" s="686"/>
      <c r="G165" s="686"/>
      <c r="H165" s="686"/>
      <c r="I165" s="333"/>
      <c r="J165" s="351"/>
      <c r="K165" s="351"/>
      <c r="L165" s="351"/>
      <c r="M165" s="367"/>
      <c r="N165" s="358"/>
    </row>
    <row r="166" spans="1:14" ht="15" customHeight="1">
      <c r="A166" s="665"/>
      <c r="B166" s="341" t="str">
        <f ca="1">CONCATENATE(WORLDCUP!AA103,"-",WORLDCUP!AF103)</f>
        <v>Alemania-Brasil</v>
      </c>
      <c r="C166" s="330" t="str">
        <f ca="1">CONCATENATE(WORLDCUP!AA103,"-",WORLDCUP!AF103,"·",IF(WORLDCUP!AC103&gt;WORLDCUP!AD103,1,IF(WORLDCUP!AC103&lt;WORLDCUP!AD103,2,IF(AND(WORLDCUP!AC103=WORLDCUP!AD103,WORLDCUP!AC103&lt;&gt;"",WORLDCUP!AD103&lt;&gt;""),"X",0))),"|",WORLDCUP!AC103,"-",WORLDCUP!AD103)</f>
        <v>Alemania-Brasil·1|2-1</v>
      </c>
      <c r="D166" s="667"/>
      <c r="E166" s="686"/>
      <c r="F166" s="686"/>
      <c r="G166" s="686"/>
      <c r="H166" s="686"/>
      <c r="I166" s="333"/>
      <c r="J166" s="351"/>
      <c r="K166" s="351"/>
      <c r="L166" s="351"/>
      <c r="M166" s="367"/>
      <c r="N166" s="358"/>
    </row>
    <row r="167" spans="1:14" ht="15" customHeight="1">
      <c r="A167" s="665"/>
      <c r="B167" s="341" t="str">
        <f ca="1">CONCATENATE(WORLDCUP!AA104,"-",WORLDCUP!AF104)</f>
        <v>Japón-Escocia</v>
      </c>
      <c r="C167" s="330" t="str">
        <f ca="1">CONCATENATE(WORLDCUP!AA104,"-",WORLDCUP!AF104,"·",IF(WORLDCUP!AC104&gt;WORLDCUP!AD104,1,IF(WORLDCUP!AC104&lt;WORLDCUP!AD104,2,IF(AND(WORLDCUP!AC104=WORLDCUP!AD104,WORLDCUP!AC104&lt;&gt;"",WORLDCUP!AD104&lt;&gt;""),"X",0))),"|",WORLDCUP!AC104,"-",WORLDCUP!AD104)</f>
        <v>Japón-Escocia·1|2-0</v>
      </c>
      <c r="D167" s="667"/>
      <c r="E167" s="686"/>
      <c r="F167" s="686"/>
      <c r="G167" s="686"/>
      <c r="H167" s="686"/>
      <c r="I167" s="333"/>
      <c r="J167" s="351"/>
      <c r="K167" s="351"/>
      <c r="L167" s="351"/>
      <c r="M167" s="367"/>
      <c r="N167" s="358"/>
    </row>
    <row r="168" spans="1:14" ht="15" customHeight="1">
      <c r="A168" s="665"/>
      <c r="B168" s="341" t="str">
        <f ca="1">CONCATENATE(WORLDCUP!AA105,"-",WORLDCUP!AF105)</f>
        <v>Costa de Marfil-Senegal</v>
      </c>
      <c r="C168" s="330" t="str">
        <f ca="1">CONCATENATE(WORLDCUP!AA105,"-",WORLDCUP!AF105,"·",IF(WORLDCUP!AC105&gt;WORLDCUP!AD105,1,IF(WORLDCUP!AC105&lt;WORLDCUP!AD105,2,IF(AND(WORLDCUP!AC105=WORLDCUP!AD105,WORLDCUP!AC105&lt;&gt;"",WORLDCUP!AD105&lt;&gt;""),"X",0))),"|",WORLDCUP!AC105,"-",WORLDCUP!AD105)</f>
        <v>Costa de Marfil-Senegal·X|1-1</v>
      </c>
      <c r="D168" s="667"/>
      <c r="E168" s="351"/>
      <c r="F168" s="351"/>
      <c r="G168" s="351"/>
      <c r="H168" s="351"/>
      <c r="I168" s="333"/>
      <c r="J168" s="351"/>
      <c r="K168" s="351"/>
      <c r="L168" s="351"/>
      <c r="M168" s="367"/>
      <c r="N168" s="358"/>
    </row>
    <row r="169" spans="1:14" ht="15" customHeight="1">
      <c r="A169" s="665"/>
      <c r="B169" s="341" t="str">
        <f ca="1">CONCATENATE(WORLDCUP!AA106,"-",WORLDCUP!AF106)</f>
        <v>Francia-Nueva Zelanda</v>
      </c>
      <c r="C169" s="330" t="str">
        <f ca="1">CONCATENATE(WORLDCUP!AA106,"-",WORLDCUP!AF106,"·",IF(WORLDCUP!AC106&gt;WORLDCUP!AD106,1,IF(WORLDCUP!AC106&lt;WORLDCUP!AD106,2,IF(AND(WORLDCUP!AC106=WORLDCUP!AD106,WORLDCUP!AC106&lt;&gt;"",WORLDCUP!AD106&lt;&gt;""),"X",0))),"|",WORLDCUP!AC106,"-",WORLDCUP!AD106)</f>
        <v>Francia-Nueva Zelanda·1|3-0</v>
      </c>
      <c r="D169" s="667"/>
      <c r="E169" s="351"/>
      <c r="F169" s="351"/>
      <c r="G169" s="351"/>
      <c r="H169" s="351"/>
      <c r="I169" s="333"/>
      <c r="J169" s="351"/>
      <c r="K169" s="351"/>
      <c r="L169" s="351"/>
      <c r="M169" s="367"/>
      <c r="N169" s="358"/>
    </row>
    <row r="170" spans="1:14" ht="15" customHeight="1">
      <c r="A170" s="665"/>
      <c r="B170" s="341" t="str">
        <f ca="1">CONCATENATE(WORLDCUP!AA107,"-",WORLDCUP!AF107)</f>
        <v>México-Ecuador</v>
      </c>
      <c r="C170" s="330" t="str">
        <f ca="1">CONCATENATE(WORLDCUP!AA107,"-",WORLDCUP!AF107,"·",IF(WORLDCUP!AC107&gt;WORLDCUP!AD107,1,IF(WORLDCUP!AC107&lt;WORLDCUP!AD107,2,IF(AND(WORLDCUP!AC107=WORLDCUP!AD107,WORLDCUP!AC107&lt;&gt;"",WORLDCUP!AD107&lt;&gt;""),"X",0))),"|",WORLDCUP!AC107,"-",WORLDCUP!AD107)</f>
        <v>México-Ecuador·X|1-1</v>
      </c>
      <c r="D170" s="667"/>
      <c r="E170" s="351"/>
      <c r="F170" s="351"/>
      <c r="G170" s="351"/>
      <c r="H170" s="351"/>
      <c r="I170" s="333"/>
      <c r="J170" s="351"/>
      <c r="K170" s="351"/>
      <c r="L170" s="351"/>
      <c r="M170" s="367"/>
      <c r="N170" s="358"/>
    </row>
    <row r="171" spans="1:14" ht="15" customHeight="1">
      <c r="A171" s="665"/>
      <c r="B171" s="341" t="str">
        <f ca="1">CONCATENATE(WORLDCUP!AA108,"-",WORLDCUP!AF108)</f>
        <v>Inglaterra-RD Congo</v>
      </c>
      <c r="C171" s="330" t="str">
        <f ca="1">CONCATENATE(WORLDCUP!AA108,"-",WORLDCUP!AF108,"·",IF(WORLDCUP!AC108&gt;WORLDCUP!AD108,1,IF(WORLDCUP!AC108&lt;WORLDCUP!AD108,2,IF(AND(WORLDCUP!AC108=WORLDCUP!AD108,WORLDCUP!AC108&lt;&gt;"",WORLDCUP!AD108&lt;&gt;""),"X",0))),"|",WORLDCUP!AC108,"-",WORLDCUP!AD108)</f>
        <v>Inglaterra-RD Congo·1|2-0</v>
      </c>
      <c r="D171" s="667"/>
      <c r="E171" s="351"/>
      <c r="F171" s="351"/>
      <c r="G171" s="351"/>
      <c r="H171" s="351"/>
      <c r="I171" s="333"/>
      <c r="J171" s="351"/>
      <c r="K171" s="351"/>
      <c r="L171" s="351"/>
      <c r="M171" s="367"/>
      <c r="N171" s="358"/>
    </row>
    <row r="172" spans="1:14" ht="15" customHeight="1">
      <c r="A172" s="665"/>
      <c r="B172" s="341" t="str">
        <f ca="1">CONCATENATE(WORLDCUP!AA109,"-",WORLDCUP!AF109)</f>
        <v>Bélgica-República Checa</v>
      </c>
      <c r="C172" s="330" t="str">
        <f ca="1">CONCATENATE(WORLDCUP!AA109,"-",WORLDCUP!AF109,"·",IF(WORLDCUP!AC109&gt;WORLDCUP!AD109,1,IF(WORLDCUP!AC109&lt;WORLDCUP!AD109,2,IF(AND(WORLDCUP!AC109=WORLDCUP!AD109,WORLDCUP!AC109&lt;&gt;"",WORLDCUP!AD109&lt;&gt;""),"X",0))),"|",WORLDCUP!AC109,"-",WORLDCUP!AD109)</f>
        <v>Bélgica-República Checa·1|2-1</v>
      </c>
      <c r="D172" s="667"/>
      <c r="E172" s="351"/>
      <c r="F172" s="351"/>
      <c r="G172" s="351"/>
      <c r="H172" s="351"/>
      <c r="I172" s="333"/>
      <c r="J172" s="351"/>
      <c r="K172" s="351"/>
      <c r="L172" s="351"/>
      <c r="M172" s="367"/>
      <c r="N172" s="358"/>
    </row>
    <row r="173" spans="1:14" ht="15" customHeight="1">
      <c r="A173" s="665"/>
      <c r="B173" s="341" t="str">
        <f ca="1">CONCATENATE(WORLDCUP!AA110,"-",WORLDCUP!AF110)</f>
        <v>Turquía-Bosnia y Herzegovina</v>
      </c>
      <c r="C173" s="330" t="str">
        <f ca="1">CONCATENATE(WORLDCUP!AA110,"-",WORLDCUP!AF110,"·",IF(WORLDCUP!AC110&gt;WORLDCUP!AD110,1,IF(WORLDCUP!AC110&lt;WORLDCUP!AD110,2,IF(AND(WORLDCUP!AC110=WORLDCUP!AD110,WORLDCUP!AC110&lt;&gt;"",WORLDCUP!AD110&lt;&gt;""),"X",0))),"|",WORLDCUP!AC110,"-",WORLDCUP!AD110)</f>
        <v>Turquía-Bosnia y Herzegovina·1|2-0</v>
      </c>
      <c r="D173" s="667"/>
      <c r="E173" s="351"/>
      <c r="F173" s="351"/>
      <c r="G173" s="351"/>
      <c r="H173" s="351"/>
      <c r="I173" s="333"/>
      <c r="J173" s="351"/>
      <c r="K173" s="351"/>
      <c r="L173" s="351"/>
      <c r="M173" s="367"/>
      <c r="N173" s="358"/>
    </row>
    <row r="174" spans="1:14" ht="15" customHeight="1">
      <c r="A174" s="665"/>
      <c r="B174" s="341" t="str">
        <f ca="1">CONCATENATE(WORLDCUP!AA111,"-",WORLDCUP!AF111)</f>
        <v>España-Austria</v>
      </c>
      <c r="C174" s="330" t="str">
        <f ca="1">CONCATENATE(WORLDCUP!AA111,"-",WORLDCUP!AF111,"·",IF(WORLDCUP!AC111&gt;WORLDCUP!AD111,1,IF(WORLDCUP!AC111&lt;WORLDCUP!AD111,2,IF(AND(WORLDCUP!AC111=WORLDCUP!AD111,WORLDCUP!AC111&lt;&gt;"",WORLDCUP!AD111&lt;&gt;""),"X",0))),"|",WORLDCUP!AC111,"-",WORLDCUP!AD111)</f>
        <v>España-Austria·1|2-0</v>
      </c>
      <c r="D174" s="667"/>
      <c r="E174" s="351"/>
      <c r="F174" s="351"/>
      <c r="G174" s="351"/>
      <c r="H174" s="351"/>
      <c r="I174" s="333"/>
      <c r="J174" s="351"/>
      <c r="K174" s="351"/>
      <c r="L174" s="351"/>
      <c r="M174" s="367"/>
      <c r="N174" s="358"/>
    </row>
    <row r="175" spans="1:14" ht="15" customHeight="1">
      <c r="A175" s="665"/>
      <c r="B175" s="341" t="str">
        <f ca="1">CONCATENATE(WORLDCUP!AA112,"-",WORLDCUP!AF112)</f>
        <v>Colombia-Croacia</v>
      </c>
      <c r="C175" s="330" t="str">
        <f ca="1">CONCATENATE(WORLDCUP!AA112,"-",WORLDCUP!AF112,"·",IF(WORLDCUP!AC112&gt;WORLDCUP!AD112,1,IF(WORLDCUP!AC112&lt;WORLDCUP!AD112,2,IF(AND(WORLDCUP!AC112=WORLDCUP!AD112,WORLDCUP!AC112&lt;&gt;"",WORLDCUP!AD112&lt;&gt;""),"X",0))),"|",WORLDCUP!AC112,"-",WORLDCUP!AD112)</f>
        <v>Colombia-Croacia·X|2-2</v>
      </c>
      <c r="D175" s="667"/>
      <c r="E175" s="351"/>
      <c r="F175" s="351"/>
      <c r="G175" s="351"/>
      <c r="H175" s="351"/>
      <c r="I175" s="333"/>
      <c r="J175" s="351"/>
      <c r="K175" s="351"/>
      <c r="L175" s="351"/>
      <c r="M175" s="367"/>
      <c r="N175" s="358"/>
    </row>
    <row r="176" spans="1:14" ht="15" customHeight="1">
      <c r="A176" s="665"/>
      <c r="B176" s="341" t="str">
        <f ca="1">CONCATENATE(WORLDCUP!AA113,"-",WORLDCUP!AF113)</f>
        <v>Suiza-Argelia</v>
      </c>
      <c r="C176" s="330" t="str">
        <f ca="1">CONCATENATE(WORLDCUP!AA113,"-",WORLDCUP!AF113,"·",IF(WORLDCUP!AC113&gt;WORLDCUP!AD113,1,IF(WORLDCUP!AC113&lt;WORLDCUP!AD113,2,IF(AND(WORLDCUP!AC113=WORLDCUP!AD113,WORLDCUP!AC113&lt;&gt;"",WORLDCUP!AD113&lt;&gt;""),"X",0))),"|",WORLDCUP!AC113,"-",WORLDCUP!AD113)</f>
        <v>Suiza-Argelia·1|1-0</v>
      </c>
      <c r="D176" s="667"/>
      <c r="E176" s="351"/>
      <c r="F176" s="351"/>
      <c r="G176" s="351"/>
      <c r="H176" s="351"/>
      <c r="I176" s="333"/>
      <c r="J176" s="351"/>
      <c r="K176" s="351"/>
      <c r="L176" s="351"/>
      <c r="M176" s="367"/>
      <c r="N176" s="358"/>
    </row>
    <row r="177" spans="1:14" ht="15" customHeight="1">
      <c r="A177" s="665"/>
      <c r="B177" s="341" t="str">
        <f ca="1">CONCATENATE(WORLDCUP!AA114,"-",WORLDCUP!AF114)</f>
        <v>Estados Unidos-Irán</v>
      </c>
      <c r="C177" s="330" t="str">
        <f ca="1">CONCATENATE(WORLDCUP!AA114,"-",WORLDCUP!AF114,"·",IF(WORLDCUP!AC114&gt;WORLDCUP!AD114,1,IF(WORLDCUP!AC114&lt;WORLDCUP!AD114,2,IF(AND(WORLDCUP!AC114=WORLDCUP!AD114,WORLDCUP!AC114&lt;&gt;"",WORLDCUP!AD114&lt;&gt;""),"X",0))),"|",WORLDCUP!AC114,"-",WORLDCUP!AD114)</f>
        <v>Estados Unidos-Irán·1|1-0</v>
      </c>
      <c r="D177" s="667"/>
      <c r="E177" s="351"/>
      <c r="F177" s="351"/>
      <c r="G177" s="351"/>
      <c r="H177" s="351"/>
      <c r="I177" s="333"/>
      <c r="J177" s="351"/>
      <c r="K177" s="351"/>
      <c r="L177" s="351"/>
      <c r="M177" s="367"/>
      <c r="N177" s="358"/>
    </row>
    <row r="178" spans="1:14" ht="15" customHeight="1">
      <c r="A178" s="665"/>
      <c r="B178" s="341" t="str">
        <f ca="1">CONCATENATE(WORLDCUP!AA115,"-",WORLDCUP!AF115)</f>
        <v>Argentina-Uruguay</v>
      </c>
      <c r="C178" s="330" t="str">
        <f ca="1">CONCATENATE(WORLDCUP!AA115,"-",WORLDCUP!AF115,"·",IF(WORLDCUP!AC115&gt;WORLDCUP!AD115,1,IF(WORLDCUP!AC115&lt;WORLDCUP!AD115,2,IF(AND(WORLDCUP!AC115=WORLDCUP!AD115,WORLDCUP!AC115&lt;&gt;"",WORLDCUP!AD115&lt;&gt;""),"X",0))),"|",WORLDCUP!AC115,"-",WORLDCUP!AD115)</f>
        <v>Argentina-Uruguay·1|2-1</v>
      </c>
      <c r="D178" s="667"/>
      <c r="E178" s="351"/>
      <c r="F178" s="351"/>
      <c r="G178" s="351"/>
      <c r="H178" s="351"/>
      <c r="I178" s="333"/>
      <c r="J178" s="351"/>
      <c r="K178" s="351"/>
      <c r="L178" s="351"/>
      <c r="M178" s="367"/>
      <c r="N178" s="358"/>
    </row>
    <row r="179" spans="1:14" ht="15" customHeight="1">
      <c r="A179" s="665"/>
      <c r="B179" s="341" t="str">
        <f ca="1">CONCATENATE(WORLDCUP!AA116,"-",WORLDCUP!AF116)</f>
        <v>Portugal-Noruega</v>
      </c>
      <c r="C179" s="330" t="str">
        <f ca="1">CONCATENATE(WORLDCUP!AA116,"-",WORLDCUP!AF116,"·",IF(WORLDCUP!AC116&gt;WORLDCUP!AD116,1,IF(WORLDCUP!AC116&lt;WORLDCUP!AD116,2,IF(AND(WORLDCUP!AC116=WORLDCUP!AD116,WORLDCUP!AC116&lt;&gt;"",WORLDCUP!AD116&lt;&gt;""),"X",0))),"|",WORLDCUP!AC116,"-",WORLDCUP!AD116)</f>
        <v>Portugal-Noruega·1|2-1</v>
      </c>
      <c r="D179" s="667"/>
      <c r="E179" s="351"/>
      <c r="F179" s="351"/>
      <c r="G179" s="351"/>
      <c r="H179" s="351"/>
      <c r="I179" s="333"/>
      <c r="J179" s="351"/>
      <c r="K179" s="351"/>
      <c r="L179" s="351"/>
      <c r="M179" s="367"/>
      <c r="N179" s="358"/>
    </row>
    <row r="180" spans="1:14" ht="15" customHeight="1">
      <c r="A180" s="334"/>
      <c r="B180" s="334"/>
      <c r="C180" s="331"/>
      <c r="D180" s="667"/>
      <c r="E180" s="351"/>
      <c r="F180" s="351"/>
      <c r="G180" s="351"/>
      <c r="H180" s="351"/>
      <c r="I180" s="333"/>
      <c r="J180" s="351"/>
      <c r="K180" s="351"/>
      <c r="L180" s="351"/>
      <c r="M180" s="367"/>
      <c r="N180" s="358"/>
    </row>
    <row r="181" spans="1:14" ht="19" customHeight="1">
      <c r="A181" s="334"/>
      <c r="B181" s="339" t="str">
        <f>Idiomas!D129</f>
        <v>CLASIFICADOS PARA OCTAVOS</v>
      </c>
      <c r="C181" s="331"/>
      <c r="D181" s="667"/>
      <c r="E181" s="351"/>
      <c r="F181" s="351"/>
      <c r="G181" s="351"/>
      <c r="H181" s="351"/>
      <c r="I181" s="333"/>
      <c r="J181" s="351"/>
      <c r="K181" s="351"/>
      <c r="L181" s="351"/>
      <c r="M181" s="367"/>
      <c r="N181" s="358"/>
    </row>
    <row r="182" spans="1:14" ht="15" customHeight="1">
      <c r="A182" s="665" t="s">
        <v>89</v>
      </c>
      <c r="B182" s="341" t="str">
        <f>Idiomas!$D$189</f>
        <v>Octavofinalista</v>
      </c>
      <c r="C182" s="330" t="str">
        <f ca="1">WORLDCUP!AA120</f>
        <v>Canadá</v>
      </c>
      <c r="D182" s="667"/>
      <c r="E182" s="351"/>
      <c r="F182" s="351"/>
      <c r="G182" s="351"/>
      <c r="H182" s="351"/>
      <c r="I182" s="333"/>
      <c r="J182" s="351"/>
      <c r="K182" s="351"/>
      <c r="L182" s="351"/>
      <c r="M182" s="367"/>
      <c r="N182" s="358"/>
    </row>
    <row r="183" spans="1:14" ht="15" customHeight="1">
      <c r="A183" s="665"/>
      <c r="B183" s="341" t="str">
        <f>B182</f>
        <v>Octavofinalista</v>
      </c>
      <c r="C183" s="330" t="str">
        <f ca="1">WORLDCUP!AA121</f>
        <v>Alemania</v>
      </c>
      <c r="D183" s="667"/>
      <c r="E183" s="351"/>
      <c r="F183" s="351"/>
      <c r="G183" s="351"/>
      <c r="H183" s="351"/>
      <c r="I183" s="333"/>
      <c r="J183" s="351"/>
      <c r="K183" s="351"/>
      <c r="L183" s="351"/>
      <c r="M183" s="367"/>
      <c r="N183" s="358"/>
    </row>
    <row r="184" spans="1:14" ht="15" customHeight="1">
      <c r="A184" s="665"/>
      <c r="B184" s="341" t="str">
        <f t="shared" ref="B184:B197" si="2">B183</f>
        <v>Octavofinalista</v>
      </c>
      <c r="C184" s="330" t="str">
        <f ca="1">WORLDCUP!AA122</f>
        <v>Marruecos</v>
      </c>
      <c r="D184" s="667"/>
      <c r="E184" s="351"/>
      <c r="F184" s="351"/>
      <c r="G184" s="351"/>
      <c r="H184" s="351"/>
      <c r="I184" s="333"/>
      <c r="J184" s="351"/>
      <c r="K184" s="351"/>
      <c r="L184" s="351"/>
      <c r="M184" s="367"/>
      <c r="N184" s="358"/>
    </row>
    <row r="185" spans="1:14" ht="15" customHeight="1">
      <c r="A185" s="665"/>
      <c r="B185" s="341" t="str">
        <f t="shared" si="2"/>
        <v>Octavofinalista</v>
      </c>
      <c r="C185" s="330" t="str">
        <f ca="1">WORLDCUP!AA123</f>
        <v>Ecuador</v>
      </c>
      <c r="D185" s="667"/>
      <c r="E185" s="351"/>
      <c r="F185" s="351"/>
      <c r="G185" s="351"/>
      <c r="H185" s="351"/>
      <c r="I185" s="333"/>
      <c r="J185" s="351"/>
      <c r="K185" s="351"/>
      <c r="L185" s="351"/>
      <c r="M185" s="367"/>
      <c r="N185" s="358"/>
    </row>
    <row r="186" spans="1:14" ht="15" customHeight="1">
      <c r="A186" s="665"/>
      <c r="B186" s="341" t="str">
        <f t="shared" si="2"/>
        <v>Octavofinalista</v>
      </c>
      <c r="C186" s="330" t="str">
        <f ca="1">WORLDCUP!AA124</f>
        <v>Croacia</v>
      </c>
      <c r="D186" s="667"/>
      <c r="E186" s="351"/>
      <c r="F186" s="351"/>
      <c r="G186" s="351"/>
      <c r="H186" s="351"/>
      <c r="I186" s="333"/>
      <c r="J186" s="351"/>
      <c r="K186" s="351"/>
      <c r="L186" s="351"/>
      <c r="M186" s="367"/>
      <c r="N186" s="358"/>
    </row>
    <row r="187" spans="1:14" ht="15" customHeight="1">
      <c r="A187" s="665"/>
      <c r="B187" s="341" t="str">
        <f t="shared" si="2"/>
        <v>Octavofinalista</v>
      </c>
      <c r="C187" s="330" t="str">
        <f ca="1">WORLDCUP!AA125</f>
        <v>Turquía</v>
      </c>
      <c r="D187" s="667"/>
      <c r="E187" s="351"/>
      <c r="F187" s="351"/>
      <c r="G187" s="351"/>
      <c r="H187" s="351"/>
      <c r="I187" s="333"/>
      <c r="J187" s="351"/>
      <c r="K187" s="351"/>
      <c r="L187" s="351"/>
      <c r="M187" s="367"/>
      <c r="N187" s="358"/>
    </row>
    <row r="188" spans="1:14" ht="15" customHeight="1">
      <c r="A188" s="665"/>
      <c r="B188" s="341" t="str">
        <f t="shared" si="2"/>
        <v>Octavofinalista</v>
      </c>
      <c r="C188" s="330" t="str">
        <f ca="1">WORLDCUP!AA126</f>
        <v>Argentina</v>
      </c>
      <c r="D188" s="667"/>
      <c r="E188" s="351"/>
      <c r="F188" s="351"/>
      <c r="G188" s="351"/>
      <c r="H188" s="351"/>
      <c r="I188" s="333"/>
      <c r="J188" s="351"/>
      <c r="K188" s="351"/>
      <c r="L188" s="351"/>
      <c r="M188" s="367"/>
      <c r="N188" s="358"/>
    </row>
    <row r="189" spans="1:14" ht="15" customHeight="1">
      <c r="A189" s="665"/>
      <c r="B189" s="341" t="str">
        <f t="shared" si="2"/>
        <v>Octavofinalista</v>
      </c>
      <c r="C189" s="330" t="str">
        <f ca="1">WORLDCUP!AA127</f>
        <v>Suiza</v>
      </c>
      <c r="D189" s="667"/>
      <c r="E189" s="351"/>
      <c r="F189" s="351"/>
      <c r="G189" s="351"/>
      <c r="H189" s="351"/>
      <c r="I189" s="333"/>
      <c r="J189" s="351"/>
      <c r="K189" s="351"/>
      <c r="L189" s="351"/>
      <c r="M189" s="367"/>
      <c r="N189" s="358"/>
    </row>
    <row r="190" spans="1:14" ht="15" customHeight="1">
      <c r="A190" s="665"/>
      <c r="B190" s="341" t="str">
        <f t="shared" si="2"/>
        <v>Octavofinalista</v>
      </c>
      <c r="C190" s="330" t="str">
        <f ca="1">WORLDCUP!AF120</f>
        <v>Japón</v>
      </c>
      <c r="D190" s="667"/>
      <c r="E190" s="351"/>
      <c r="F190" s="351"/>
      <c r="G190" s="351"/>
      <c r="H190" s="351"/>
      <c r="I190" s="333"/>
      <c r="J190" s="351"/>
      <c r="K190" s="351"/>
      <c r="L190" s="351"/>
      <c r="M190" s="367"/>
      <c r="N190" s="358"/>
    </row>
    <row r="191" spans="1:14" ht="15" customHeight="1">
      <c r="A191" s="665"/>
      <c r="B191" s="341" t="str">
        <f t="shared" si="2"/>
        <v>Octavofinalista</v>
      </c>
      <c r="C191" s="330" t="str">
        <f ca="1">WORLDCUP!AF121</f>
        <v>Francia</v>
      </c>
      <c r="D191" s="667"/>
      <c r="E191" s="351"/>
      <c r="F191" s="351"/>
      <c r="G191" s="351"/>
      <c r="H191" s="351"/>
      <c r="I191" s="333"/>
      <c r="J191" s="351"/>
      <c r="K191" s="351"/>
      <c r="L191" s="351"/>
      <c r="M191" s="367"/>
      <c r="N191" s="358"/>
    </row>
    <row r="192" spans="1:14" ht="15" customHeight="1">
      <c r="A192" s="665"/>
      <c r="B192" s="341" t="str">
        <f t="shared" si="2"/>
        <v>Octavofinalista</v>
      </c>
      <c r="C192" s="330" t="str">
        <f ca="1">WORLDCUP!AF122</f>
        <v>Senegal</v>
      </c>
      <c r="D192" s="667"/>
      <c r="E192" s="351"/>
      <c r="F192" s="351"/>
      <c r="G192" s="351"/>
      <c r="H192" s="351"/>
      <c r="I192" s="333"/>
      <c r="J192" s="351"/>
      <c r="K192" s="351"/>
      <c r="L192" s="351"/>
      <c r="M192" s="367"/>
      <c r="N192" s="358"/>
    </row>
    <row r="193" spans="1:14" ht="15" customHeight="1">
      <c r="A193" s="665"/>
      <c r="B193" s="341" t="str">
        <f t="shared" si="2"/>
        <v>Octavofinalista</v>
      </c>
      <c r="C193" s="330" t="str">
        <f ca="1">WORLDCUP!AF123</f>
        <v>Inglaterra</v>
      </c>
      <c r="D193" s="667"/>
      <c r="E193" s="351"/>
      <c r="F193" s="351"/>
      <c r="G193" s="351"/>
      <c r="H193" s="351"/>
      <c r="I193" s="333"/>
      <c r="J193" s="351"/>
      <c r="K193" s="351"/>
      <c r="L193" s="351"/>
      <c r="M193" s="367"/>
      <c r="N193" s="358"/>
    </row>
    <row r="194" spans="1:14" ht="15" customHeight="1">
      <c r="A194" s="665"/>
      <c r="B194" s="341" t="str">
        <f t="shared" si="2"/>
        <v>Octavofinalista</v>
      </c>
      <c r="C194" s="330" t="str">
        <f ca="1">WORLDCUP!AF124</f>
        <v>España</v>
      </c>
      <c r="D194" s="667"/>
      <c r="E194" s="351"/>
      <c r="F194" s="351"/>
      <c r="G194" s="351"/>
      <c r="H194" s="351"/>
      <c r="I194" s="333"/>
      <c r="J194" s="351"/>
      <c r="K194" s="351"/>
      <c r="L194" s="351"/>
      <c r="M194" s="367"/>
      <c r="N194" s="358"/>
    </row>
    <row r="195" spans="1:14" ht="15" customHeight="1">
      <c r="A195" s="665"/>
      <c r="B195" s="341" t="str">
        <f t="shared" si="2"/>
        <v>Octavofinalista</v>
      </c>
      <c r="C195" s="330" t="str">
        <f ca="1">WORLDCUP!AF125</f>
        <v>Bélgica</v>
      </c>
      <c r="D195" s="667"/>
      <c r="E195" s="351"/>
      <c r="F195" s="351"/>
      <c r="G195" s="351"/>
      <c r="H195" s="351"/>
      <c r="I195" s="333"/>
      <c r="J195" s="351"/>
      <c r="K195" s="351"/>
      <c r="L195" s="351"/>
      <c r="M195" s="367"/>
      <c r="N195" s="358"/>
    </row>
    <row r="196" spans="1:14" ht="15" customHeight="1">
      <c r="A196" s="665"/>
      <c r="B196" s="341" t="str">
        <f t="shared" si="2"/>
        <v>Octavofinalista</v>
      </c>
      <c r="C196" s="330" t="str">
        <f ca="1">WORLDCUP!AF126</f>
        <v>Estados Unidos</v>
      </c>
      <c r="D196" s="667"/>
      <c r="E196" s="351"/>
      <c r="F196" s="351"/>
      <c r="G196" s="351"/>
      <c r="H196" s="351"/>
      <c r="I196" s="333"/>
      <c r="J196" s="351"/>
      <c r="K196" s="351"/>
      <c r="L196" s="351"/>
      <c r="M196" s="367"/>
      <c r="N196" s="358"/>
    </row>
    <row r="197" spans="1:14" ht="15" customHeight="1">
      <c r="A197" s="665"/>
      <c r="B197" s="341" t="str">
        <f t="shared" si="2"/>
        <v>Octavofinalista</v>
      </c>
      <c r="C197" s="330" t="str">
        <f ca="1">WORLDCUP!AF127</f>
        <v>Portugal</v>
      </c>
      <c r="D197" s="667"/>
      <c r="E197" s="354"/>
      <c r="F197" s="354"/>
      <c r="G197" s="354"/>
      <c r="H197" s="354"/>
      <c r="I197" s="333"/>
      <c r="J197" s="351"/>
      <c r="K197" s="351"/>
      <c r="L197" s="351"/>
      <c r="M197" s="367"/>
      <c r="N197" s="358"/>
    </row>
    <row r="198" spans="1:14">
      <c r="A198" s="334"/>
      <c r="B198" s="334"/>
      <c r="C198" s="331"/>
      <c r="D198" s="351"/>
      <c r="E198" s="351"/>
      <c r="F198" s="351"/>
      <c r="G198" s="351"/>
      <c r="H198" s="351"/>
      <c r="I198" s="368"/>
      <c r="J198" s="351"/>
      <c r="K198" s="351"/>
      <c r="L198" s="351"/>
      <c r="M198" s="367"/>
      <c r="N198" s="358"/>
    </row>
    <row r="199" spans="1:14" ht="19" customHeight="1">
      <c r="A199" s="334"/>
      <c r="B199" s="339" t="str">
        <f>Idiomas!D130</f>
        <v>ENFRENTAMIENTOS OCTAVOS</v>
      </c>
      <c r="C199" s="331"/>
      <c r="D199" s="351"/>
      <c r="E199" s="351"/>
      <c r="F199" s="351"/>
      <c r="G199" s="351"/>
      <c r="H199" s="351"/>
      <c r="I199" s="369"/>
      <c r="J199" s="351"/>
      <c r="K199" s="351"/>
      <c r="L199" s="351"/>
      <c r="M199" s="367"/>
      <c r="N199" s="358"/>
    </row>
    <row r="200" spans="1:14" ht="15" customHeight="1">
      <c r="A200" s="665" t="s">
        <v>89</v>
      </c>
      <c r="B200" s="342" t="str">
        <f ca="1">CONCATENATE(WORLDCUP!AA120,"-",WORLDCUP!AF120)</f>
        <v>Canadá-Japón</v>
      </c>
      <c r="C200" s="332" t="str">
        <f ca="1">CONCATENATE(WORLDCUP!AA120,"-",WORLDCUP!AF120,"·",IF(WORLDCUP!AC120&gt;WORLDCUP!AD120,1,IF(WORLDCUP!AC120&lt;WORLDCUP!AD120,2,IF(AND(WORLDCUP!AC120=WORLDCUP!AD120,WORLDCUP!AC120&lt;&gt;"",WORLDCUP!AD120&lt;&gt;""),"X",0))),"|",WORLDCUP!AC120,"-",WORLDCUP!AD120)</f>
        <v>Canadá-Japón·2|1-2</v>
      </c>
      <c r="D200" s="666" t="s">
        <v>89</v>
      </c>
      <c r="E200" s="661" t="str">
        <f>Idiomas!D116</f>
        <v>·Para los octavos de final copiar de la C200 a la C217 y pega valores en la plantilla de administrador.</v>
      </c>
      <c r="F200" s="661"/>
      <c r="G200" s="661"/>
      <c r="H200" s="661"/>
      <c r="I200" s="333"/>
      <c r="J200" s="351"/>
      <c r="K200" s="351"/>
      <c r="L200" s="351"/>
      <c r="M200" s="367"/>
      <c r="N200" s="358"/>
    </row>
    <row r="201" spans="1:14" ht="15" customHeight="1">
      <c r="A201" s="665"/>
      <c r="B201" s="342" t="str">
        <f ca="1">CONCATENATE(WORLDCUP!AA121,"-",WORLDCUP!AF121)</f>
        <v>Alemania-Francia</v>
      </c>
      <c r="C201" s="332" t="str">
        <f ca="1">CONCATENATE(WORLDCUP!AA121,"-",WORLDCUP!AF121,"·",IF(WORLDCUP!AC121&gt;WORLDCUP!AD121,1,IF(WORLDCUP!AC121&lt;WORLDCUP!AD121,2,IF(AND(WORLDCUP!AC121=WORLDCUP!AD121,WORLDCUP!AC121&lt;&gt;"",WORLDCUP!AD121&lt;&gt;""),"X",0))),"|",WORLDCUP!AC121,"-",WORLDCUP!AD121)</f>
        <v>Alemania-Francia·2|1-2</v>
      </c>
      <c r="D201" s="666"/>
      <c r="E201" s="661"/>
      <c r="F201" s="661"/>
      <c r="G201" s="661"/>
      <c r="H201" s="661"/>
      <c r="I201" s="333"/>
      <c r="J201" s="351"/>
      <c r="K201" s="351"/>
      <c r="L201" s="351"/>
      <c r="M201" s="367"/>
      <c r="N201" s="358"/>
    </row>
    <row r="202" spans="1:14" ht="15" customHeight="1">
      <c r="A202" s="665"/>
      <c r="B202" s="342" t="str">
        <f ca="1">CONCATENATE(WORLDCUP!AA122,"-",WORLDCUP!AF122)</f>
        <v>Marruecos-Senegal</v>
      </c>
      <c r="C202" s="332" t="str">
        <f ca="1">CONCATENATE(WORLDCUP!AA122,"-",WORLDCUP!AF122,"·",IF(WORLDCUP!AC122&gt;WORLDCUP!AD122,1,IF(WORLDCUP!AC122&lt;WORLDCUP!AD122,2,IF(AND(WORLDCUP!AC122=WORLDCUP!AD122,WORLDCUP!AC122&lt;&gt;"",WORLDCUP!AD122&lt;&gt;""),"X",0))),"|",WORLDCUP!AC122,"-",WORLDCUP!AD122)</f>
        <v>Marruecos-Senegal·X|1-1</v>
      </c>
      <c r="D202" s="666"/>
      <c r="E202" s="661"/>
      <c r="F202" s="661"/>
      <c r="G202" s="661"/>
      <c r="H202" s="661"/>
      <c r="I202" s="333"/>
      <c r="J202" s="351"/>
      <c r="K202" s="351"/>
      <c r="L202" s="351"/>
      <c r="M202" s="367"/>
      <c r="N202" s="358"/>
    </row>
    <row r="203" spans="1:14" ht="15" customHeight="1">
      <c r="A203" s="665"/>
      <c r="B203" s="342" t="str">
        <f ca="1">CONCATENATE(WORLDCUP!AA123,"-",WORLDCUP!AF123)</f>
        <v>Ecuador-Inglaterra</v>
      </c>
      <c r="C203" s="332" t="str">
        <f ca="1">CONCATENATE(WORLDCUP!AA123,"-",WORLDCUP!AF123,"·",IF(WORLDCUP!AC123&gt;WORLDCUP!AD123,1,IF(WORLDCUP!AC123&lt;WORLDCUP!AD123,2,IF(AND(WORLDCUP!AC123=WORLDCUP!AD123,WORLDCUP!AC123&lt;&gt;"",WORLDCUP!AD123&lt;&gt;""),"X",0))),"|",WORLDCUP!AC123,"-",WORLDCUP!AD123)</f>
        <v>Ecuador-Inglaterra·2|0-2</v>
      </c>
      <c r="D203" s="666"/>
      <c r="E203" s="661"/>
      <c r="F203" s="661"/>
      <c r="G203" s="661"/>
      <c r="H203" s="661"/>
      <c r="I203" s="333"/>
      <c r="J203" s="351"/>
      <c r="K203" s="351"/>
      <c r="L203" s="351"/>
      <c r="M203" s="367"/>
      <c r="N203" s="358"/>
    </row>
    <row r="204" spans="1:14" ht="15" customHeight="1">
      <c r="A204" s="665"/>
      <c r="B204" s="342" t="str">
        <f ca="1">CONCATENATE(WORLDCUP!AA124,"-",WORLDCUP!AF124)</f>
        <v>Croacia-España</v>
      </c>
      <c r="C204" s="332" t="str">
        <f ca="1">CONCATENATE(WORLDCUP!AA124,"-",WORLDCUP!AF124,"·",IF(WORLDCUP!AC124&gt;WORLDCUP!AD124,1,IF(WORLDCUP!AC124&lt;WORLDCUP!AD124,2,IF(AND(WORLDCUP!AC124=WORLDCUP!AD124,WORLDCUP!AC124&lt;&gt;"",WORLDCUP!AD124&lt;&gt;""),"X",0))),"|",WORLDCUP!AC124,"-",WORLDCUP!AD124)</f>
        <v>Croacia-España·2|1-2</v>
      </c>
      <c r="D204" s="666"/>
      <c r="E204" s="333"/>
      <c r="F204" s="333"/>
      <c r="G204" s="333"/>
      <c r="H204" s="333"/>
      <c r="I204" s="333"/>
      <c r="J204" s="351"/>
      <c r="K204" s="351"/>
      <c r="L204" s="351"/>
      <c r="M204" s="367"/>
      <c r="N204" s="358"/>
    </row>
    <row r="205" spans="1:14" ht="15" customHeight="1">
      <c r="A205" s="665"/>
      <c r="B205" s="342" t="str">
        <f ca="1">CONCATENATE(WORLDCUP!AA125,"-",WORLDCUP!AF125)</f>
        <v>Turquía-Bélgica</v>
      </c>
      <c r="C205" s="332" t="str">
        <f ca="1">CONCATENATE(WORLDCUP!AA125,"-",WORLDCUP!AF125,"·",IF(WORLDCUP!AC125&gt;WORLDCUP!AD125,1,IF(WORLDCUP!AC125&lt;WORLDCUP!AD125,2,IF(AND(WORLDCUP!AC125=WORLDCUP!AD125,WORLDCUP!AC125&lt;&gt;"",WORLDCUP!AD125&lt;&gt;""),"X",0))),"|",WORLDCUP!AC125,"-",WORLDCUP!AD125)</f>
        <v>Turquía-Bélgica·2|1-2</v>
      </c>
      <c r="D205" s="666"/>
      <c r="E205" s="333"/>
      <c r="F205" s="333"/>
      <c r="G205" s="333"/>
      <c r="H205" s="333"/>
      <c r="I205" s="333"/>
      <c r="J205" s="351"/>
      <c r="K205" s="351"/>
      <c r="L205" s="351"/>
      <c r="M205" s="367"/>
      <c r="N205" s="358"/>
    </row>
    <row r="206" spans="1:14" ht="15" customHeight="1">
      <c r="A206" s="665"/>
      <c r="B206" s="342" t="str">
        <f ca="1">CONCATENATE(WORLDCUP!AA126,"-",WORLDCUP!AF126)</f>
        <v>Argentina-Estados Unidos</v>
      </c>
      <c r="C206" s="332" t="str">
        <f ca="1">CONCATENATE(WORLDCUP!AA126,"-",WORLDCUP!AF126,"·",IF(WORLDCUP!AC126&gt;WORLDCUP!AD126,1,IF(WORLDCUP!AC126&lt;WORLDCUP!AD126,2,IF(AND(WORLDCUP!AC126=WORLDCUP!AD126,WORLDCUP!AC126&lt;&gt;"",WORLDCUP!AD126&lt;&gt;""),"X",0))),"|",WORLDCUP!AC126,"-",WORLDCUP!AD126)</f>
        <v>Argentina-Estados Unidos·1|2-0</v>
      </c>
      <c r="D206" s="666"/>
      <c r="E206" s="333"/>
      <c r="F206" s="333"/>
      <c r="G206" s="333"/>
      <c r="H206" s="333"/>
      <c r="I206" s="333"/>
      <c r="J206" s="351"/>
      <c r="K206" s="351"/>
      <c r="L206" s="351"/>
      <c r="M206" s="367"/>
      <c r="N206" s="358"/>
    </row>
    <row r="207" spans="1:14" ht="15" customHeight="1">
      <c r="A207" s="665"/>
      <c r="B207" s="342" t="str">
        <f ca="1">CONCATENATE(WORLDCUP!AA127,"-",WORLDCUP!AF127)</f>
        <v>Suiza-Portugal</v>
      </c>
      <c r="C207" s="332" t="str">
        <f ca="1">CONCATENATE(WORLDCUP!AA127,"-",WORLDCUP!AF127,"·",IF(WORLDCUP!AC127&gt;WORLDCUP!AD127,1,IF(WORLDCUP!AC127&lt;WORLDCUP!AD127,2,IF(AND(WORLDCUP!AC127=WORLDCUP!AD127,WORLDCUP!AC127&lt;&gt;"",WORLDCUP!AD127&lt;&gt;""),"X",0))),"|",WORLDCUP!AC127,"-",WORLDCUP!AD127)</f>
        <v>Suiza-Portugal·2|0-2</v>
      </c>
      <c r="D207" s="666"/>
      <c r="E207" s="333"/>
      <c r="F207" s="333"/>
      <c r="G207" s="333"/>
      <c r="H207" s="333"/>
      <c r="I207" s="333"/>
      <c r="J207" s="351"/>
      <c r="K207" s="351"/>
      <c r="L207" s="351"/>
      <c r="M207" s="367"/>
      <c r="N207" s="358"/>
    </row>
    <row r="208" spans="1:14" ht="15" customHeight="1">
      <c r="A208" s="334"/>
      <c r="B208" s="334"/>
      <c r="C208" s="331"/>
      <c r="D208" s="666"/>
      <c r="E208" s="351"/>
      <c r="F208" s="351"/>
      <c r="G208" s="351"/>
      <c r="H208" s="351"/>
      <c r="I208" s="333"/>
      <c r="J208" s="351"/>
      <c r="K208" s="351"/>
      <c r="L208" s="351"/>
      <c r="M208" s="367"/>
      <c r="N208" s="358"/>
    </row>
    <row r="209" spans="1:14" ht="19" customHeight="1">
      <c r="A209" s="334"/>
      <c r="B209" s="339" t="str">
        <f>Idiomas!D131</f>
        <v>CLASIFICADOS PARA CUARTOS</v>
      </c>
      <c r="C209" s="331"/>
      <c r="D209" s="666"/>
      <c r="E209" s="351"/>
      <c r="F209" s="351"/>
      <c r="G209" s="351"/>
      <c r="H209" s="351"/>
      <c r="I209" s="333"/>
      <c r="J209" s="351"/>
      <c r="K209" s="351"/>
      <c r="L209" s="351"/>
      <c r="M209" s="367"/>
      <c r="N209" s="358"/>
    </row>
    <row r="210" spans="1:14" ht="15" customHeight="1">
      <c r="A210" s="665" t="s">
        <v>36</v>
      </c>
      <c r="B210" s="341" t="str">
        <f>Idiomas!$D$190</f>
        <v>Cuartofinalista</v>
      </c>
      <c r="C210" s="330" t="str">
        <f ca="1">WORLDCUP!AA131</f>
        <v>Francia</v>
      </c>
      <c r="D210" s="666"/>
      <c r="E210" s="351"/>
      <c r="F210" s="351"/>
      <c r="G210" s="351"/>
      <c r="H210" s="351"/>
      <c r="I210" s="333"/>
      <c r="J210" s="351"/>
      <c r="K210" s="351"/>
      <c r="L210" s="351"/>
      <c r="M210" s="367"/>
      <c r="N210" s="358"/>
    </row>
    <row r="211" spans="1:14" ht="15" customHeight="1">
      <c r="A211" s="665"/>
      <c r="B211" s="341" t="str">
        <f>B210</f>
        <v>Cuartofinalista</v>
      </c>
      <c r="C211" s="330" t="str">
        <f ca="1">WORLDCUP!AA132</f>
        <v>España</v>
      </c>
      <c r="D211" s="666"/>
      <c r="E211" s="351"/>
      <c r="F211" s="351"/>
      <c r="G211" s="351"/>
      <c r="H211" s="351"/>
      <c r="I211" s="333"/>
      <c r="J211" s="351"/>
      <c r="K211" s="351"/>
      <c r="L211" s="351"/>
      <c r="M211" s="367"/>
      <c r="N211" s="358"/>
    </row>
    <row r="212" spans="1:14" ht="15" customHeight="1">
      <c r="A212" s="665"/>
      <c r="B212" s="341" t="str">
        <f t="shared" ref="B212:B217" si="3">B211</f>
        <v>Cuartofinalista</v>
      </c>
      <c r="C212" s="330" t="str">
        <f ca="1">WORLDCUP!AA133</f>
        <v>Senegal</v>
      </c>
      <c r="D212" s="666"/>
      <c r="E212" s="351"/>
      <c r="F212" s="351"/>
      <c r="G212" s="351"/>
      <c r="H212" s="351"/>
      <c r="I212" s="333"/>
      <c r="J212" s="351"/>
      <c r="K212" s="351"/>
      <c r="L212" s="351"/>
      <c r="M212" s="367"/>
      <c r="N212" s="358"/>
    </row>
    <row r="213" spans="1:14" ht="15" customHeight="1">
      <c r="A213" s="665"/>
      <c r="B213" s="341" t="str">
        <f t="shared" si="3"/>
        <v>Cuartofinalista</v>
      </c>
      <c r="C213" s="330" t="str">
        <f ca="1">WORLDCUP!AA134</f>
        <v>Argentina</v>
      </c>
      <c r="D213" s="666"/>
      <c r="E213" s="351"/>
      <c r="F213" s="351"/>
      <c r="G213" s="351"/>
      <c r="H213" s="351"/>
      <c r="I213" s="333"/>
      <c r="J213" s="351"/>
      <c r="K213" s="351"/>
      <c r="L213" s="351"/>
      <c r="M213" s="367"/>
      <c r="N213" s="358"/>
    </row>
    <row r="214" spans="1:14" ht="15" customHeight="1">
      <c r="A214" s="665"/>
      <c r="B214" s="341" t="str">
        <f t="shared" si="3"/>
        <v>Cuartofinalista</v>
      </c>
      <c r="C214" s="330" t="str">
        <f ca="1">WORLDCUP!AF131</f>
        <v>Japón</v>
      </c>
      <c r="D214" s="666"/>
      <c r="E214" s="351"/>
      <c r="F214" s="351"/>
      <c r="G214" s="351"/>
      <c r="H214" s="351"/>
      <c r="I214" s="333"/>
      <c r="J214" s="351"/>
      <c r="K214" s="351"/>
      <c r="L214" s="351"/>
      <c r="M214" s="367"/>
      <c r="N214" s="358"/>
    </row>
    <row r="215" spans="1:14" ht="15" customHeight="1">
      <c r="A215" s="665"/>
      <c r="B215" s="341" t="str">
        <f t="shared" si="3"/>
        <v>Cuartofinalista</v>
      </c>
      <c r="C215" s="330" t="str">
        <f ca="1">WORLDCUP!AF132</f>
        <v>Bélgica</v>
      </c>
      <c r="D215" s="666"/>
      <c r="E215" s="351"/>
      <c r="F215" s="351"/>
      <c r="G215" s="351"/>
      <c r="H215" s="351"/>
      <c r="I215" s="333"/>
      <c r="J215" s="351"/>
      <c r="K215" s="351"/>
      <c r="L215" s="351"/>
      <c r="M215" s="367"/>
      <c r="N215" s="358"/>
    </row>
    <row r="216" spans="1:14" ht="15" customHeight="1">
      <c r="A216" s="665"/>
      <c r="B216" s="341" t="str">
        <f t="shared" si="3"/>
        <v>Cuartofinalista</v>
      </c>
      <c r="C216" s="330" t="str">
        <f ca="1">WORLDCUP!AF133</f>
        <v>Inglaterra</v>
      </c>
      <c r="D216" s="666"/>
      <c r="E216" s="351"/>
      <c r="F216" s="351"/>
      <c r="G216" s="351"/>
      <c r="H216" s="351"/>
      <c r="I216" s="333"/>
      <c r="J216" s="351"/>
      <c r="K216" s="351"/>
      <c r="L216" s="351"/>
      <c r="M216" s="367"/>
      <c r="N216" s="358"/>
    </row>
    <row r="217" spans="1:14" ht="15" customHeight="1">
      <c r="A217" s="665"/>
      <c r="B217" s="341" t="str">
        <f t="shared" si="3"/>
        <v>Cuartofinalista</v>
      </c>
      <c r="C217" s="330" t="str">
        <f ca="1">WORLDCUP!AF134</f>
        <v>Portugal</v>
      </c>
      <c r="D217" s="666"/>
      <c r="E217" s="354"/>
      <c r="F217" s="354"/>
      <c r="G217" s="354"/>
      <c r="H217" s="354"/>
      <c r="I217" s="333"/>
      <c r="J217" s="351"/>
      <c r="K217" s="351"/>
      <c r="L217" s="351"/>
      <c r="M217" s="367"/>
      <c r="N217" s="358"/>
    </row>
    <row r="218" spans="1:14">
      <c r="A218" s="334"/>
      <c r="B218" s="334"/>
      <c r="C218" s="331"/>
      <c r="D218" s="351"/>
      <c r="E218" s="351"/>
      <c r="F218" s="351"/>
      <c r="G218" s="351"/>
      <c r="H218" s="351"/>
      <c r="I218" s="368"/>
      <c r="J218" s="351"/>
      <c r="K218" s="351"/>
      <c r="L218" s="351"/>
      <c r="M218" s="367"/>
      <c r="N218" s="358"/>
    </row>
    <row r="219" spans="1:14" ht="18.5">
      <c r="A219" s="334"/>
      <c r="B219" s="339" t="str">
        <f>Idiomas!D132</f>
        <v>ENFRENTAMIENTOS CUARTOS</v>
      </c>
      <c r="C219" s="331"/>
      <c r="D219" s="351"/>
      <c r="E219" s="351"/>
      <c r="F219" s="351"/>
      <c r="G219" s="351"/>
      <c r="H219" s="351"/>
      <c r="I219" s="369"/>
      <c r="J219" s="351"/>
      <c r="K219" s="351"/>
      <c r="L219" s="351"/>
      <c r="M219" s="367"/>
      <c r="N219" s="358"/>
    </row>
    <row r="220" spans="1:14" ht="15" customHeight="1">
      <c r="A220" s="665" t="s">
        <v>36</v>
      </c>
      <c r="B220" s="341" t="str">
        <f ca="1">CONCATENATE(WORLDCUP!AA131,"-",WORLDCUP!AF131)</f>
        <v>Francia-Japón</v>
      </c>
      <c r="C220" s="330" t="str">
        <f ca="1">CONCATENATE(WORLDCUP!AA131,"-",WORLDCUP!AF131,"·",IF(WORLDCUP!AC131&gt;WORLDCUP!AD131,1,IF(WORLDCUP!AC131&lt;WORLDCUP!AD131,2,IF(AND(WORLDCUP!AC131=WORLDCUP!AD131,WORLDCUP!AC131&lt;&gt;"",WORLDCUP!AD131&lt;&gt;""),"X",0))),"|",WORLDCUP!AC131,"-",WORLDCUP!AD131)</f>
        <v>Francia-Japón·1|2-1</v>
      </c>
      <c r="D220" s="667" t="s">
        <v>36</v>
      </c>
      <c r="E220" s="661" t="str">
        <f>Idiomas!D117</f>
        <v>·Para los cuartos de final copiar de la C220 a la C229 y pega valores en la plantilla de administrador.</v>
      </c>
      <c r="F220" s="661"/>
      <c r="G220" s="661"/>
      <c r="H220" s="661"/>
      <c r="I220" s="333"/>
      <c r="J220" s="351"/>
      <c r="K220" s="351"/>
      <c r="L220" s="351"/>
      <c r="M220" s="367"/>
      <c r="N220" s="358"/>
    </row>
    <row r="221" spans="1:14" ht="15" customHeight="1">
      <c r="A221" s="665"/>
      <c r="B221" s="341" t="str">
        <f ca="1">CONCATENATE(WORLDCUP!AA132,"-",WORLDCUP!AF132)</f>
        <v>España-Bélgica</v>
      </c>
      <c r="C221" s="330" t="str">
        <f ca="1">CONCATENATE(WORLDCUP!AA132,"-",WORLDCUP!AF132,"·",IF(WORLDCUP!AC132&gt;WORLDCUP!AD132,1,IF(WORLDCUP!AC132&lt;WORLDCUP!AD132,2,IF(AND(WORLDCUP!AC132=WORLDCUP!AD132,WORLDCUP!AC132&lt;&gt;"",WORLDCUP!AD132&lt;&gt;""),"X",0))),"|",WORLDCUP!AC132,"-",WORLDCUP!AD132)</f>
        <v>España-Bélgica·1|2-1</v>
      </c>
      <c r="D221" s="667"/>
      <c r="E221" s="661"/>
      <c r="F221" s="661"/>
      <c r="G221" s="661"/>
      <c r="H221" s="661"/>
      <c r="I221" s="333"/>
      <c r="J221" s="351"/>
      <c r="K221" s="351"/>
      <c r="L221" s="351"/>
      <c r="M221" s="367"/>
      <c r="N221" s="358"/>
    </row>
    <row r="222" spans="1:14" ht="15" customHeight="1">
      <c r="A222" s="665"/>
      <c r="B222" s="341" t="str">
        <f ca="1">CONCATENATE(WORLDCUP!AA133,"-",WORLDCUP!AF133)</f>
        <v>Senegal-Inglaterra</v>
      </c>
      <c r="C222" s="330" t="str">
        <f ca="1">CONCATENATE(WORLDCUP!AA133,"-",WORLDCUP!AF133,"·",IF(WORLDCUP!AC133&gt;WORLDCUP!AD133,1,IF(WORLDCUP!AC133&lt;WORLDCUP!AD133,2,IF(AND(WORLDCUP!AC133=WORLDCUP!AD133,WORLDCUP!AC133&lt;&gt;"",WORLDCUP!AD133&lt;&gt;""),"X",0))),"|",WORLDCUP!AC133,"-",WORLDCUP!AD133)</f>
        <v>Senegal-Inglaterra·2|0-2</v>
      </c>
      <c r="D222" s="667"/>
      <c r="E222" s="661"/>
      <c r="F222" s="661"/>
      <c r="G222" s="661"/>
      <c r="H222" s="661"/>
      <c r="I222" s="333"/>
      <c r="J222" s="351"/>
      <c r="K222" s="351"/>
      <c r="L222" s="351"/>
      <c r="M222" s="367"/>
      <c r="N222" s="358"/>
    </row>
    <row r="223" spans="1:14" ht="15" customHeight="1">
      <c r="A223" s="665"/>
      <c r="B223" s="341" t="str">
        <f ca="1">CONCATENATE(WORLDCUP!AA134,"-",WORLDCUP!AF134)</f>
        <v>Argentina-Portugal</v>
      </c>
      <c r="C223" s="330" t="str">
        <f ca="1">CONCATENATE(WORLDCUP!AA134,"-",WORLDCUP!AF134,"·",IF(WORLDCUP!AC134&gt;WORLDCUP!AD134,1,IF(WORLDCUP!AC134&lt;WORLDCUP!AD134,2,IF(AND(WORLDCUP!AC134=WORLDCUP!AD134,WORLDCUP!AC134&lt;&gt;"",WORLDCUP!AD134&lt;&gt;""),"X",0))),"|",WORLDCUP!AC134,"-",WORLDCUP!AD134)</f>
        <v>Argentina-Portugal·2|1-2</v>
      </c>
      <c r="D223" s="667"/>
      <c r="E223" s="661"/>
      <c r="F223" s="661"/>
      <c r="G223" s="661"/>
      <c r="H223" s="661"/>
      <c r="I223" s="333"/>
      <c r="J223" s="351"/>
      <c r="K223" s="351"/>
      <c r="L223" s="351"/>
      <c r="M223" s="367"/>
      <c r="N223" s="358"/>
    </row>
    <row r="224" spans="1:14">
      <c r="A224" s="334"/>
      <c r="B224" s="334"/>
      <c r="C224" s="331"/>
      <c r="D224" s="667"/>
      <c r="E224" s="333"/>
      <c r="F224" s="333"/>
      <c r="G224" s="333"/>
      <c r="H224" s="333"/>
      <c r="I224" s="333"/>
      <c r="J224" s="351"/>
      <c r="K224" s="351"/>
      <c r="L224" s="351"/>
      <c r="M224" s="367"/>
      <c r="N224" s="358"/>
    </row>
    <row r="225" spans="1:14" ht="18.5">
      <c r="A225" s="334"/>
      <c r="B225" s="339" t="str">
        <f>Idiomas!D133</f>
        <v>CLASIFICADOS PARA SEMIFINALES</v>
      </c>
      <c r="C225" s="331"/>
      <c r="D225" s="667"/>
      <c r="E225" s="351"/>
      <c r="F225" s="351"/>
      <c r="G225" s="351"/>
      <c r="H225" s="351"/>
      <c r="I225" s="333"/>
      <c r="J225" s="351"/>
      <c r="K225" s="351"/>
      <c r="L225" s="351"/>
      <c r="M225" s="367"/>
      <c r="N225" s="358"/>
    </row>
    <row r="226" spans="1:14" ht="15" customHeight="1">
      <c r="A226" s="665" t="s">
        <v>37</v>
      </c>
      <c r="B226" s="341" t="str">
        <f>Idiomas!$D$191</f>
        <v>Semifinalista</v>
      </c>
      <c r="C226" s="330" t="str">
        <f ca="1">WORLDCUP!AA138</f>
        <v>Francia</v>
      </c>
      <c r="D226" s="667"/>
      <c r="E226" s="351"/>
      <c r="F226" s="351"/>
      <c r="G226" s="351"/>
      <c r="H226" s="351"/>
      <c r="I226" s="333"/>
      <c r="J226" s="351"/>
      <c r="K226" s="351"/>
      <c r="L226" s="351"/>
      <c r="M226" s="367"/>
      <c r="N226" s="358"/>
    </row>
    <row r="227" spans="1:14" ht="15" customHeight="1">
      <c r="A227" s="665"/>
      <c r="B227" s="341" t="str">
        <f>Idiomas!$D$191</f>
        <v>Semifinalista</v>
      </c>
      <c r="C227" s="330" t="str">
        <f ca="1">WORLDCUP!AA139</f>
        <v>Inglaterra</v>
      </c>
      <c r="D227" s="667"/>
      <c r="E227" s="351"/>
      <c r="F227" s="351"/>
      <c r="G227" s="351"/>
      <c r="H227" s="351"/>
      <c r="I227" s="333"/>
      <c r="J227" s="351"/>
      <c r="K227" s="351"/>
      <c r="L227" s="351"/>
      <c r="M227" s="367"/>
      <c r="N227" s="358"/>
    </row>
    <row r="228" spans="1:14" ht="15" customHeight="1">
      <c r="A228" s="665"/>
      <c r="B228" s="341" t="str">
        <f>Idiomas!$D$191</f>
        <v>Semifinalista</v>
      </c>
      <c r="C228" s="330" t="str">
        <f ca="1">WORLDCUP!AF138</f>
        <v>España</v>
      </c>
      <c r="D228" s="667"/>
      <c r="E228" s="351"/>
      <c r="F228" s="351"/>
      <c r="G228" s="351"/>
      <c r="H228" s="351"/>
      <c r="I228" s="333"/>
      <c r="J228" s="351"/>
      <c r="K228" s="351"/>
      <c r="L228" s="351"/>
      <c r="M228" s="367"/>
      <c r="N228" s="358"/>
    </row>
    <row r="229" spans="1:14" ht="15" customHeight="1">
      <c r="A229" s="665"/>
      <c r="B229" s="341" t="str">
        <f>Idiomas!$D$191</f>
        <v>Semifinalista</v>
      </c>
      <c r="C229" s="330" t="str">
        <f ca="1">WORLDCUP!AF139</f>
        <v>Portugal</v>
      </c>
      <c r="D229" s="667"/>
      <c r="E229" s="354"/>
      <c r="F229" s="354"/>
      <c r="G229" s="354"/>
      <c r="H229" s="354"/>
      <c r="I229" s="333"/>
      <c r="J229" s="351"/>
      <c r="K229" s="351"/>
      <c r="L229" s="351"/>
      <c r="M229" s="367"/>
      <c r="N229" s="358"/>
    </row>
    <row r="230" spans="1:14">
      <c r="A230" s="334"/>
      <c r="B230" s="334"/>
      <c r="C230" s="331"/>
      <c r="D230" s="351"/>
      <c r="E230" s="351"/>
      <c r="F230" s="351"/>
      <c r="G230" s="351"/>
      <c r="H230" s="351"/>
      <c r="I230" s="369"/>
      <c r="J230" s="351"/>
      <c r="K230" s="351"/>
      <c r="L230" s="351"/>
      <c r="M230" s="367"/>
      <c r="N230" s="358"/>
    </row>
    <row r="231" spans="1:14" ht="19" customHeight="1">
      <c r="A231" s="334"/>
      <c r="B231" s="339" t="str">
        <f>Idiomas!D134</f>
        <v>ENFRENTAMIENTOS SEMIFINALES</v>
      </c>
      <c r="C231" s="331"/>
      <c r="D231" s="351"/>
      <c r="E231" s="351"/>
      <c r="F231" s="351"/>
      <c r="G231" s="351"/>
      <c r="H231" s="351"/>
      <c r="I231" s="369"/>
      <c r="J231" s="351"/>
      <c r="K231" s="351"/>
      <c r="L231" s="351"/>
      <c r="M231" s="367"/>
      <c r="N231" s="358"/>
    </row>
    <row r="232" spans="1:14" ht="15" customHeight="1">
      <c r="A232" s="663" t="s">
        <v>37</v>
      </c>
      <c r="B232" s="341" t="str">
        <f ca="1">CONCATENATE(WORLDCUP!AA138,"-",WORLDCUP!AF138)</f>
        <v>Francia-España</v>
      </c>
      <c r="C232" s="332" t="str">
        <f ca="1">CONCATENATE(WORLDCUP!AA138,"-",WORLDCUP!AF138,"·",IF(WORLDCUP!AC138&gt;WORLDCUP!AD138,1,IF(WORLDCUP!AC138&lt;WORLDCUP!AD138,2,IF(AND(WORLDCUP!AC138=WORLDCUP!AD138,WORLDCUP!AC138&lt;&gt;"",WORLDCUP!AD138&lt;&gt;""),"X",0))),"|",WORLDCUP!AC138,"-",WORLDCUP!AD138)</f>
        <v>Francia-España·X|2-2</v>
      </c>
      <c r="D232" s="666" t="s">
        <v>37</v>
      </c>
      <c r="E232" s="661" t="str">
        <f>Idiomas!D118</f>
        <v>·Para las semifinales copiar de la C232 a la C241 y pega valores en la plantilla de administrador.</v>
      </c>
      <c r="F232" s="661"/>
      <c r="G232" s="661"/>
      <c r="H232" s="661"/>
      <c r="I232" s="333"/>
      <c r="J232" s="351"/>
      <c r="K232" s="351"/>
      <c r="L232" s="351"/>
      <c r="M232" s="367"/>
      <c r="N232" s="358"/>
    </row>
    <row r="233" spans="1:14" ht="15" customHeight="1">
      <c r="A233" s="663"/>
      <c r="B233" s="341" t="str">
        <f ca="1">CONCATENATE(WORLDCUP!AA139,"-",WORLDCUP!AF139)</f>
        <v>Inglaterra-Portugal</v>
      </c>
      <c r="C233" s="332" t="str">
        <f ca="1">CONCATENATE(WORLDCUP!AA139,"-",WORLDCUP!AF139,"·",IF(WORLDCUP!AC139&gt;WORLDCUP!AD139,1,IF(WORLDCUP!AC139&lt;WORLDCUP!AD139,2,IF(AND(WORLDCUP!AC139=WORLDCUP!AD139,WORLDCUP!AC139&lt;&gt;"",WORLDCUP!AD139&lt;&gt;""),"X",0))),"|",WORLDCUP!AC139,"-",WORLDCUP!AD139)</f>
        <v>Inglaterra-Portugal·2|1-2</v>
      </c>
      <c r="D233" s="666"/>
      <c r="E233" s="661"/>
      <c r="F233" s="661"/>
      <c r="G233" s="661"/>
      <c r="H233" s="661"/>
      <c r="I233" s="333"/>
      <c r="J233" s="351"/>
      <c r="K233" s="351"/>
      <c r="L233" s="351"/>
      <c r="M233" s="367"/>
      <c r="N233" s="358"/>
    </row>
    <row r="234" spans="1:14" ht="15" customHeight="1">
      <c r="A234" s="334"/>
      <c r="B234" s="334"/>
      <c r="C234" s="331"/>
      <c r="D234" s="666"/>
      <c r="E234" s="661"/>
      <c r="F234" s="661"/>
      <c r="G234" s="661"/>
      <c r="H234" s="661"/>
      <c r="I234" s="333"/>
      <c r="J234" s="351"/>
      <c r="K234" s="351"/>
      <c r="L234" s="351"/>
      <c r="M234" s="367"/>
      <c r="N234" s="358"/>
    </row>
    <row r="235" spans="1:14" ht="18.5">
      <c r="A235" s="334"/>
      <c r="B235" s="339" t="str">
        <f>Idiomas!D135</f>
        <v>CLASIFICADOS PARA EL 3º y 4º PUESTO</v>
      </c>
      <c r="C235" s="331"/>
      <c r="D235" s="666"/>
      <c r="E235" s="661"/>
      <c r="F235" s="661"/>
      <c r="G235" s="661"/>
      <c r="H235" s="661"/>
      <c r="I235" s="333"/>
      <c r="J235" s="351"/>
      <c r="K235" s="351"/>
      <c r="L235" s="351"/>
      <c r="M235" s="367"/>
      <c r="N235" s="358"/>
    </row>
    <row r="236" spans="1:14" ht="15" customHeight="1">
      <c r="A236" s="663" t="s">
        <v>503</v>
      </c>
      <c r="B236" s="341" t="str">
        <f>Idiomas!D192</f>
        <v>3º y 4º puesto</v>
      </c>
      <c r="C236" s="330" t="str">
        <f ca="1">WORLDCUP!AA143</f>
        <v>Francia</v>
      </c>
      <c r="D236" s="666"/>
      <c r="E236" s="355"/>
      <c r="F236" s="355"/>
      <c r="G236" s="355"/>
      <c r="H236" s="355"/>
      <c r="I236" s="333"/>
      <c r="J236" s="351"/>
      <c r="K236" s="351"/>
      <c r="L236" s="351"/>
      <c r="M236" s="367"/>
      <c r="N236" s="358"/>
    </row>
    <row r="237" spans="1:14" ht="15" customHeight="1">
      <c r="A237" s="663"/>
      <c r="B237" s="341" t="str">
        <f>Idiomas!D192</f>
        <v>3º y 4º puesto</v>
      </c>
      <c r="C237" s="330" t="str">
        <f ca="1">WORLDCUP!AF143</f>
        <v>Inglaterra</v>
      </c>
      <c r="D237" s="666"/>
      <c r="E237" s="355"/>
      <c r="F237" s="355"/>
      <c r="G237" s="355"/>
      <c r="H237" s="355"/>
      <c r="I237" s="333"/>
      <c r="J237" s="351"/>
      <c r="K237" s="351"/>
      <c r="L237" s="351"/>
      <c r="M237" s="367"/>
      <c r="N237" s="358"/>
    </row>
    <row r="238" spans="1:14" ht="15" customHeight="1">
      <c r="A238" s="334"/>
      <c r="B238" s="334"/>
      <c r="C238" s="331"/>
      <c r="D238" s="666"/>
      <c r="E238" s="355"/>
      <c r="F238" s="355"/>
      <c r="G238" s="355"/>
      <c r="H238" s="355"/>
      <c r="I238" s="333"/>
      <c r="J238" s="351"/>
      <c r="K238" s="351"/>
      <c r="L238" s="351"/>
      <c r="M238" s="367"/>
      <c r="N238" s="358"/>
    </row>
    <row r="239" spans="1:14" ht="19" customHeight="1">
      <c r="A239" s="334"/>
      <c r="B239" s="339" t="str">
        <f>Idiomas!D136</f>
        <v>CLASIFICADOS PARA LA FINAL</v>
      </c>
      <c r="C239" s="331"/>
      <c r="D239" s="666"/>
      <c r="E239" s="355"/>
      <c r="F239" s="355"/>
      <c r="G239" s="355"/>
      <c r="H239" s="355"/>
      <c r="I239" s="333"/>
      <c r="J239" s="351"/>
      <c r="K239" s="351"/>
      <c r="L239" s="351"/>
      <c r="M239" s="367"/>
      <c r="N239" s="358"/>
    </row>
    <row r="240" spans="1:14" ht="15" customHeight="1">
      <c r="A240" s="663" t="s">
        <v>4</v>
      </c>
      <c r="B240" s="341" t="str">
        <f>Idiomas!D193</f>
        <v>Finalista</v>
      </c>
      <c r="C240" s="330" t="str">
        <f ca="1">WORLDCUP!AA147</f>
        <v>España</v>
      </c>
      <c r="D240" s="666"/>
      <c r="E240" s="351"/>
      <c r="F240" s="351"/>
      <c r="G240" s="351"/>
      <c r="H240" s="351"/>
      <c r="I240" s="333"/>
      <c r="J240" s="351"/>
      <c r="K240" s="351"/>
      <c r="L240" s="351"/>
      <c r="M240" s="367"/>
      <c r="N240" s="358"/>
    </row>
    <row r="241" spans="1:14" ht="15" customHeight="1">
      <c r="A241" s="663"/>
      <c r="B241" s="341" t="str">
        <f>B240</f>
        <v>Finalista</v>
      </c>
      <c r="C241" s="330" t="str">
        <f ca="1">WORLDCUP!AF147</f>
        <v>Portugal</v>
      </c>
      <c r="D241" s="666"/>
      <c r="E241" s="356"/>
      <c r="F241" s="356"/>
      <c r="G241" s="356"/>
      <c r="H241" s="370"/>
      <c r="I241" s="371"/>
      <c r="J241" s="351"/>
      <c r="K241" s="351"/>
      <c r="L241" s="351"/>
      <c r="M241" s="367"/>
      <c r="N241" s="358"/>
    </row>
    <row r="242" spans="1:14">
      <c r="A242" s="334"/>
      <c r="B242" s="334"/>
      <c r="C242" s="331"/>
      <c r="D242" s="351"/>
      <c r="E242" s="351"/>
      <c r="F242" s="351"/>
      <c r="G242" s="351"/>
      <c r="H242" s="351"/>
      <c r="I242" s="368"/>
      <c r="J242" s="351"/>
      <c r="K242" s="351"/>
      <c r="L242" s="351"/>
      <c r="M242" s="367"/>
      <c r="N242" s="358"/>
    </row>
    <row r="243" spans="1:14" ht="18.5">
      <c r="A243" s="334"/>
      <c r="B243" s="339" t="str">
        <f>Idiomas!D137</f>
        <v>3º-4º puesto</v>
      </c>
      <c r="C243" s="331"/>
      <c r="D243" s="351"/>
      <c r="E243" s="351"/>
      <c r="F243" s="351"/>
      <c r="G243" s="351"/>
      <c r="H243" s="351"/>
      <c r="I243" s="369"/>
      <c r="J243" s="351"/>
      <c r="K243" s="351"/>
      <c r="L243" s="351"/>
      <c r="M243" s="367"/>
      <c r="N243" s="358"/>
    </row>
    <row r="244" spans="1:14" ht="15" customHeight="1">
      <c r="A244" s="343" t="s">
        <v>503</v>
      </c>
      <c r="B244" s="341" t="str">
        <f ca="1">CONCATENATE(WORLDCUP!AA143,"-",WORLDCUP!AF143)</f>
        <v>Francia-Inglaterra</v>
      </c>
      <c r="C244" s="330" t="str">
        <f ca="1">CONCATENATE(WORLDCUP!AA143,"-",WORLDCUP!AF143,"·",IF(WORLDCUP!AC143&gt;WORLDCUP!AD143,1,IF(WORLDCUP!AC143&lt;WORLDCUP!AD143,2,IF(AND(WORLDCUP!AC143=WORLDCUP!AD143,WORLDCUP!AC143&lt;&gt;"",WORLDCUP!AD143&lt;&gt;""),"X",0))),"|",WORLDCUP!AC143,"-",WORLDCUP!AD143)</f>
        <v>Francia-Inglaterra·2|1-2</v>
      </c>
      <c r="D244" s="664" t="s">
        <v>583</v>
      </c>
      <c r="E244" s="662" t="str">
        <f>Idiomas!D119</f>
        <v>·Para el 3º y 4º puesto y la Final copiar de la C244 a la C252 y pega valores en la plantilla de administrador.</v>
      </c>
      <c r="F244" s="662"/>
      <c r="G244" s="662"/>
      <c r="H244" s="662"/>
      <c r="I244" s="362"/>
      <c r="J244" s="351"/>
      <c r="K244" s="351"/>
      <c r="L244" s="351"/>
      <c r="M244" s="367"/>
      <c r="N244" s="358"/>
    </row>
    <row r="245" spans="1:14" ht="15" customHeight="1">
      <c r="A245" s="334"/>
      <c r="B245" s="334"/>
      <c r="C245" s="331"/>
      <c r="D245" s="664"/>
      <c r="E245" s="662"/>
      <c r="F245" s="662"/>
      <c r="G245" s="662"/>
      <c r="H245" s="662"/>
      <c r="I245" s="362"/>
      <c r="J245" s="351"/>
      <c r="K245" s="351"/>
      <c r="L245" s="351"/>
      <c r="M245" s="367"/>
      <c r="N245" s="358"/>
    </row>
    <row r="246" spans="1:14" ht="21" customHeight="1">
      <c r="A246" s="334"/>
      <c r="B246" s="339" t="str">
        <f>Idiomas!D138</f>
        <v>ENFRENTAMIENTO FINAL</v>
      </c>
      <c r="C246" s="331"/>
      <c r="D246" s="664"/>
      <c r="E246" s="662"/>
      <c r="F246" s="662"/>
      <c r="G246" s="662"/>
      <c r="H246" s="662"/>
      <c r="I246" s="362"/>
      <c r="J246" s="351"/>
      <c r="K246" s="351"/>
      <c r="L246" s="351"/>
      <c r="M246" s="367"/>
      <c r="N246" s="358"/>
    </row>
    <row r="247" spans="1:14" ht="15" customHeight="1">
      <c r="A247" s="343" t="s">
        <v>4</v>
      </c>
      <c r="B247" s="341" t="str">
        <f ca="1">CONCATENATE(WORLDCUP!AA147,"-",WORLDCUP!AF147)</f>
        <v>España-Portugal</v>
      </c>
      <c r="C247" s="332" t="str">
        <f ca="1">CONCATENATE(WORLDCUP!AA147,"-",WORLDCUP!AF147,"·",IF(WORLDCUP!AC147&gt;WORLDCUP!AD147,1,IF(WORLDCUP!AC147&lt;WORLDCUP!AD147,2,IF(AND(WORLDCUP!AC147=WORLDCUP!AD147,WORLDCUP!AC147&lt;&gt;"",WORLDCUP!AD147&lt;&gt;""),"X",0))),"|",WORLDCUP!AC147,"-",WORLDCUP!AD147)</f>
        <v>España-Portugal·1|2-1</v>
      </c>
      <c r="D247" s="664"/>
      <c r="E247" s="357"/>
      <c r="F247" s="357"/>
      <c r="G247" s="357"/>
      <c r="H247" s="357"/>
      <c r="I247" s="362"/>
      <c r="J247" s="351"/>
      <c r="K247" s="351"/>
      <c r="L247" s="351"/>
      <c r="M247" s="367"/>
      <c r="N247" s="358"/>
    </row>
    <row r="248" spans="1:14" ht="15" customHeight="1">
      <c r="A248" s="334"/>
      <c r="B248" s="334"/>
      <c r="C248" s="331"/>
      <c r="D248" s="664"/>
      <c r="E248" s="355"/>
      <c r="F248" s="355"/>
      <c r="G248" s="355"/>
      <c r="H248" s="355"/>
      <c r="I248" s="362"/>
      <c r="J248" s="351"/>
      <c r="K248" s="351"/>
      <c r="L248" s="351"/>
      <c r="M248" s="367"/>
      <c r="N248" s="358"/>
    </row>
    <row r="249" spans="1:14" ht="19" customHeight="1">
      <c r="A249" s="334"/>
      <c r="B249" s="339" t="str">
        <f>Idiomas!D139</f>
        <v>CUADRO DE HONOR</v>
      </c>
      <c r="C249" s="331"/>
      <c r="D249" s="664"/>
      <c r="E249" s="355"/>
      <c r="F249" s="355"/>
      <c r="G249" s="355"/>
      <c r="H249" s="355"/>
      <c r="I249" s="362"/>
      <c r="J249" s="351"/>
      <c r="K249" s="351"/>
      <c r="L249" s="351"/>
      <c r="M249" s="367"/>
      <c r="N249" s="358"/>
    </row>
    <row r="250" spans="1:14" ht="15" customHeight="1">
      <c r="A250" s="344"/>
      <c r="B250" s="341" t="str">
        <f>WORLDCUP!W150</f>
        <v>🥇Campeón</v>
      </c>
      <c r="C250" s="330" t="str">
        <f ca="1">WORLDCUP!AA150</f>
        <v>España</v>
      </c>
      <c r="D250" s="664"/>
      <c r="E250" s="355"/>
      <c r="F250" s="355"/>
      <c r="G250" s="355"/>
      <c r="H250" s="355"/>
      <c r="I250" s="362"/>
      <c r="J250" s="351"/>
      <c r="K250" s="351"/>
      <c r="L250" s="351"/>
      <c r="M250" s="367"/>
      <c r="N250" s="358"/>
    </row>
    <row r="251" spans="1:14" ht="15" customHeight="1">
      <c r="A251" s="345"/>
      <c r="B251" s="341" t="str">
        <f>WORLDCUP!W151</f>
        <v>🥈Subcampeón</v>
      </c>
      <c r="C251" s="330" t="str">
        <f ca="1">WORLDCUP!AA151</f>
        <v>Portugal</v>
      </c>
      <c r="D251" s="664"/>
      <c r="E251" s="355"/>
      <c r="F251" s="355"/>
      <c r="G251" s="355"/>
      <c r="H251" s="355"/>
      <c r="I251" s="371"/>
      <c r="J251" s="364"/>
      <c r="K251" s="353"/>
      <c r="L251" s="353"/>
      <c r="M251" s="367"/>
      <c r="N251" s="358"/>
    </row>
    <row r="252" spans="1:14" ht="15" customHeight="1">
      <c r="A252" s="345"/>
      <c r="B252" s="341" t="str">
        <f>WORLDCUP!W152</f>
        <v>🥉3º puesto</v>
      </c>
      <c r="C252" s="330" t="str">
        <f ca="1">WORLDCUP!AA152</f>
        <v>Inglaterra</v>
      </c>
      <c r="D252" s="664"/>
      <c r="E252" s="351"/>
      <c r="F252" s="351"/>
      <c r="G252" s="351"/>
      <c r="H252" s="351"/>
      <c r="I252" s="333"/>
      <c r="J252" s="351"/>
      <c r="K252" s="351"/>
      <c r="L252" s="351"/>
      <c r="M252" s="372"/>
      <c r="N252" s="358"/>
    </row>
    <row r="253" spans="1:14" ht="15" customHeight="1">
      <c r="A253" s="346"/>
      <c r="B253" s="341" t="str">
        <f>WORLDCUP!W154</f>
        <v>Bota de Oro  (máximo goleador)</v>
      </c>
      <c r="C253" s="330" t="str">
        <f>WORLDCUP!AA154</f>
        <v>Mbappe</v>
      </c>
      <c r="D253" s="352"/>
      <c r="E253" s="660" t="str">
        <f>Idiomas!D120</f>
        <v>·Al inicio de la competición si se hace por fases copiar de la C253 a la C258 y pegarla al final del jugador en el archivo de administrador.</v>
      </c>
      <c r="F253" s="660"/>
      <c r="G253" s="660"/>
      <c r="H253" s="660"/>
      <c r="I253" s="373"/>
      <c r="J253" s="373"/>
      <c r="K253" s="373"/>
      <c r="L253" s="374"/>
      <c r="M253" s="374"/>
      <c r="N253" s="358"/>
    </row>
    <row r="254" spans="1:14" ht="15" customHeight="1">
      <c r="A254" s="347"/>
      <c r="B254" s="341" t="e">
        <f>WORLDCUP!#REF!</f>
        <v>#REF!</v>
      </c>
      <c r="C254" s="330" t="e">
        <f>WORLDCUP!#REF!</f>
        <v>#REF!</v>
      </c>
      <c r="D254" s="352"/>
      <c r="E254" s="660"/>
      <c r="F254" s="660"/>
      <c r="G254" s="660"/>
      <c r="H254" s="660"/>
      <c r="I254" s="373"/>
      <c r="J254" s="373"/>
      <c r="K254" s="373"/>
      <c r="L254" s="374"/>
      <c r="M254" s="374"/>
      <c r="N254" s="358"/>
    </row>
    <row r="255" spans="1:14" ht="15" customHeight="1">
      <c r="A255" s="347"/>
      <c r="B255" s="341" t="e">
        <f>WORLDCUP!#REF!</f>
        <v>#REF!</v>
      </c>
      <c r="C255" s="330" t="e">
        <f>WORLDCUP!#REF!</f>
        <v>#REF!</v>
      </c>
      <c r="D255" s="352"/>
      <c r="E255" s="660"/>
      <c r="F255" s="660"/>
      <c r="G255" s="660"/>
      <c r="H255" s="660"/>
      <c r="I255" s="373"/>
      <c r="J255" s="373"/>
      <c r="K255" s="373"/>
      <c r="L255" s="374"/>
      <c r="M255" s="374"/>
      <c r="N255" s="358"/>
    </row>
    <row r="256" spans="1:14" ht="15" customHeight="1">
      <c r="A256" s="344"/>
      <c r="B256" s="341" t="str">
        <f>WORLDCUP!W156</f>
        <v>Balón de Oro  (mejor jugador)</v>
      </c>
      <c r="C256" s="330" t="str">
        <f>WORLDCUP!AA156</f>
        <v>Lamine Yamal</v>
      </c>
      <c r="D256" s="352"/>
      <c r="E256" s="660"/>
      <c r="F256" s="660"/>
      <c r="G256" s="660"/>
      <c r="H256" s="660"/>
      <c r="I256" s="373"/>
      <c r="J256" s="373"/>
      <c r="K256" s="373"/>
      <c r="L256" s="374"/>
      <c r="M256" s="374"/>
      <c r="N256" s="358"/>
    </row>
    <row r="257" spans="1:14" ht="15" customHeight="1">
      <c r="A257" s="345"/>
      <c r="B257" s="341" t="e">
        <f>WORLDCUP!#REF!</f>
        <v>#REF!</v>
      </c>
      <c r="C257" s="330" t="e">
        <f>WORLDCUP!#REF!</f>
        <v>#REF!</v>
      </c>
      <c r="D257" s="352"/>
      <c r="E257" s="352"/>
      <c r="F257" s="373"/>
      <c r="G257" s="373"/>
      <c r="H257" s="373"/>
      <c r="I257" s="373"/>
      <c r="J257" s="373"/>
      <c r="K257" s="373"/>
      <c r="L257" s="374"/>
      <c r="M257" s="374"/>
      <c r="N257" s="358"/>
    </row>
    <row r="258" spans="1:14" ht="15" customHeight="1">
      <c r="A258" s="345"/>
      <c r="B258" s="341" t="e">
        <f>WORLDCUP!#REF!</f>
        <v>#REF!</v>
      </c>
      <c r="C258" s="330" t="e">
        <f>WORLDCUP!#REF!</f>
        <v>#REF!</v>
      </c>
      <c r="D258" s="352"/>
      <c r="E258" s="352"/>
      <c r="F258" s="373"/>
      <c r="G258" s="373"/>
      <c r="H258" s="373"/>
      <c r="I258" s="373"/>
      <c r="J258" s="373"/>
      <c r="K258" s="373"/>
      <c r="L258" s="374"/>
      <c r="M258" s="374"/>
      <c r="N258" s="358"/>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74" customWidth="1"/>
    <col min="2" max="2" width="2.6328125" style="9" customWidth="1"/>
    <col min="3" max="3" width="5.6328125" style="3" bestFit="1" customWidth="1"/>
    <col min="4" max="5" width="3.36328125" style="3" customWidth="1"/>
    <col min="6" max="6" width="6.089843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74" customWidth="1"/>
    <col min="14" max="14" width="2.6328125" style="9" customWidth="1"/>
    <col min="15" max="15" width="4.36328125" style="3" bestFit="1" customWidth="1"/>
    <col min="16" max="17" width="3.36328125" style="3" customWidth="1"/>
    <col min="18" max="18" width="5.089843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74"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69"/>
      <c r="B1" s="139"/>
      <c r="C1" s="141"/>
      <c r="D1" s="141"/>
      <c r="E1" s="141"/>
      <c r="F1" s="141"/>
      <c r="G1" s="141"/>
      <c r="H1" s="141"/>
      <c r="I1" s="141"/>
      <c r="J1" s="141"/>
      <c r="K1" s="141"/>
      <c r="L1" s="141"/>
      <c r="M1" s="169"/>
      <c r="N1" s="139"/>
      <c r="O1" s="141"/>
      <c r="P1" s="141"/>
      <c r="Q1" s="141"/>
      <c r="R1" s="141"/>
      <c r="S1" s="141"/>
      <c r="T1" s="141"/>
      <c r="U1" s="141"/>
      <c r="V1" s="141"/>
      <c r="W1" s="141"/>
      <c r="X1" s="169"/>
      <c r="Y1" s="139"/>
      <c r="Z1" s="139"/>
      <c r="AA1" s="141"/>
      <c r="AB1" s="141"/>
      <c r="AC1" s="141"/>
      <c r="AD1" s="169"/>
      <c r="AE1" s="141"/>
      <c r="AF1" s="141"/>
      <c r="AG1" s="141"/>
      <c r="AH1" s="139"/>
      <c r="AI1" s="141"/>
      <c r="AJ1" s="141"/>
      <c r="AK1" s="141"/>
      <c r="AL1" s="169"/>
      <c r="AM1" s="141"/>
      <c r="AN1" s="141"/>
      <c r="AO1" s="141"/>
      <c r="AP1" s="139"/>
      <c r="AQ1" s="141"/>
      <c r="AR1" s="141"/>
      <c r="AS1" s="141"/>
      <c r="AT1" s="169"/>
      <c r="AU1" s="141"/>
      <c r="AV1" s="141"/>
      <c r="AW1" s="141"/>
      <c r="AX1" s="141"/>
      <c r="AY1" s="141"/>
      <c r="AZ1" s="141"/>
      <c r="BA1" s="141"/>
      <c r="BB1" s="141"/>
      <c r="BC1" s="141"/>
      <c r="BD1" s="141"/>
      <c r="BE1" s="141"/>
    </row>
    <row r="2" spans="1:67" ht="10" customHeight="1" thickBot="1">
      <c r="A2" s="169"/>
      <c r="B2" s="139"/>
      <c r="C2" s="135"/>
      <c r="D2" s="135"/>
      <c r="E2" s="135"/>
      <c r="F2" s="135"/>
      <c r="G2" s="135"/>
      <c r="H2" s="135"/>
      <c r="I2" s="135"/>
      <c r="J2" s="135"/>
      <c r="K2" s="135"/>
      <c r="L2" s="135"/>
      <c r="M2" s="167"/>
      <c r="N2" s="385"/>
      <c r="O2" s="386"/>
      <c r="P2" s="135"/>
      <c r="Q2" s="141"/>
      <c r="R2" s="141"/>
      <c r="S2" s="387"/>
      <c r="T2" s="141"/>
      <c r="U2" s="135"/>
      <c r="V2" s="135"/>
      <c r="W2" s="135"/>
      <c r="X2" s="167"/>
      <c r="Y2" s="385"/>
      <c r="Z2" s="385"/>
      <c r="AA2" s="141"/>
      <c r="AB2" s="141"/>
      <c r="AC2" s="141"/>
      <c r="AD2" s="167"/>
      <c r="AE2" s="141"/>
      <c r="AF2" s="141"/>
      <c r="AG2" s="141"/>
      <c r="AH2" s="139"/>
      <c r="AI2" s="388"/>
      <c r="AJ2" s="388"/>
      <c r="AK2" s="388"/>
      <c r="AL2" s="389"/>
      <c r="AM2" s="388"/>
      <c r="AN2" s="388"/>
      <c r="AO2" s="388"/>
      <c r="AP2" s="169"/>
      <c r="AQ2" s="388"/>
      <c r="AR2" s="388"/>
      <c r="AS2" s="388"/>
      <c r="AT2" s="169"/>
      <c r="AU2" s="388"/>
      <c r="AV2" s="388"/>
      <c r="AW2" s="388"/>
      <c r="AX2" s="141"/>
      <c r="AY2" s="141"/>
      <c r="AZ2" s="141"/>
      <c r="BA2" s="141"/>
      <c r="BB2" s="141"/>
      <c r="BC2" s="141"/>
      <c r="BD2" s="141"/>
      <c r="BE2" s="141"/>
    </row>
    <row r="3" spans="1:67" ht="15" thickBot="1">
      <c r="A3" s="169">
        <v>1</v>
      </c>
      <c r="B3" s="390" t="s">
        <v>0</v>
      </c>
      <c r="C3" s="391" t="str">
        <f ca="1">+MID(INDEX(WORLDCUP!$AA$4:$AA$147,MATCH(A3,WORLDCUP!$AH$4:$AH$147,0)),1,3)</f>
        <v>Méx</v>
      </c>
      <c r="D3" s="392">
        <f>IF(ISBLANK(INDEX(WORLDCUP!$AC$4:$AC$147,MATCH(A3,WORLDCUP!$AH$4:$AH$147,0))),"",INDEX(WORLDCUP!$AC$4:$AC$147,MATCH(A3,WORLDCUP!$AH$4:$AH$147,0)))</f>
        <v>2</v>
      </c>
      <c r="E3" s="392">
        <f>IF(ISBLANK(INDEX(WORLDCUP!$AD$4:$AD$147,MATCH(A3,WORLDCUP!$AH$4:$AH$147,0))),"",INDEX(WORLDCUP!$AD$4:$AD$147,MATCH(A3,WORLDCUP!$AH$4:$AH$147,0)))</f>
        <v>1</v>
      </c>
      <c r="F3" s="393" t="str">
        <f ca="1">+MID(INDEX(WORLDCUP!$AF$4:$AF$147,MATCH(A3,WORLDCUP!$AH$4:$AH$147,0)),1,3)</f>
        <v>Sud</v>
      </c>
      <c r="G3" s="394"/>
      <c r="H3" s="395" t="str">
        <f>MID(WORLDCUP!AL5,1,3)</f>
        <v>Sel</v>
      </c>
      <c r="I3" s="396" t="s">
        <v>34</v>
      </c>
      <c r="J3" s="396" t="str">
        <f>WORLDCUP!AT5</f>
        <v>DG</v>
      </c>
      <c r="K3" s="397" t="str">
        <f>WORLDCUP!AR5&amp;"-"&amp;WORLDCUP!AS5</f>
        <v>GF-GC</v>
      </c>
      <c r="L3" s="169"/>
      <c r="M3" s="169">
        <v>16</v>
      </c>
      <c r="N3" s="398" t="s">
        <v>6</v>
      </c>
      <c r="O3" s="391" t="str">
        <f ca="1">+MID(INDEX(WORLDCUP!$AA$4:$AA$147,MATCH(M3,WORLDCUP!$AH$4:$AH$147,0)),1,3)</f>
        <v>Bél</v>
      </c>
      <c r="P3" s="392">
        <f>IF(ISBLANK(INDEX(WORLDCUP!$AC$4:$AC$147,MATCH(M3,WORLDCUP!$AH$4:$AH$147,0))),"",INDEX(WORLDCUP!$AC$4:$AC$147,MATCH(M3,WORLDCUP!$AH$4:$AH$147,0)))</f>
        <v>2</v>
      </c>
      <c r="Q3" s="392">
        <f>IF(ISBLANK(INDEX(WORLDCUP!$AD$4:$AD$147,MATCH(M3,WORLDCUP!$AH$4:$AH$147,0))),"",INDEX(WORLDCUP!$AD$4:$AD$147,MATCH(M3,WORLDCUP!$AH$4:$AH$147,0)))</f>
        <v>0</v>
      </c>
      <c r="R3" s="393" t="str">
        <f ca="1">+MID(INDEX(WORLDCUP!$AF$4:$AF$147,MATCH(M3,WORLDCUP!$AH$4:$AH$147,0)),1,3)</f>
        <v>Egi</v>
      </c>
      <c r="S3" s="394"/>
      <c r="T3" s="395" t="str">
        <f>+H43</f>
        <v>Sel</v>
      </c>
      <c r="U3" s="396" t="str">
        <f>+I43</f>
        <v>Pts</v>
      </c>
      <c r="V3" s="396" t="str">
        <f>+J43</f>
        <v>DG</v>
      </c>
      <c r="W3" s="397" t="str">
        <f>+K43</f>
        <v>GF-GC</v>
      </c>
      <c r="X3" s="169"/>
      <c r="Y3" s="169">
        <v>74</v>
      </c>
      <c r="Z3" s="399" t="s">
        <v>673</v>
      </c>
      <c r="AA3" s="400" t="str">
        <f ca="1">+MID(INDEX(WORLDCUP!$AA$101:$AA$147,MATCH(Y3,WORLDCUP!$Z$101:$Z$147,0)),1,3)</f>
        <v>Ale</v>
      </c>
      <c r="AB3" s="401">
        <f>+IF(ISBLANK(INDEX(WORLDCUP!$AC$101:$AC$147,MATCH(Y3,WORLDCUP!$Z$101:$Z$147,0))),"",INDEX(WORLDCUP!$AC$101:$AC$147,MATCH(Y3,WORLDCUP!$Z$101:$Z$147,0)))</f>
        <v>2</v>
      </c>
      <c r="AC3" s="402" t="str">
        <f>+IF(ISBLANK(INDEX(WORLDCUP!$AB$101:$AB$147,MATCH(Y3,WORLDCUP!$Z$101:$Z$147,0))),"","( "&amp;INDEX(WORLDCUP!$AB$101:$AB$147,MATCH(Y3,WORLDCUP!$Z$101:$Z$147,0))&amp;" )")</f>
        <v/>
      </c>
      <c r="AD3" s="167"/>
      <c r="AE3" s="403"/>
      <c r="AF3" s="403"/>
      <c r="AG3" s="403"/>
      <c r="AH3" s="169"/>
      <c r="AI3" s="404"/>
      <c r="AJ3" s="404"/>
      <c r="AK3" s="404"/>
      <c r="AL3" s="389"/>
      <c r="AM3" s="405"/>
      <c r="AN3" s="405"/>
      <c r="AO3" s="405"/>
      <c r="AP3" s="169"/>
      <c r="AQ3" s="406"/>
      <c r="AR3" s="406"/>
      <c r="AS3" s="406"/>
      <c r="AT3" s="169"/>
      <c r="AU3" s="407"/>
      <c r="AV3" s="407"/>
      <c r="AW3" s="407"/>
      <c r="AX3" s="169"/>
      <c r="AY3" s="141"/>
      <c r="AZ3" s="141"/>
      <c r="BA3" s="141"/>
      <c r="BB3" s="141"/>
      <c r="BC3" s="141"/>
      <c r="BD3" s="141"/>
      <c r="BE3" s="141"/>
      <c r="BG3" s="408"/>
      <c r="BH3" s="409" t="s">
        <v>6</v>
      </c>
      <c r="BI3" s="410" t="s">
        <v>493</v>
      </c>
      <c r="BJ3" s="411" t="s">
        <v>89</v>
      </c>
      <c r="BK3" s="412" t="s">
        <v>36</v>
      </c>
      <c r="BL3" s="413" t="s">
        <v>37</v>
      </c>
      <c r="BM3" s="414" t="s">
        <v>1354</v>
      </c>
      <c r="BN3" s="415" t="s">
        <v>1355</v>
      </c>
      <c r="BO3" s="416" t="s">
        <v>1356</v>
      </c>
    </row>
    <row r="4" spans="1:67" ht="15" thickBot="1">
      <c r="A4" s="169">
        <v>2</v>
      </c>
      <c r="B4" s="417"/>
      <c r="C4" s="418" t="str">
        <f ca="1">+MID(INDEX(WORLDCUP!$AA$4:$AA$147,MATCH(A4,WORLDCUP!$AH$4:$AH$147,0)),1,3)</f>
        <v>Cor</v>
      </c>
      <c r="D4" s="419">
        <f>IF(ISBLANK(INDEX(WORLDCUP!$AC$4:$AC$147,MATCH(A4,WORLDCUP!$AH$4:$AH$147,0))),"",INDEX(WORLDCUP!$AC$4:$AC$147,MATCH(A4,WORLDCUP!$AH$4:$AH$147,0)))</f>
        <v>1</v>
      </c>
      <c r="E4" s="419">
        <f>IF(ISBLANK(INDEX(WORLDCUP!$AD$4:$AD$147,MATCH(A4,WORLDCUP!$AH$4:$AH$147,0))),"",INDEX(WORLDCUP!$AD$4:$AD$147,MATCH(A4,WORLDCUP!$AH$4:$AH$147,0)))</f>
        <v>1</v>
      </c>
      <c r="F4" s="420" t="str">
        <f ca="1">+MID(INDEX(WORLDCUP!$AF$4:$AF$147,MATCH(A4,WORLDCUP!$AH$4:$AH$147,0)),1,3)</f>
        <v>Rep</v>
      </c>
      <c r="G4" s="421">
        <v>1</v>
      </c>
      <c r="H4" s="422" t="str">
        <f ca="1">+MID(INDEX(WORLDCUP!$AL$6:$AL$97,MATCH(L4,WORLDCUP!$AI$6:$AI$97,0)),1,3)</f>
        <v>Méx</v>
      </c>
      <c r="I4" s="423">
        <f ca="1">+INDEX(WORLDCUP!$AM$6:$AM$97,MATCH(L4,WORLDCUP!$AI$6:$AI$97,0))</f>
        <v>7</v>
      </c>
      <c r="J4" s="424">
        <f ca="1">+INDEX(WORLDCUP!$AT$6:$AT$97,MATCH(L4,WORLDCUP!$AI$6:$AI$97,0))</f>
        <v>3</v>
      </c>
      <c r="K4" s="425" t="str">
        <f ca="1">+INDEX(WORLDCUP!$AR$6:$AR$97,MATCH(L4,WORLDCUP!$AI$6:$AI$97,0))&amp;"-"&amp;INDEX(WORLDCUP!$AS$6:$AS$97,MATCH(L4,WORLDCUP!$AI$6:$AI$97,0))</f>
        <v>5-2</v>
      </c>
      <c r="L4" s="169" t="s">
        <v>657</v>
      </c>
      <c r="M4" s="169">
        <v>15</v>
      </c>
      <c r="N4" s="426"/>
      <c r="O4" s="418" t="str">
        <f ca="1">+MID(INDEX(WORLDCUP!$AA$4:$AA$147,MATCH(M4,WORLDCUP!$AH$4:$AH$147,0)),1,3)</f>
        <v>Irá</v>
      </c>
      <c r="P4" s="419">
        <f>IF(ISBLANK(INDEX(WORLDCUP!$AC$4:$AC$147,MATCH(M4,WORLDCUP!$AH$4:$AH$147,0))),"",INDEX(WORLDCUP!$AC$4:$AC$147,MATCH(M4,WORLDCUP!$AH$4:$AH$147,0)))</f>
        <v>2</v>
      </c>
      <c r="Q4" s="419">
        <f>IF(ISBLANK(INDEX(WORLDCUP!$AD$4:$AD$147,MATCH(M4,WORLDCUP!$AH$4:$AH$147,0))),"",INDEX(WORLDCUP!$AD$4:$AD$147,MATCH(M4,WORLDCUP!$AH$4:$AH$147,0)))</f>
        <v>0</v>
      </c>
      <c r="R4" s="420" t="str">
        <f ca="1">+MID(INDEX(WORLDCUP!$AF$4:$AF$147,MATCH(M4,WORLDCUP!$AH$4:$AH$147,0)),1,3)</f>
        <v>Nue</v>
      </c>
      <c r="S4" s="421">
        <v>1</v>
      </c>
      <c r="T4" s="422" t="str">
        <f ca="1">+MID(INDEX(WORLDCUP!$AL$6:$AL$97,MATCH(X4,WORLDCUP!$AI$6:$AI$97,0)),1,3)</f>
        <v>Bél</v>
      </c>
      <c r="U4" s="423">
        <f ca="1">+INDEX(WORLDCUP!$AM$6:$AM$97,MATCH(X4,WORLDCUP!$AI$6:$AI$97,0))</f>
        <v>7</v>
      </c>
      <c r="V4" s="424">
        <f ca="1">+INDEX(WORLDCUP!$AT$6:$AT$97,MATCH(X4,WORLDCUP!$AI$6:$AI$97,0))</f>
        <v>5</v>
      </c>
      <c r="W4" s="425" t="str">
        <f ca="1">+INDEX(WORLDCUP!$AR$6:$AR$97,MATCH(X4,WORLDCUP!$AI$6:$AI$97,0))&amp;"-"&amp;INDEX(WORLDCUP!$AS$6:$AS$97,MATCH(X4,WORLDCUP!$AI$6:$AI$97,0))</f>
        <v>6-1</v>
      </c>
      <c r="X4" s="169" t="s">
        <v>679</v>
      </c>
      <c r="Y4" s="169">
        <v>74</v>
      </c>
      <c r="Z4" s="399" t="s">
        <v>734</v>
      </c>
      <c r="AA4" s="400" t="str">
        <f ca="1">+MID(INDEX(WORLDCUP!$AF$101:$AF$147,MATCH(Y4,WORLDCUP!$Z$101:$Z$147,0)),1,IF(WORLDCUP!$H$113&lt;144,6,3))</f>
        <v>Bra</v>
      </c>
      <c r="AB4" s="427">
        <f>+IF(ISBLANK(INDEX(WORLDCUP!$AD$101:$AD$147,MATCH(Y4,WORLDCUP!$Z$101:$Z$147,0))),"",INDEX(WORLDCUP!$AD$101:$AD$147,MATCH(Y4,WORLDCUP!$Z$101:$Z$147,0)))</f>
        <v>1</v>
      </c>
      <c r="AC4" s="428" t="str">
        <f>+IF(ISBLANK(INDEX(WORLDCUP!$AE$101:$AE$147,MATCH(Y4,WORLDCUP!$Z$101:$Z$147,0))),"","( "&amp;INDEX(WORLDCUP!$AE$101:$AE$147,MATCH(Y4,WORLDCUP!$Z$101:$Z$147,0))&amp;" )")</f>
        <v/>
      </c>
      <c r="AD4" s="429">
        <v>89</v>
      </c>
      <c r="AE4" s="430" t="str">
        <f ca="1">+MID(INDEX(WORLDCUP!$AA$101:$AA$147,MATCH(AD4,WORLDCUP!$Z$101:$Z$147,0)),1,3)</f>
        <v>Ale</v>
      </c>
      <c r="AF4" s="431">
        <f>+IF(ISBLANK(INDEX(WORLDCUP!$AC$101:$AC$147,MATCH(AD4,WORLDCUP!$Z$101:$Z$147,0))),"",INDEX(WORLDCUP!$AC$101:$AC$147,MATCH(AD4,WORLDCUP!$Z$101:$Z$147,0)))</f>
        <v>1</v>
      </c>
      <c r="AG4" s="432" t="str">
        <f>+IF(ISBLANK(INDEX(WORLDCUP!$AB$101:$AB$147,MATCH(AD4,WORLDCUP!$Z$101:$Z$147,0))),"","( "&amp;INDEX(WORLDCUP!$AB$101:$AB$147,MATCH(AD4,WORLDCUP!$Z$101:$Z$147,0))&amp;" )")</f>
        <v/>
      </c>
      <c r="AH4" s="169"/>
      <c r="AI4" s="433"/>
      <c r="AJ4" s="433"/>
      <c r="AK4" s="433"/>
      <c r="AL4" s="389"/>
      <c r="AM4" s="405"/>
      <c r="AN4" s="405"/>
      <c r="AO4" s="405"/>
      <c r="AP4" s="169"/>
      <c r="AQ4" s="434"/>
      <c r="AR4" s="434"/>
      <c r="AS4" s="434"/>
      <c r="AT4" s="169"/>
      <c r="AU4" s="407"/>
      <c r="AV4" s="407"/>
      <c r="AW4" s="407"/>
      <c r="AX4" s="169"/>
      <c r="AY4" s="435"/>
      <c r="AZ4" s="141"/>
      <c r="BA4" s="141"/>
      <c r="BB4" s="141"/>
      <c r="BC4" s="141"/>
      <c r="BD4" s="141"/>
      <c r="BE4" s="141"/>
      <c r="BG4" s="436" t="str">
        <f ca="1">Horarios!Q3</f>
        <v>Alemania</v>
      </c>
      <c r="BH4" s="437">
        <f ca="1">1-SUM(BI4:BO4)</f>
        <v>0</v>
      </c>
      <c r="BI4" s="437">
        <f ca="1">COUNTIF(Pool!$C$130:$C$161,Fixture!BG4)-BJ4-BK4-BL4-BM4-BN4-BO4</f>
        <v>0</v>
      </c>
      <c r="BJ4" s="438">
        <f ca="1">COUNTIF(Pool!$C$182:$C$197,Fixture!BG4)-BK4-BL4-BM4-BN4-BO4</f>
        <v>1</v>
      </c>
      <c r="BK4" s="439">
        <f ca="1">COUNTIF(Pool!$C$210:$C$217,Fixture!BG4)-BL4-BM4-BN4-BO4</f>
        <v>0</v>
      </c>
      <c r="BL4" s="439">
        <f ca="1">COUNTIF(Pool!$C$226:$C$229,Fixture!BG4)-BM4-BN4-BO4</f>
        <v>0</v>
      </c>
      <c r="BM4" s="437">
        <f ca="1">COUNTIF(Pool!$C$252,Fixture!BG4)</f>
        <v>0</v>
      </c>
      <c r="BN4" s="437">
        <f ca="1">COUNTIF(Pool!$C$251,Fixture!BG4)</f>
        <v>0</v>
      </c>
      <c r="BO4" s="440">
        <f ca="1">COUNTIF(Pool!$C$250,Fixture!BG4)</f>
        <v>0</v>
      </c>
    </row>
    <row r="5" spans="1:67">
      <c r="A5" s="169">
        <v>25</v>
      </c>
      <c r="B5" s="417"/>
      <c r="C5" s="418" t="str">
        <f ca="1">+MID(INDEX(WORLDCUP!$AA$4:$AA$147,MATCH(A5,WORLDCUP!$AH$4:$AH$147,0)),1,3)</f>
        <v>Rep</v>
      </c>
      <c r="D5" s="419">
        <f>IF(ISBLANK(INDEX(WORLDCUP!$AC$4:$AC$147,MATCH(A5,WORLDCUP!$AH$4:$AH$147,0))),"",INDEX(WORLDCUP!$AC$4:$AC$147,MATCH(A5,WORLDCUP!$AH$4:$AH$147,0)))</f>
        <v>2</v>
      </c>
      <c r="E5" s="419">
        <f>IF(ISBLANK(INDEX(WORLDCUP!$AD$4:$AD$147,MATCH(A5,WORLDCUP!$AH$4:$AH$147,0))),"",INDEX(WORLDCUP!$AD$4:$AD$147,MATCH(A5,WORLDCUP!$AH$4:$AH$147,0)))</f>
        <v>0</v>
      </c>
      <c r="F5" s="420" t="str">
        <f ca="1">+MID(INDEX(WORLDCUP!$AF$4:$AF$147,MATCH(A5,WORLDCUP!$AH$4:$AH$147,0)),1,3)</f>
        <v>Sud</v>
      </c>
      <c r="G5" s="441">
        <v>2</v>
      </c>
      <c r="H5" s="442" t="str">
        <f ca="1">+MID(INDEX(WORLDCUP!$AL$6:$AL$97,MATCH(L5,WORLDCUP!$AI$6:$AI$97,0)),1,3)</f>
        <v>Cor</v>
      </c>
      <c r="I5" s="38">
        <f ca="1">+INDEX(WORLDCUP!$AM$6:$AM$97,MATCH(L5,WORLDCUP!$AI$6:$AI$97,0))</f>
        <v>5</v>
      </c>
      <c r="J5" s="39">
        <f ca="1">+INDEX(WORLDCUP!$AT$6:$AT$97,MATCH(L5,WORLDCUP!$AI$6:$AI$97,0))</f>
        <v>1</v>
      </c>
      <c r="K5" s="43" t="str">
        <f ca="1">+INDEX(WORLDCUP!$AR$6:$AR$97,MATCH(L5,WORLDCUP!$AI$6:$AI$97,0))&amp;"-"&amp;INDEX(WORLDCUP!$AS$6:$AS$97,MATCH(L5,WORLDCUP!$AI$6:$AI$97,0))</f>
        <v>4-3</v>
      </c>
      <c r="L5" s="169" t="s">
        <v>658</v>
      </c>
      <c r="M5" s="169">
        <v>39</v>
      </c>
      <c r="N5" s="426"/>
      <c r="O5" s="418" t="str">
        <f ca="1">+MID(INDEX(WORLDCUP!$AA$4:$AA$147,MATCH(M5,WORLDCUP!$AH$4:$AH$147,0)),1,3)</f>
        <v>Bél</v>
      </c>
      <c r="P5" s="419">
        <f>IF(ISBLANK(INDEX(WORLDCUP!$AC$4:$AC$147,MATCH(M5,WORLDCUP!$AH$4:$AH$147,0))),"",INDEX(WORLDCUP!$AC$4:$AC$147,MATCH(M5,WORLDCUP!$AH$4:$AH$147,0)))</f>
        <v>1</v>
      </c>
      <c r="Q5" s="419">
        <f>IF(ISBLANK(INDEX(WORLDCUP!$AD$4:$AD$147,MATCH(M5,WORLDCUP!$AH$4:$AH$147,0))),"",INDEX(WORLDCUP!$AD$4:$AD$147,MATCH(M5,WORLDCUP!$AH$4:$AH$147,0)))</f>
        <v>1</v>
      </c>
      <c r="R5" s="420" t="str">
        <f ca="1">+MID(INDEX(WORLDCUP!$AF$4:$AF$147,MATCH(M5,WORLDCUP!$AH$4:$AH$147,0)),1,3)</f>
        <v>Irá</v>
      </c>
      <c r="S5" s="441">
        <v>2</v>
      </c>
      <c r="T5" s="442" t="str">
        <f ca="1">+MID(INDEX(WORLDCUP!$AL$6:$AL$97,MATCH(X5,WORLDCUP!$AI$6:$AI$97,0)),1,3)</f>
        <v>Irá</v>
      </c>
      <c r="U5" s="38">
        <f ca="1">+INDEX(WORLDCUP!$AM$6:$AM$97,MATCH(X5,WORLDCUP!$AI$6:$AI$97,0))</f>
        <v>5</v>
      </c>
      <c r="V5" s="39">
        <f ca="1">+INDEX(WORLDCUP!$AT$6:$AT$97,MATCH(X5,WORLDCUP!$AI$6:$AI$97,0))</f>
        <v>2</v>
      </c>
      <c r="W5" s="43" t="str">
        <f ca="1">+INDEX(WORLDCUP!$AR$6:$AR$97,MATCH(X5,WORLDCUP!$AI$6:$AI$97,0))&amp;"-"&amp;INDEX(WORLDCUP!$AS$6:$AS$97,MATCH(X5,WORLDCUP!$AI$6:$AI$97,0))</f>
        <v>4-2</v>
      </c>
      <c r="X5" s="169" t="s">
        <v>680</v>
      </c>
      <c r="Y5" s="169"/>
      <c r="Z5" s="399"/>
      <c r="AA5" s="443"/>
      <c r="AB5" s="443"/>
      <c r="AC5" s="444"/>
      <c r="AD5" s="169">
        <v>89</v>
      </c>
      <c r="AE5" s="430" t="str">
        <f ca="1">+MID(INDEX(WORLDCUP!$AF$101:$AF$147,MATCH(AD5,WORLDCUP!$Z$101:$Z$147,0)),1,3)</f>
        <v>Fra</v>
      </c>
      <c r="AF5" s="431">
        <f>+IF(ISBLANK(INDEX(WORLDCUP!$AD$101:$AD$147,MATCH(AD5,WORLDCUP!$Z$101:$Z$147,0))),"",INDEX(WORLDCUP!$AD$101:$AD$147,MATCH(AD5,WORLDCUP!$Z$101:$Z$147,0)))</f>
        <v>2</v>
      </c>
      <c r="AG5" s="445" t="str">
        <f>+IF(ISBLANK(INDEX(WORLDCUP!$AE$101:$AE$147,MATCH(AD5,WORLDCUP!$Z$101:$Z$147,0))),"","( "&amp;INDEX(WORLDCUP!$AE$101:$AE$147,MATCH(AD5,WORLDCUP!$Z$101:$Z$147,0))&amp;" )")</f>
        <v/>
      </c>
      <c r="AH5" s="169"/>
      <c r="AI5" s="433"/>
      <c r="AJ5" s="433"/>
      <c r="AK5" s="433"/>
      <c r="AL5" s="389"/>
      <c r="AM5" s="405"/>
      <c r="AN5" s="405"/>
      <c r="AO5" s="405"/>
      <c r="AP5" s="169"/>
      <c r="AQ5" s="434"/>
      <c r="AR5" s="434"/>
      <c r="AS5" s="434"/>
      <c r="AT5" s="169"/>
      <c r="AU5" s="407"/>
      <c r="AV5" s="407"/>
      <c r="AW5" s="407"/>
      <c r="AX5" s="169"/>
      <c r="AY5" s="141"/>
      <c r="AZ5" s="141"/>
      <c r="BA5" s="141"/>
      <c r="BB5" s="141"/>
      <c r="BC5" s="141"/>
      <c r="BD5" s="141"/>
      <c r="BE5" s="141"/>
      <c r="BG5" s="436" t="str">
        <f ca="1">Horarios!Q4</f>
        <v>Arabia Saudita</v>
      </c>
      <c r="BH5" s="437">
        <f t="shared" ref="BH5:BH51" ca="1" si="0">1-SUM(BI5:BO5)</f>
        <v>1</v>
      </c>
      <c r="BI5" s="437">
        <f ca="1">COUNTIF(Pool!$C$130:$C$161,Fixture!BG5)-BJ5-BK5-BL5-BM5-BN5-BO5</f>
        <v>0</v>
      </c>
      <c r="BJ5" s="438">
        <f ca="1">COUNTIF(Pool!$C$182:$C$197,Fixture!BG5)-BK5-BL5-BM5-BN5-BO5</f>
        <v>0</v>
      </c>
      <c r="BK5" s="439">
        <f ca="1">COUNTIF(Pool!$C$210:$C$217,Fixture!BG5)-BL5-BM5-BN5-BO5</f>
        <v>0</v>
      </c>
      <c r="BL5" s="439">
        <f ca="1">COUNTIF(Pool!$C$226:$C$229,Fixture!BG5)-BM5-BN5-BO5</f>
        <v>0</v>
      </c>
      <c r="BM5" s="437">
        <f ca="1">COUNTIF(Pool!$C$252,Fixture!BG5)</f>
        <v>0</v>
      </c>
      <c r="BN5" s="437">
        <f ca="1">COUNTIF(Pool!$C$251,Fixture!BG5)</f>
        <v>0</v>
      </c>
      <c r="BO5" s="440">
        <f ca="1">COUNTIF(Pool!$C$250,Fixture!BG5)</f>
        <v>0</v>
      </c>
    </row>
    <row r="6" spans="1:67" ht="15" thickBot="1">
      <c r="A6" s="169">
        <v>28</v>
      </c>
      <c r="B6" s="417"/>
      <c r="C6" s="418" t="str">
        <f ca="1">+MID(INDEX(WORLDCUP!$AA$4:$AA$147,MATCH(A6,WORLDCUP!$AH$4:$AH$147,0)),1,3)</f>
        <v>Méx</v>
      </c>
      <c r="D6" s="419">
        <f>IF(ISBLANK(INDEX(WORLDCUP!$AC$4:$AC$147,MATCH(A6,WORLDCUP!$AH$4:$AH$147,0))),"",INDEX(WORLDCUP!$AC$4:$AC$147,MATCH(A6,WORLDCUP!$AH$4:$AH$147,0)))</f>
        <v>1</v>
      </c>
      <c r="E6" s="419">
        <f>IF(ISBLANK(INDEX(WORLDCUP!$AD$4:$AD$147,MATCH(A6,WORLDCUP!$AH$4:$AH$147,0))),"",INDEX(WORLDCUP!$AD$4:$AD$147,MATCH(A6,WORLDCUP!$AH$4:$AH$147,0)))</f>
        <v>1</v>
      </c>
      <c r="F6" s="420" t="str">
        <f ca="1">+MID(INDEX(WORLDCUP!$AF$4:$AF$147,MATCH(A6,WORLDCUP!$AH$4:$AH$147,0)),1,3)</f>
        <v>Cor</v>
      </c>
      <c r="G6" s="441">
        <v>3</v>
      </c>
      <c r="H6" s="442"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3-3</v>
      </c>
      <c r="L6" s="169" t="s">
        <v>90</v>
      </c>
      <c r="M6" s="169">
        <v>40</v>
      </c>
      <c r="N6" s="426"/>
      <c r="O6" s="418" t="str">
        <f ca="1">+MID(INDEX(WORLDCUP!$AA$4:$AA$147,MATCH(M6,WORLDCUP!$AH$4:$AH$147,0)),1,3)</f>
        <v>Nue</v>
      </c>
      <c r="P6" s="419">
        <f>IF(ISBLANK(INDEX(WORLDCUP!$AC$4:$AC$147,MATCH(M6,WORLDCUP!$AH$4:$AH$147,0))),"",INDEX(WORLDCUP!$AC$4:$AC$147,MATCH(M6,WORLDCUP!$AH$4:$AH$147,0)))</f>
        <v>2</v>
      </c>
      <c r="Q6" s="419">
        <f>IF(ISBLANK(INDEX(WORLDCUP!$AD$4:$AD$147,MATCH(M6,WORLDCUP!$AH$4:$AH$147,0))),"",INDEX(WORLDCUP!$AD$4:$AD$147,MATCH(M6,WORLDCUP!$AH$4:$AH$147,0)))</f>
        <v>1</v>
      </c>
      <c r="R6" s="420" t="str">
        <f ca="1">+MID(INDEX(WORLDCUP!$AF$4:$AF$147,MATCH(M6,WORLDCUP!$AH$4:$AH$147,0)),1,3)</f>
        <v>Egi</v>
      </c>
      <c r="S6" s="441">
        <v>3</v>
      </c>
      <c r="T6" s="442" t="str">
        <f ca="1">+MID(INDEX(WORLDCUP!$AL$6:$AL$97,MATCH(X6,WORLDCUP!$AI$6:$AI$97,0)),1,3)</f>
        <v>Nue</v>
      </c>
      <c r="U6" s="38">
        <f ca="1">+INDEX(WORLDCUP!$AM$6:$AM$97,MATCH(X6,WORLDCUP!$AI$6:$AI$97,0))</f>
        <v>3</v>
      </c>
      <c r="V6" s="39">
        <f ca="1">+INDEX(WORLDCUP!$AT$6:$AT$97,MATCH(X6,WORLDCUP!$AI$6:$AI$97,0))</f>
        <v>-4</v>
      </c>
      <c r="W6" s="43" t="str">
        <f ca="1">+INDEX(WORLDCUP!$AR$6:$AR$97,MATCH(X6,WORLDCUP!$AI$6:$AI$97,0))&amp;"-"&amp;INDEX(WORLDCUP!$AS$6:$AS$97,MATCH(X6,WORLDCUP!$AI$6:$AI$97,0))</f>
        <v>2-6</v>
      </c>
      <c r="X6" s="169" t="s">
        <v>445</v>
      </c>
      <c r="Y6" s="169">
        <v>77</v>
      </c>
      <c r="Z6" s="399" t="s">
        <v>685</v>
      </c>
      <c r="AA6" s="400" t="str">
        <f ca="1">+MID(INDEX(WORLDCUP!$AA$101:$AA$147,MATCH(Y6,WORLDCUP!$Z$101:$Z$147,0)),1,3)</f>
        <v>Fra</v>
      </c>
      <c r="AB6" s="446">
        <f>+IF(ISBLANK(INDEX(WORLDCUP!$AC$101:$AC$147,MATCH(Y6,WORLDCUP!$Z$101:$Z$147,0))),"",INDEX(WORLDCUP!$AC$101:$AC$147,MATCH(Y6,WORLDCUP!$Z$101:$Z$147,0)))</f>
        <v>3</v>
      </c>
      <c r="AC6" s="447" t="str">
        <f>+IF(ISBLANK(INDEX(WORLDCUP!$AB$101:$AB$147,MATCH(Y6,WORLDCUP!$Z$101:$Z$147,0))),"","( "&amp;INDEX(WORLDCUP!$AB$101:$AB$147,MATCH(Y6,WORLDCUP!$Z$101:$Z$147,0))&amp;" )")</f>
        <v/>
      </c>
      <c r="AD6" s="169"/>
      <c r="AE6" s="448"/>
      <c r="AF6" s="448"/>
      <c r="AG6" s="449"/>
      <c r="AH6" s="169"/>
      <c r="AI6" s="433"/>
      <c r="AJ6" s="433"/>
      <c r="AK6" s="433"/>
      <c r="AL6" s="389"/>
      <c r="AM6" s="405"/>
      <c r="AN6" s="405"/>
      <c r="AO6" s="405"/>
      <c r="AP6" s="169"/>
      <c r="AQ6" s="434"/>
      <c r="AR6" s="434"/>
      <c r="AS6" s="434"/>
      <c r="AT6" s="169"/>
      <c r="AU6" s="407"/>
      <c r="AV6" s="407"/>
      <c r="AW6" s="407"/>
      <c r="AX6" s="169"/>
      <c r="AY6" s="141"/>
      <c r="AZ6" s="141"/>
      <c r="BA6" s="141"/>
      <c r="BB6" s="141"/>
      <c r="BC6" s="141"/>
      <c r="BD6" s="141"/>
      <c r="BE6" s="141"/>
      <c r="BG6" s="436" t="str">
        <f ca="1">Horarios!Q5</f>
        <v>Argelia</v>
      </c>
      <c r="BH6" s="437">
        <f t="shared" ca="1" si="0"/>
        <v>0</v>
      </c>
      <c r="BI6" s="437">
        <f ca="1">COUNTIF(Pool!$C$130:$C$161,Fixture!BG6)-BJ6-BK6-BL6-BM6-BN6-BO6</f>
        <v>1</v>
      </c>
      <c r="BJ6" s="438">
        <f ca="1">COUNTIF(Pool!$C$182:$C$197,Fixture!BG6)-BK6-BL6-BM6-BN6-BO6</f>
        <v>0</v>
      </c>
      <c r="BK6" s="439">
        <f ca="1">COUNTIF(Pool!$C$210:$C$217,Fixture!BG6)-BL6-BM6-BN6-BO6</f>
        <v>0</v>
      </c>
      <c r="BL6" s="439">
        <f ca="1">COUNTIF(Pool!$C$226:$C$229,Fixture!BG6)-BM6-BN6-BO6</f>
        <v>0</v>
      </c>
      <c r="BM6" s="437">
        <f ca="1">COUNTIF(Pool!$C$252,Fixture!BG6)</f>
        <v>0</v>
      </c>
      <c r="BN6" s="437">
        <f ca="1">COUNTIF(Pool!$C$251,Fixture!BG6)</f>
        <v>0</v>
      </c>
      <c r="BO6" s="440">
        <f ca="1">COUNTIF(Pool!$C$250,Fixture!BG6)</f>
        <v>0</v>
      </c>
    </row>
    <row r="7" spans="1:67" ht="15" thickBot="1">
      <c r="A7" s="169">
        <v>53</v>
      </c>
      <c r="B7" s="417"/>
      <c r="C7" s="418" t="str">
        <f ca="1">+MID(INDEX(WORLDCUP!$AA$4:$AA$147,MATCH(A7,WORLDCUP!$AH$4:$AH$147,0)),1,3)</f>
        <v>Rep</v>
      </c>
      <c r="D7" s="419">
        <f>IF(ISBLANK(INDEX(WORLDCUP!$AC$4:$AC$147,MATCH(A7,WORLDCUP!$AH$4:$AH$147,0))),"",INDEX(WORLDCUP!$AC$4:$AC$147,MATCH(A7,WORLDCUP!$AH$4:$AH$147,0)))</f>
        <v>0</v>
      </c>
      <c r="E7" s="419">
        <f>IF(ISBLANK(INDEX(WORLDCUP!$AD$4:$AD$147,MATCH(A7,WORLDCUP!$AH$4:$AH$147,0))),"",INDEX(WORLDCUP!$AD$4:$AD$147,MATCH(A7,WORLDCUP!$AH$4:$AH$147,0)))</f>
        <v>2</v>
      </c>
      <c r="F7" s="420" t="str">
        <f ca="1">+MID(INDEX(WORLDCUP!$AF$4:$AF$147,MATCH(A7,WORLDCUP!$AH$4:$AH$147,0)),1,3)</f>
        <v>Méx</v>
      </c>
      <c r="G7" s="441">
        <v>4</v>
      </c>
      <c r="H7" s="450" t="str">
        <f ca="1">+MID(INDEX(WORLDCUP!$AL$6:$AL$97,MATCH(L7,WORLDCUP!$AI$6:$AI$97,0)),1,3)</f>
        <v>Sud</v>
      </c>
      <c r="I7" s="451">
        <f ca="1">+INDEX(WORLDCUP!$AM$6:$AM$97,MATCH(L7,WORLDCUP!$AI$6:$AI$97,0))</f>
        <v>0</v>
      </c>
      <c r="J7" s="452">
        <f ca="1">+INDEX(WORLDCUP!$AT$6:$AT$97,MATCH(L7,WORLDCUP!$AI$6:$AI$97,0))</f>
        <v>-4</v>
      </c>
      <c r="K7" s="453" t="str">
        <f ca="1">+INDEX(WORLDCUP!$AR$6:$AR$97,MATCH(L7,WORLDCUP!$AI$6:$AI$97,0))&amp;"-"&amp;INDEX(WORLDCUP!$AS$6:$AS$97,MATCH(L7,WORLDCUP!$AI$6:$AI$97,0))</f>
        <v>2-6</v>
      </c>
      <c r="L7" s="169" t="s">
        <v>659</v>
      </c>
      <c r="M7" s="169">
        <v>63</v>
      </c>
      <c r="N7" s="426"/>
      <c r="O7" s="418" t="str">
        <f ca="1">+MID(INDEX(WORLDCUP!$AA$4:$AA$147,MATCH(M7,WORLDCUP!$AH$4:$AH$147,0)),1,3)</f>
        <v>Egi</v>
      </c>
      <c r="P7" s="419">
        <f>IF(ISBLANK(INDEX(WORLDCUP!$AC$4:$AC$147,MATCH(M7,WORLDCUP!$AH$4:$AH$147,0))),"",INDEX(WORLDCUP!$AC$4:$AC$147,MATCH(M7,WORLDCUP!$AH$4:$AH$147,0)))</f>
        <v>1</v>
      </c>
      <c r="Q7" s="419">
        <f>IF(ISBLANK(INDEX(WORLDCUP!$AD$4:$AD$147,MATCH(M7,WORLDCUP!$AH$4:$AH$147,0))),"",INDEX(WORLDCUP!$AD$4:$AD$147,MATCH(M7,WORLDCUP!$AH$4:$AH$147,0)))</f>
        <v>1</v>
      </c>
      <c r="R7" s="420" t="str">
        <f ca="1">+MID(INDEX(WORLDCUP!$AF$4:$AF$147,MATCH(M7,WORLDCUP!$AH$4:$AH$147,0)),1,3)</f>
        <v>Irá</v>
      </c>
      <c r="S7" s="441">
        <v>4</v>
      </c>
      <c r="T7" s="450" t="str">
        <f ca="1">+MID(INDEX(WORLDCUP!$AL$6:$AL$97,MATCH(X7,WORLDCUP!$AI$6:$AI$97,0)),1,3)</f>
        <v>Egi</v>
      </c>
      <c r="U7" s="451">
        <f ca="1">+INDEX(WORLDCUP!$AM$6:$AM$97,MATCH(X7,WORLDCUP!$AI$6:$AI$97,0))</f>
        <v>1</v>
      </c>
      <c r="V7" s="452">
        <f ca="1">+INDEX(WORLDCUP!$AT$6:$AT$97,MATCH(X7,WORLDCUP!$AI$6:$AI$97,0))</f>
        <v>-3</v>
      </c>
      <c r="W7" s="453" t="str">
        <f ca="1">+INDEX(WORLDCUP!$AR$6:$AR$97,MATCH(X7,WORLDCUP!$AI$6:$AI$97,0))&amp;"-"&amp;INDEX(WORLDCUP!$AS$6:$AS$97,MATCH(X7,WORLDCUP!$AI$6:$AI$97,0))</f>
        <v>2-5</v>
      </c>
      <c r="X7" s="169" t="s">
        <v>681</v>
      </c>
      <c r="Y7" s="169">
        <v>77</v>
      </c>
      <c r="Z7" s="399" t="s">
        <v>735</v>
      </c>
      <c r="AA7" s="454" t="str">
        <f ca="1">+MID(INDEX(WORLDCUP!$AF$101:$AF$147,MATCH(Y7,WORLDCUP!$Z$101:$Z$147,0)),1,IF(WORLDCUP!$H$113&lt;144,6,3))</f>
        <v>Nue</v>
      </c>
      <c r="AB7" s="455">
        <f>+IF(ISBLANK(INDEX(WORLDCUP!$AD$101:$AD$147,MATCH(Y7,WORLDCUP!$Z$101:$Z$147,0))),"",INDEX(WORLDCUP!$AD$101:$AD$147,MATCH(Y7,WORLDCUP!$Z$101:$Z$147,0)))</f>
        <v>0</v>
      </c>
      <c r="AC7" s="456" t="str">
        <f>+IF(ISBLANK(INDEX(WORLDCUP!$AE$101:$AE$147,MATCH(Y7,WORLDCUP!$Z$101:$Z$147,0))),"","( "&amp;INDEX(WORLDCUP!$AE$101:$AE$147,MATCH(Y7,WORLDCUP!$Z$101:$Z$147,0))&amp;" )")</f>
        <v/>
      </c>
      <c r="AD7" s="169"/>
      <c r="AE7" s="448"/>
      <c r="AF7" s="448"/>
      <c r="AG7" s="449"/>
      <c r="AH7" s="429">
        <v>97</v>
      </c>
      <c r="AI7" s="457" t="str">
        <f ca="1">+MID(INDEX(WORLDCUP!$AA$101:$AA$147,MATCH(AH7,WORLDCUP!$Z$101:$Z$147,0)),1,3)</f>
        <v>Fra</v>
      </c>
      <c r="AJ7" s="458">
        <f>+IF(ISBLANK(INDEX(WORLDCUP!$AC$101:$AC$147,MATCH(AH7,WORLDCUP!$Z$101:$Z$147,0))),"",INDEX(WORLDCUP!$AC$101:$AC$147,MATCH(AH7,WORLDCUP!$Z$101:$Z$147,0)))</f>
        <v>2</v>
      </c>
      <c r="AK7" s="459" t="str">
        <f>+IF(ISBLANK(INDEX(WORLDCUP!$AB$101:$AB$147,MATCH(AH7,WORLDCUP!$Z$101:$Z$147,0))),"","( "&amp;INDEX(WORLDCUP!$AB$101:$AB$147,MATCH(AH7,WORLDCUP!$Z$101:$Z$147,0))&amp;" )")</f>
        <v/>
      </c>
      <c r="AL7" s="389"/>
      <c r="AM7" s="405"/>
      <c r="AN7" s="405"/>
      <c r="AO7" s="405"/>
      <c r="AP7" s="169"/>
      <c r="AQ7" s="434"/>
      <c r="AR7" s="434"/>
      <c r="AS7" s="434"/>
      <c r="AT7" s="169"/>
      <c r="AU7" s="407"/>
      <c r="AV7" s="407"/>
      <c r="AW7" s="407"/>
      <c r="AX7" s="169"/>
      <c r="AY7" s="141"/>
      <c r="AZ7" s="141"/>
      <c r="BA7" s="141"/>
      <c r="BB7" s="141"/>
      <c r="BC7" s="141"/>
      <c r="BD7" s="141"/>
      <c r="BE7" s="141"/>
      <c r="BG7" s="436" t="str">
        <f ca="1">Horarios!Q6</f>
        <v>Argentina</v>
      </c>
      <c r="BH7" s="437">
        <f t="shared" ca="1" si="0"/>
        <v>0</v>
      </c>
      <c r="BI7" s="437">
        <f ca="1">COUNTIF(Pool!$C$130:$C$161,Fixture!BG7)-BJ7-BK7-BL7-BM7-BN7-BO7</f>
        <v>0</v>
      </c>
      <c r="BJ7" s="438">
        <f ca="1">COUNTIF(Pool!$C$182:$C$197,Fixture!BG7)-BK7-BL7-BM7-BN7-BO7</f>
        <v>0</v>
      </c>
      <c r="BK7" s="439">
        <f ca="1">COUNTIF(Pool!$C$210:$C$217,Fixture!BG7)-BL7-BM7-BN7-BO7</f>
        <v>1</v>
      </c>
      <c r="BL7" s="439">
        <f ca="1">COUNTIF(Pool!$C$226:$C$229,Fixture!BG7)-BM7-BN7-BO7</f>
        <v>0</v>
      </c>
      <c r="BM7" s="437">
        <f ca="1">COUNTIF(Pool!$C$252,Fixture!BG7)</f>
        <v>0</v>
      </c>
      <c r="BN7" s="437">
        <f ca="1">COUNTIF(Pool!$C$251,Fixture!BG7)</f>
        <v>0</v>
      </c>
      <c r="BO7" s="440">
        <f ca="1">COUNTIF(Pool!$C$250,Fixture!BG7)</f>
        <v>0</v>
      </c>
    </row>
    <row r="8" spans="1:67" ht="15" thickBot="1">
      <c r="A8" s="169">
        <v>54</v>
      </c>
      <c r="B8" s="460"/>
      <c r="C8" s="461" t="str">
        <f ca="1">+MID(INDEX(WORLDCUP!$AA$4:$AA$147,MATCH(A8,WORLDCUP!$AH$4:$AH$147,0)),1,3)</f>
        <v>Sud</v>
      </c>
      <c r="D8" s="462">
        <f>IF(ISBLANK(INDEX(WORLDCUP!$AC$4:$AC$147,MATCH(A8,WORLDCUP!$AH$4:$AH$147,0))),"",INDEX(WORLDCUP!$AC$4:$AC$147,MATCH(A8,WORLDCUP!$AH$4:$AH$147,0)))</f>
        <v>1</v>
      </c>
      <c r="E8" s="462">
        <f>IF(ISBLANK(INDEX(WORLDCUP!$AD$4:$AD$147,MATCH(A8,WORLDCUP!$AH$4:$AH$147,0))),"",INDEX(WORLDCUP!$AD$4:$AD$147,MATCH(A8,WORLDCUP!$AH$4:$AH$147,0)))</f>
        <v>2</v>
      </c>
      <c r="F8" s="463" t="str">
        <f ca="1">+MID(INDEX(WORLDCUP!$AF$4:$AF$147,MATCH(A8,WORLDCUP!$AH$4:$AH$147,0)),1,3)</f>
        <v>Cor</v>
      </c>
      <c r="G8" s="464"/>
      <c r="H8" s="464"/>
      <c r="I8" s="465"/>
      <c r="J8" s="465"/>
      <c r="K8" s="466"/>
      <c r="L8" s="169"/>
      <c r="M8" s="169">
        <v>64</v>
      </c>
      <c r="N8" s="467"/>
      <c r="O8" s="461" t="str">
        <f ca="1">+MID(INDEX(WORLDCUP!$AA$4:$AA$147,MATCH(M8,WORLDCUP!$AH$4:$AH$147,0)),1,3)</f>
        <v>Nue</v>
      </c>
      <c r="P8" s="462">
        <f>IF(ISBLANK(INDEX(WORLDCUP!$AC$4:$AC$147,MATCH(M8,WORLDCUP!$AH$4:$AH$147,0))),"",INDEX(WORLDCUP!$AC$4:$AC$147,MATCH(M8,WORLDCUP!$AH$4:$AH$147,0)))</f>
        <v>0</v>
      </c>
      <c r="Q8" s="462">
        <f>IF(ISBLANK(INDEX(WORLDCUP!$AD$4:$AD$147,MATCH(M8,WORLDCUP!$AH$4:$AH$147,0))),"",INDEX(WORLDCUP!$AD$4:$AD$147,MATCH(M8,WORLDCUP!$AH$4:$AH$147,0)))</f>
        <v>3</v>
      </c>
      <c r="R8" s="463" t="str">
        <f ca="1">+MID(INDEX(WORLDCUP!$AF$4:$AF$147,MATCH(M8,WORLDCUP!$AH$4:$AH$147,0)),1,3)</f>
        <v>Bél</v>
      </c>
      <c r="S8" s="464"/>
      <c r="T8" s="464"/>
      <c r="U8" s="465"/>
      <c r="V8" s="465"/>
      <c r="W8" s="466"/>
      <c r="X8" s="169"/>
      <c r="Y8" s="169"/>
      <c r="Z8" s="399"/>
      <c r="AA8" s="468"/>
      <c r="AB8" s="468"/>
      <c r="AC8" s="468"/>
      <c r="AD8" s="169"/>
      <c r="AE8" s="403"/>
      <c r="AF8" s="403"/>
      <c r="AG8" s="449"/>
      <c r="AH8" s="169">
        <v>97</v>
      </c>
      <c r="AI8" s="457" t="str">
        <f ca="1">+MID(INDEX(WORLDCUP!$AF$101:$AF$147,MATCH(AH8,WORLDCUP!$Z$101:$Z$147,0)),1,3)</f>
        <v>Jap</v>
      </c>
      <c r="AJ8" s="458">
        <f>+IF(ISBLANK(INDEX(WORLDCUP!$AD$101:$AD$147,MATCH(AH8,WORLDCUP!$Z$101:$Z$147,0))),"",INDEX(WORLDCUP!$AD$101:$AD$147,MATCH(AH8,WORLDCUP!$Z$101:$Z$147,0)))</f>
        <v>1</v>
      </c>
      <c r="AK8" s="469" t="str">
        <f>+IF(ISBLANK(INDEX(WORLDCUP!$AE$101:$AE$147,MATCH(AH8,WORLDCUP!$Z$101:$Z$147,0))),"","( "&amp;INDEX(WORLDCUP!$AE$101:$AE$147,MATCH(AH8,WORLDCUP!$Z$101:$Z$147,0))&amp;" )")</f>
        <v/>
      </c>
      <c r="AL8" s="389"/>
      <c r="AM8" s="405"/>
      <c r="AN8" s="405"/>
      <c r="AO8" s="405"/>
      <c r="AP8" s="169"/>
      <c r="AQ8" s="434"/>
      <c r="AR8" s="434"/>
      <c r="AS8" s="434"/>
      <c r="AT8" s="169"/>
      <c r="AU8" s="407"/>
      <c r="AV8" s="407"/>
      <c r="AW8" s="407"/>
      <c r="AX8" s="169"/>
      <c r="AY8" s="141"/>
      <c r="AZ8" s="141"/>
      <c r="BA8" s="141"/>
      <c r="BB8" s="141"/>
      <c r="BC8" s="141"/>
      <c r="BD8" s="141"/>
      <c r="BE8" s="141"/>
      <c r="BG8" s="436" t="str">
        <f ca="1">Horarios!Q7</f>
        <v>Australia</v>
      </c>
      <c r="BH8" s="437">
        <f t="shared" ca="1" si="0"/>
        <v>1</v>
      </c>
      <c r="BI8" s="437">
        <f ca="1">COUNTIF(Pool!$C$130:$C$161,Fixture!BG8)-BJ8-BK8-BL8-BM8-BN8-BO8</f>
        <v>0</v>
      </c>
      <c r="BJ8" s="438">
        <f ca="1">COUNTIF(Pool!$C$182:$C$197,Fixture!BG8)-BK8-BL8-BM8-BN8-BO8</f>
        <v>0</v>
      </c>
      <c r="BK8" s="439">
        <f ca="1">COUNTIF(Pool!$C$210:$C$217,Fixture!BG8)-BL8-BM8-BN8-BO8</f>
        <v>0</v>
      </c>
      <c r="BL8" s="439">
        <f ca="1">COUNTIF(Pool!$C$226:$C$229,Fixture!BG8)-BM8-BN8-BO8</f>
        <v>0</v>
      </c>
      <c r="BM8" s="437">
        <f ca="1">COUNTIF(Pool!$C$252,Fixture!BG8)</f>
        <v>0</v>
      </c>
      <c r="BN8" s="437">
        <f ca="1">COUNTIF(Pool!$C$251,Fixture!BG8)</f>
        <v>0</v>
      </c>
      <c r="BO8" s="440">
        <f ca="1">COUNTIF(Pool!$C$250,Fixture!BG8)</f>
        <v>0</v>
      </c>
    </row>
    <row r="9" spans="1:67" ht="15" thickBot="1">
      <c r="A9" s="169"/>
      <c r="B9" s="385"/>
      <c r="C9" s="470"/>
      <c r="D9" s="471"/>
      <c r="E9" s="471"/>
      <c r="F9" s="141"/>
      <c r="G9" s="141"/>
      <c r="H9" s="470"/>
      <c r="I9" s="141"/>
      <c r="J9" s="141"/>
      <c r="K9" s="141"/>
      <c r="L9" s="169"/>
      <c r="M9" s="169"/>
      <c r="N9" s="139"/>
      <c r="O9" s="470"/>
      <c r="P9" s="471"/>
      <c r="Q9" s="471"/>
      <c r="R9" s="141"/>
      <c r="S9" s="141"/>
      <c r="T9" s="470"/>
      <c r="U9" s="141"/>
      <c r="V9" s="141"/>
      <c r="W9" s="141"/>
      <c r="X9" s="169"/>
      <c r="Y9" s="169">
        <v>73</v>
      </c>
      <c r="Z9" s="399" t="s">
        <v>658</v>
      </c>
      <c r="AA9" s="400" t="str">
        <f ca="1">+MID(INDEX(WORLDCUP!$AA$101:$AA$147,MATCH(Y9,WORLDCUP!$Z$101:$Z$147,0)),1,3)</f>
        <v>Cor</v>
      </c>
      <c r="AB9" s="401">
        <f>+IF(ISBLANK(INDEX(WORLDCUP!$AC$101:$AC$147,MATCH(Y9,WORLDCUP!$Z$101:$Z$147,0))),"",INDEX(WORLDCUP!$AC$101:$AC$147,MATCH(Y9,WORLDCUP!$Z$101:$Z$147,0)))</f>
        <v>1</v>
      </c>
      <c r="AC9" s="472" t="str">
        <f>+IF(ISBLANK(INDEX(WORLDCUP!$AB$101:$AB$147,MATCH(Y9,WORLDCUP!$Z$101:$Z$147,0))),"","( "&amp;INDEX(WORLDCUP!$AB$101:$AB$147,MATCH(Y9,WORLDCUP!$Z$101:$Z$147,0))&amp;" )")</f>
        <v>( 3 )</v>
      </c>
      <c r="AD9" s="167"/>
      <c r="AE9" s="403"/>
      <c r="AF9" s="403"/>
      <c r="AG9" s="449"/>
      <c r="AH9" s="169"/>
      <c r="AI9" s="433"/>
      <c r="AJ9" s="433"/>
      <c r="AK9" s="473"/>
      <c r="AL9" s="389"/>
      <c r="AM9" s="405"/>
      <c r="AN9" s="405"/>
      <c r="AO9" s="405"/>
      <c r="AP9" s="169"/>
      <c r="AQ9" s="434"/>
      <c r="AR9" s="434"/>
      <c r="AS9" s="434"/>
      <c r="AT9" s="169"/>
      <c r="AU9" s="407"/>
      <c r="AV9" s="407"/>
      <c r="AW9" s="407"/>
      <c r="AX9" s="169"/>
      <c r="AY9" s="141"/>
      <c r="AZ9" s="141"/>
      <c r="BA9" s="141"/>
      <c r="BB9" s="141"/>
      <c r="BC9" s="141"/>
      <c r="BD9" s="141"/>
      <c r="BE9" s="141"/>
      <c r="BG9" s="436" t="str">
        <f ca="1">Horarios!Q8</f>
        <v>Austria</v>
      </c>
      <c r="BH9" s="437">
        <f t="shared" ca="1" si="0"/>
        <v>0</v>
      </c>
      <c r="BI9" s="437">
        <f ca="1">COUNTIF(Pool!$C$130:$C$161,Fixture!BG9)-BJ9-BK9-BL9-BM9-BN9-BO9</f>
        <v>1</v>
      </c>
      <c r="BJ9" s="438">
        <f ca="1">COUNTIF(Pool!$C$182:$C$197,Fixture!BG9)-BK9-BL9-BM9-BN9-BO9</f>
        <v>0</v>
      </c>
      <c r="BK9" s="439">
        <f ca="1">COUNTIF(Pool!$C$210:$C$217,Fixture!BG9)-BL9-BM9-BN9-BO9</f>
        <v>0</v>
      </c>
      <c r="BL9" s="439">
        <f ca="1">COUNTIF(Pool!$C$226:$C$229,Fixture!BG9)-BM9-BN9-BO9</f>
        <v>0</v>
      </c>
      <c r="BM9" s="437">
        <f ca="1">COUNTIF(Pool!$C$252,Fixture!BG9)</f>
        <v>0</v>
      </c>
      <c r="BN9" s="437">
        <f ca="1">COUNTIF(Pool!$C$251,Fixture!BG9)</f>
        <v>0</v>
      </c>
      <c r="BO9" s="440">
        <f ca="1">COUNTIF(Pool!$C$250,Fixture!BG9)</f>
        <v>0</v>
      </c>
    </row>
    <row r="10" spans="1:67" ht="15" thickBot="1">
      <c r="A10" s="169"/>
      <c r="B10" s="385"/>
      <c r="C10" s="470"/>
      <c r="D10" s="471"/>
      <c r="E10" s="471"/>
      <c r="F10" s="141"/>
      <c r="G10" s="141"/>
      <c r="H10" s="470"/>
      <c r="I10" s="141"/>
      <c r="J10" s="141"/>
      <c r="K10" s="141"/>
      <c r="L10" s="169"/>
      <c r="M10" s="169"/>
      <c r="N10" s="139"/>
      <c r="O10" s="470"/>
      <c r="P10" s="471"/>
      <c r="Q10" s="471"/>
      <c r="R10" s="141"/>
      <c r="S10" s="141"/>
      <c r="T10" s="470"/>
      <c r="U10" s="141"/>
      <c r="V10" s="141"/>
      <c r="W10" s="141"/>
      <c r="X10" s="169"/>
      <c r="Y10" s="169">
        <v>73</v>
      </c>
      <c r="Z10" s="399" t="s">
        <v>661</v>
      </c>
      <c r="AA10" s="400" t="str">
        <f ca="1">+MID(INDEX(WORLDCUP!$AF$101:$AF$147,MATCH(Y10,WORLDCUP!$Z$101:$Z$147,0)),1,3)</f>
        <v>Can</v>
      </c>
      <c r="AB10" s="427">
        <f>+IF(ISBLANK(INDEX(WORLDCUP!$AD$101:$AD$147,MATCH(Y10,WORLDCUP!$Z$101:$Z$147,0))),"",INDEX(WORLDCUP!$AD$101:$AD$147,MATCH(Y10,WORLDCUP!$Z$101:$Z$147,0)))</f>
        <v>1</v>
      </c>
      <c r="AC10" s="428" t="str">
        <f>+IF(ISBLANK(INDEX(WORLDCUP!$AE$101:$AE$147,MATCH(Y10,WORLDCUP!$Z$101:$Z$147,0))),"","( "&amp;INDEX(WORLDCUP!$AE$101:$AE$147,MATCH(Y10,WORLDCUP!$Z$101:$Z$147,0))&amp;" )")</f>
        <v>( 4 )</v>
      </c>
      <c r="AD10" s="474">
        <v>90</v>
      </c>
      <c r="AE10" s="430" t="str">
        <f ca="1">+MID(INDEX(WORLDCUP!$AA$101:$AA$147,MATCH(AD10,WORLDCUP!$Z$101:$Z$147,0)),1,3)</f>
        <v>Can</v>
      </c>
      <c r="AF10" s="431">
        <f>+IF(ISBLANK(INDEX(WORLDCUP!$AC$101:$AC$147,MATCH(AD10,WORLDCUP!$Z$101:$Z$147,0))),"",INDEX(WORLDCUP!$AC$101:$AC$147,MATCH(AD10,WORLDCUP!$Z$101:$Z$147,0)))</f>
        <v>1</v>
      </c>
      <c r="AG10" s="475" t="str">
        <f>+IF(ISBLANK(INDEX(WORLDCUP!$AB$101:$AB$147,MATCH(AD10,WORLDCUP!$Z$101:$Z$147,0))),"","( "&amp;INDEX(WORLDCUP!$AB$101:$AB$147,MATCH(AD10,WORLDCUP!$Z$101:$Z$147,0))&amp;" )")</f>
        <v/>
      </c>
      <c r="AH10" s="169"/>
      <c r="AI10" s="433"/>
      <c r="AJ10" s="433"/>
      <c r="AK10" s="473"/>
      <c r="AL10" s="389"/>
      <c r="AM10" s="405"/>
      <c r="AN10" s="405"/>
      <c r="AO10" s="405"/>
      <c r="AP10" s="169"/>
      <c r="AQ10" s="434"/>
      <c r="AR10" s="434"/>
      <c r="AS10" s="434"/>
      <c r="AT10" s="169"/>
      <c r="AU10" s="407"/>
      <c r="AV10" s="407"/>
      <c r="AW10" s="407"/>
      <c r="AX10" s="169"/>
      <c r="AY10" s="141"/>
      <c r="AZ10" s="139"/>
      <c r="BA10" s="139"/>
      <c r="BB10" s="135"/>
      <c r="BC10" s="470"/>
      <c r="BD10" s="471"/>
      <c r="BE10" s="471"/>
      <c r="BF10" s="2"/>
      <c r="BG10" s="436" t="str">
        <f ca="1">Horarios!Q9</f>
        <v>Bélgica</v>
      </c>
      <c r="BH10" s="437">
        <f t="shared" ca="1" si="0"/>
        <v>0</v>
      </c>
      <c r="BI10" s="437">
        <f ca="1">COUNTIF(Pool!$C$130:$C$161,Fixture!BG10)-BJ10-BK10-BL10-BM10-BN10-BO10</f>
        <v>0</v>
      </c>
      <c r="BJ10" s="438">
        <f ca="1">COUNTIF(Pool!$C$182:$C$197,Fixture!BG10)-BK10-BL10-BM10-BN10-BO10</f>
        <v>0</v>
      </c>
      <c r="BK10" s="439">
        <f ca="1">COUNTIF(Pool!$C$210:$C$217,Fixture!BG10)-BL10-BM10-BN10-BO10</f>
        <v>1</v>
      </c>
      <c r="BL10" s="439">
        <f ca="1">COUNTIF(Pool!$C$226:$C$229,Fixture!BG10)-BM10-BN10-BO10</f>
        <v>0</v>
      </c>
      <c r="BM10" s="437">
        <f ca="1">COUNTIF(Pool!$C$252,Fixture!BG10)</f>
        <v>0</v>
      </c>
      <c r="BN10" s="437">
        <f ca="1">COUNTIF(Pool!$C$251,Fixture!BG10)</f>
        <v>0</v>
      </c>
      <c r="BO10" s="440">
        <f ca="1">COUNTIF(Pool!$C$250,Fixture!BG10)</f>
        <v>0</v>
      </c>
    </row>
    <row r="11" spans="1:67">
      <c r="A11" s="169">
        <v>3</v>
      </c>
      <c r="B11" s="476" t="s">
        <v>1</v>
      </c>
      <c r="C11" s="391" t="str">
        <f ca="1">+MID(INDEX(WORLDCUP!$AA$4:$AA$147,MATCH(A11,WORLDCUP!$AH$4:$AH$147,0)),1,3)</f>
        <v>Can</v>
      </c>
      <c r="D11" s="392">
        <f>IF(ISBLANK(INDEX(WORLDCUP!$AC$4:$AC$147,MATCH(A11,WORLDCUP!$AH$4:$AH$147,0))),"",INDEX(WORLDCUP!$AC$4:$AC$147,MATCH(A11,WORLDCUP!$AH$4:$AH$147,0)))</f>
        <v>2</v>
      </c>
      <c r="E11" s="392">
        <f>IF(ISBLANK(INDEX(WORLDCUP!$AD$4:$AD$147,MATCH(A11,WORLDCUP!$AH$4:$AH$147,0))),"",INDEX(WORLDCUP!$AD$4:$AD$147,MATCH(A11,WORLDCUP!$AH$4:$AH$147,0)))</f>
        <v>0</v>
      </c>
      <c r="F11" s="393" t="str">
        <f ca="1">+MID(INDEX(WORLDCUP!$AF$4:$AF$147,MATCH(A11,WORLDCUP!$AH$4:$AH$147,0)),1,3)</f>
        <v>Bos</v>
      </c>
      <c r="G11" s="394"/>
      <c r="H11" s="395" t="str">
        <f>+H3</f>
        <v>Sel</v>
      </c>
      <c r="I11" s="396" t="str">
        <f>+I3</f>
        <v>Pts</v>
      </c>
      <c r="J11" s="396" t="str">
        <f>+J3</f>
        <v>DG</v>
      </c>
      <c r="K11" s="397" t="str">
        <f>+K3</f>
        <v>GF-GC</v>
      </c>
      <c r="L11" s="169"/>
      <c r="M11" s="169">
        <v>14</v>
      </c>
      <c r="N11" s="477" t="s">
        <v>447</v>
      </c>
      <c r="O11" s="391" t="str">
        <f ca="1">+MID(INDEX(WORLDCUP!$AA$4:$AA$147,MATCH(M11,WORLDCUP!$AH$4:$AH$147,0)),1,3)</f>
        <v>Esp</v>
      </c>
      <c r="P11" s="392">
        <f>IF(ISBLANK(INDEX(WORLDCUP!$AC$4:$AC$147,MATCH(M11,WORLDCUP!$AH$4:$AH$147,0))),"",INDEX(WORLDCUP!$AC$4:$AC$147,MATCH(M11,WORLDCUP!$AH$4:$AH$147,0)))</f>
        <v>4</v>
      </c>
      <c r="Q11" s="392">
        <f>IF(ISBLANK(INDEX(WORLDCUP!$AD$4:$AD$147,MATCH(M11,WORLDCUP!$AH$4:$AH$147,0))),"",INDEX(WORLDCUP!$AD$4:$AD$147,MATCH(M11,WORLDCUP!$AH$4:$AH$147,0)))</f>
        <v>0</v>
      </c>
      <c r="R11" s="393" t="str">
        <f ca="1">+MID(INDEX(WORLDCUP!$AF$4:$AF$147,MATCH(M11,WORLDCUP!$AH$4:$AH$147,0)),1,3)</f>
        <v>Cab</v>
      </c>
      <c r="S11" s="394"/>
      <c r="T11" s="395" t="str">
        <f>+T3</f>
        <v>Sel</v>
      </c>
      <c r="U11" s="396" t="str">
        <f t="shared" ref="U11:W11" si="1">+U3</f>
        <v>Pts</v>
      </c>
      <c r="V11" s="396" t="str">
        <f t="shared" si="1"/>
        <v>DG</v>
      </c>
      <c r="W11" s="397" t="str">
        <f t="shared" si="1"/>
        <v>GF-GC</v>
      </c>
      <c r="X11" s="169"/>
      <c r="Y11" s="169"/>
      <c r="Z11" s="399"/>
      <c r="AA11" s="443"/>
      <c r="AB11" s="443"/>
      <c r="AC11" s="444"/>
      <c r="AD11" s="169">
        <v>90</v>
      </c>
      <c r="AE11" s="430" t="str">
        <f ca="1">+MID(INDEX(WORLDCUP!$AF$101:$AF$147,MATCH(AD11,WORLDCUP!$Z$101:$Z$147,0)),1,3)</f>
        <v>Jap</v>
      </c>
      <c r="AF11" s="431">
        <f>+IF(ISBLANK(INDEX(WORLDCUP!$AD$101:$AD$147,MATCH(AD11,WORLDCUP!$Z$101:$Z$147,0))),"",INDEX(WORLDCUP!$AD$101:$AD$147,MATCH(AD11,WORLDCUP!$Z$101:$Z$147,0)))</f>
        <v>2</v>
      </c>
      <c r="AG11" s="448" t="str">
        <f>+IF(ISBLANK(INDEX(WORLDCUP!$AE$101:$AE$147,MATCH(AD11,WORLDCUP!$Z$101:$Z$147,0))),"","( "&amp;INDEX(WORLDCUP!$AE$101:$AE$147,MATCH(AD11,WORLDCUP!$Z$101:$Z$147,0))&amp;" )")</f>
        <v/>
      </c>
      <c r="AH11" s="169"/>
      <c r="AI11" s="433"/>
      <c r="AJ11" s="433"/>
      <c r="AK11" s="473"/>
      <c r="AL11" s="389"/>
      <c r="AM11" s="405"/>
      <c r="AN11" s="405"/>
      <c r="AO11" s="405"/>
      <c r="AP11" s="169"/>
      <c r="AQ11" s="434"/>
      <c r="AR11" s="434"/>
      <c r="AS11" s="434"/>
      <c r="AT11" s="169"/>
      <c r="AU11" s="407"/>
      <c r="AV11" s="407"/>
      <c r="AW11" s="407"/>
      <c r="AX11" s="169"/>
      <c r="AY11" s="141"/>
      <c r="AZ11" s="141"/>
      <c r="BA11" s="141"/>
      <c r="BB11" s="141"/>
      <c r="BC11" s="141"/>
      <c r="BD11" s="141"/>
      <c r="BE11" s="141"/>
      <c r="BG11" s="436" t="str">
        <f ca="1">Horarios!Q10</f>
        <v>Bosnia y Herzegovina</v>
      </c>
      <c r="BH11" s="437">
        <f t="shared" ca="1" si="0"/>
        <v>0</v>
      </c>
      <c r="BI11" s="437">
        <f ca="1">COUNTIF(Pool!$C$130:$C$161,Fixture!BG11)-BJ11-BK11-BL11-BM11-BN11-BO11</f>
        <v>1</v>
      </c>
      <c r="BJ11" s="438">
        <f ca="1">COUNTIF(Pool!$C$182:$C$197,Fixture!BG11)-BK11-BL11-BM11-BN11-BO11</f>
        <v>0</v>
      </c>
      <c r="BK11" s="439">
        <f ca="1">COUNTIF(Pool!$C$210:$C$217,Fixture!BG11)-BL11-BM11-BN11-BO11</f>
        <v>0</v>
      </c>
      <c r="BL11" s="439">
        <f ca="1">COUNTIF(Pool!$C$226:$C$229,Fixture!BG11)-BM11-BN11-BO11</f>
        <v>0</v>
      </c>
      <c r="BM11" s="437">
        <f ca="1">COUNTIF(Pool!$C$252,Fixture!BG11)</f>
        <v>0</v>
      </c>
      <c r="BN11" s="437">
        <f ca="1">COUNTIF(Pool!$C$251,Fixture!BG11)</f>
        <v>0</v>
      </c>
      <c r="BO11" s="440">
        <f ca="1">COUNTIF(Pool!$C$250,Fixture!BG11)</f>
        <v>0</v>
      </c>
    </row>
    <row r="12" spans="1:67" ht="15" thickBot="1">
      <c r="A12" s="169">
        <v>8</v>
      </c>
      <c r="B12" s="478"/>
      <c r="C12" s="418" t="str">
        <f ca="1">+MID(INDEX(WORLDCUP!$AA$4:$AA$147,MATCH(A12,WORLDCUP!$AH$4:$AH$147,0)),1,3)</f>
        <v>Cat</v>
      </c>
      <c r="D12" s="419">
        <f>IF(ISBLANK(INDEX(WORLDCUP!$AC$4:$AC$147,MATCH(A12,WORLDCUP!$AH$4:$AH$147,0))),"",INDEX(WORLDCUP!$AC$4:$AC$147,MATCH(A12,WORLDCUP!$AH$4:$AH$147,0)))</f>
        <v>0</v>
      </c>
      <c r="E12" s="419">
        <f>IF(ISBLANK(INDEX(WORLDCUP!$AD$4:$AD$147,MATCH(A12,WORLDCUP!$AH$4:$AH$147,0))),"",INDEX(WORLDCUP!$AD$4:$AD$147,MATCH(A12,WORLDCUP!$AH$4:$AH$147,0)))</f>
        <v>2</v>
      </c>
      <c r="F12" s="420" t="str">
        <f ca="1">+MID(INDEX(WORLDCUP!$AF$4:$AF$147,MATCH(A12,WORLDCUP!$AH$4:$AH$147,0)),1,3)</f>
        <v>Sui</v>
      </c>
      <c r="G12" s="421">
        <v>1</v>
      </c>
      <c r="H12" s="422" t="str">
        <f ca="1">+MID(INDEX(WORLDCUP!$AL$6:$AL$97,MATCH(L12,WORLDCUP!$AI$6:$AI$97,0)),1,3)</f>
        <v>Sui</v>
      </c>
      <c r="I12" s="423">
        <f ca="1">+INDEX(WORLDCUP!$AM$6:$AM$97,MATCH(L12,WORLDCUP!$AI$6:$AI$97,0))</f>
        <v>7</v>
      </c>
      <c r="J12" s="424">
        <f ca="1">+INDEX(WORLDCUP!$AT$6:$AT$97,MATCH(L12,WORLDCUP!$AI$6:$AI$97,0))</f>
        <v>4</v>
      </c>
      <c r="K12" s="425" t="str">
        <f ca="1">+INDEX(WORLDCUP!$AR$6:$AR$97,MATCH(L12,WORLDCUP!$AI$6:$AI$97,0))&amp;"-"&amp;INDEX(WORLDCUP!$AS$6:$AS$97,MATCH(L12,WORLDCUP!$AI$6:$AI$97,0))</f>
        <v>5-1</v>
      </c>
      <c r="L12" s="169" t="s">
        <v>660</v>
      </c>
      <c r="M12" s="169">
        <v>13</v>
      </c>
      <c r="N12" s="479"/>
      <c r="O12" s="418" t="str">
        <f ca="1">+MID(INDEX(WORLDCUP!$AA$4:$AA$147,MATCH(M12,WORLDCUP!$AH$4:$AH$147,0)),1,3)</f>
        <v>Ara</v>
      </c>
      <c r="P12" s="419">
        <f>IF(ISBLANK(INDEX(WORLDCUP!$AC$4:$AC$147,MATCH(M12,WORLDCUP!$AH$4:$AH$147,0))),"",INDEX(WORLDCUP!$AC$4:$AC$147,MATCH(M12,WORLDCUP!$AH$4:$AH$147,0)))</f>
        <v>0</v>
      </c>
      <c r="Q12" s="419">
        <f>IF(ISBLANK(INDEX(WORLDCUP!$AD$4:$AD$147,MATCH(M12,WORLDCUP!$AH$4:$AH$147,0))),"",INDEX(WORLDCUP!$AD$4:$AD$147,MATCH(M12,WORLDCUP!$AH$4:$AH$147,0)))</f>
        <v>2</v>
      </c>
      <c r="R12" s="420" t="str">
        <f ca="1">+MID(INDEX(WORLDCUP!$AF$4:$AF$147,MATCH(M12,WORLDCUP!$AH$4:$AH$147,0)),1,3)</f>
        <v>Uru</v>
      </c>
      <c r="S12" s="421">
        <v>1</v>
      </c>
      <c r="T12" s="422" t="str">
        <f ca="1">+MID(INDEX(WORLDCUP!$AL$6:$AL$97,MATCH(X12,WORLDCUP!$AI$6:$AI$97,0)),1,3)</f>
        <v>Esp</v>
      </c>
      <c r="U12" s="423">
        <f ca="1">+INDEX(WORLDCUP!$AM$6:$AM$97,MATCH(X12,WORLDCUP!$AI$6:$AI$97,0))</f>
        <v>9</v>
      </c>
      <c r="V12" s="424">
        <f ca="1">+INDEX(WORLDCUP!$AT$6:$AT$97,MATCH(X12,WORLDCUP!$AI$6:$AI$97,0))</f>
        <v>7</v>
      </c>
      <c r="W12" s="425" t="str">
        <f ca="1">+INDEX(WORLDCUP!$AR$6:$AR$97,MATCH(X12,WORLDCUP!$AI$6:$AI$97,0))&amp;"-"&amp;INDEX(WORLDCUP!$AS$6:$AS$97,MATCH(X12,WORLDCUP!$AI$6:$AI$97,0))</f>
        <v>9-2</v>
      </c>
      <c r="X12" s="169" t="s">
        <v>682</v>
      </c>
      <c r="Y12" s="169">
        <v>75</v>
      </c>
      <c r="Z12" s="399" t="s">
        <v>676</v>
      </c>
      <c r="AA12" s="400" t="str">
        <f ca="1">+MID(INDEX(WORLDCUP!$AA$101:$AA$147,MATCH(Y12,WORLDCUP!$Z$101:$Z$147,0)),1,3)</f>
        <v>Jap</v>
      </c>
      <c r="AB12" s="446">
        <f>+IF(ISBLANK(INDEX(WORLDCUP!$AC$101:$AC$147,MATCH(Y12,WORLDCUP!$Z$101:$Z$147,0))),"",INDEX(WORLDCUP!$AC$101:$AC$147,MATCH(Y12,WORLDCUP!$Z$101:$Z$147,0)))</f>
        <v>2</v>
      </c>
      <c r="AC12" s="480" t="str">
        <f>+IF(ISBLANK(INDEX(WORLDCUP!$AB$101:$AB$147,MATCH(Y12,WORLDCUP!$Z$101:$Z$147,0))),"","( "&amp;INDEX(WORLDCUP!$AB$101:$AB$147,MATCH(Y12,WORLDCUP!$Z$101:$Z$147,0))&amp;" )")</f>
        <v/>
      </c>
      <c r="AD12" s="169"/>
      <c r="AE12" s="403"/>
      <c r="AF12" s="403"/>
      <c r="AG12" s="403"/>
      <c r="AH12" s="169"/>
      <c r="AI12" s="433"/>
      <c r="AJ12" s="433"/>
      <c r="AK12" s="473"/>
      <c r="AL12" s="389"/>
      <c r="AM12" s="405"/>
      <c r="AN12" s="405"/>
      <c r="AO12" s="405"/>
      <c r="AP12" s="169"/>
      <c r="AQ12" s="434"/>
      <c r="AR12" s="434"/>
      <c r="AS12" s="434"/>
      <c r="AT12" s="169"/>
      <c r="AU12" s="407"/>
      <c r="AV12" s="407"/>
      <c r="AW12" s="407"/>
      <c r="AX12" s="169"/>
      <c r="AY12" s="141"/>
      <c r="AZ12" s="141"/>
      <c r="BA12" s="141"/>
      <c r="BB12" s="141"/>
      <c r="BC12" s="141"/>
      <c r="BD12" s="141"/>
      <c r="BE12" s="141"/>
      <c r="BG12" s="436" t="str">
        <f ca="1">Horarios!Q11</f>
        <v>Brasil</v>
      </c>
      <c r="BH12" s="437">
        <f t="shared" ca="1" si="0"/>
        <v>0</v>
      </c>
      <c r="BI12" s="437">
        <f ca="1">COUNTIF(Pool!$C$130:$C$161,Fixture!BG12)-BJ12-BK12-BL12-BM12-BN12-BO12</f>
        <v>1</v>
      </c>
      <c r="BJ12" s="438">
        <f ca="1">COUNTIF(Pool!$C$182:$C$197,Fixture!BG12)-BK12-BL12-BM12-BN12-BO12</f>
        <v>0</v>
      </c>
      <c r="BK12" s="439">
        <f ca="1">COUNTIF(Pool!$C$210:$C$217,Fixture!BG12)-BL12-BM12-BN12-BO12</f>
        <v>0</v>
      </c>
      <c r="BL12" s="439">
        <f ca="1">COUNTIF(Pool!$C$226:$C$229,Fixture!BG12)-BM12-BN12-BO12</f>
        <v>0</v>
      </c>
      <c r="BM12" s="437">
        <f ca="1">COUNTIF(Pool!$C$252,Fixture!BG12)</f>
        <v>0</v>
      </c>
      <c r="BN12" s="437">
        <f ca="1">COUNTIF(Pool!$C$251,Fixture!BG12)</f>
        <v>0</v>
      </c>
      <c r="BO12" s="440">
        <f ca="1">COUNTIF(Pool!$C$250,Fixture!BG12)</f>
        <v>0</v>
      </c>
    </row>
    <row r="13" spans="1:67" ht="15" thickBot="1">
      <c r="A13" s="169">
        <v>26</v>
      </c>
      <c r="B13" s="478"/>
      <c r="C13" s="418" t="str">
        <f ca="1">+MID(INDEX(WORLDCUP!$AA$4:$AA$147,MATCH(A13,WORLDCUP!$AH$4:$AH$147,0)),1,3)</f>
        <v>Sui</v>
      </c>
      <c r="D13" s="419">
        <f>IF(ISBLANK(INDEX(WORLDCUP!$AC$4:$AC$147,MATCH(A13,WORLDCUP!$AH$4:$AH$147,0))),"",INDEX(WORLDCUP!$AC$4:$AC$147,MATCH(A13,WORLDCUP!$AH$4:$AH$147,0)))</f>
        <v>2</v>
      </c>
      <c r="E13" s="419">
        <f>IF(ISBLANK(INDEX(WORLDCUP!$AD$4:$AD$147,MATCH(A13,WORLDCUP!$AH$4:$AH$147,0))),"",INDEX(WORLDCUP!$AD$4:$AD$147,MATCH(A13,WORLDCUP!$AH$4:$AH$147,0)))</f>
        <v>0</v>
      </c>
      <c r="F13" s="420" t="str">
        <f ca="1">+MID(INDEX(WORLDCUP!$AF$4:$AF$147,MATCH(A13,WORLDCUP!$AH$4:$AH$147,0)),1,3)</f>
        <v>Bos</v>
      </c>
      <c r="G13" s="441">
        <v>2</v>
      </c>
      <c r="H13" s="442" t="str">
        <f ca="1">+MID(INDEX(WORLDCUP!$AL$6:$AL$97,MATCH(L13,WORLDCUP!$AI$6:$AI$97,0)),1,3)</f>
        <v>Can</v>
      </c>
      <c r="I13" s="38">
        <f ca="1">+INDEX(WORLDCUP!$AM$6:$AM$97,MATCH(L13,WORLDCUP!$AI$6:$AI$97,0))</f>
        <v>7</v>
      </c>
      <c r="J13" s="39">
        <f ca="1">+INDEX(WORLDCUP!$AT$6:$AT$97,MATCH(L13,WORLDCUP!$AI$6:$AI$97,0))</f>
        <v>3</v>
      </c>
      <c r="K13" s="43" t="str">
        <f ca="1">+INDEX(WORLDCUP!$AR$6:$AR$97,MATCH(L13,WORLDCUP!$AI$6:$AI$97,0))&amp;"-"&amp;INDEX(WORLDCUP!$AS$6:$AS$97,MATCH(L13,WORLDCUP!$AI$6:$AI$97,0))</f>
        <v>5-2</v>
      </c>
      <c r="L13" s="169" t="s">
        <v>661</v>
      </c>
      <c r="M13" s="169">
        <v>38</v>
      </c>
      <c r="N13" s="479"/>
      <c r="O13" s="418" t="str">
        <f ca="1">+MID(INDEX(WORLDCUP!$AA$4:$AA$147,MATCH(M13,WORLDCUP!$AH$4:$AH$147,0)),1,3)</f>
        <v>Esp</v>
      </c>
      <c r="P13" s="419">
        <f>IF(ISBLANK(INDEX(WORLDCUP!$AC$4:$AC$147,MATCH(M13,WORLDCUP!$AH$4:$AH$147,0))),"",INDEX(WORLDCUP!$AC$4:$AC$147,MATCH(M13,WORLDCUP!$AH$4:$AH$147,0)))</f>
        <v>2</v>
      </c>
      <c r="Q13" s="419">
        <f>IF(ISBLANK(INDEX(WORLDCUP!$AD$4:$AD$147,MATCH(M13,WORLDCUP!$AH$4:$AH$147,0))),"",INDEX(WORLDCUP!$AD$4:$AD$147,MATCH(M13,WORLDCUP!$AH$4:$AH$147,0)))</f>
        <v>0</v>
      </c>
      <c r="R13" s="420" t="str">
        <f ca="1">+MID(INDEX(WORLDCUP!$AF$4:$AF$147,MATCH(M13,WORLDCUP!$AH$4:$AH$147,0)),1,3)</f>
        <v>Ara</v>
      </c>
      <c r="S13" s="441">
        <v>2</v>
      </c>
      <c r="T13" s="442"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6-3</v>
      </c>
      <c r="X13" s="169" t="s">
        <v>683</v>
      </c>
      <c r="Y13" s="169">
        <v>75</v>
      </c>
      <c r="Z13" s="399" t="s">
        <v>668</v>
      </c>
      <c r="AA13" s="454" t="str">
        <f ca="1">+MID(INDEX(WORLDCUP!$AF$101:$AF$147,MATCH(Y13,WORLDCUP!$Z$101:$Z$147,0)),1,3)</f>
        <v>Esc</v>
      </c>
      <c r="AB13" s="455">
        <f>+IF(ISBLANK(INDEX(WORLDCUP!$AD$101:$AD$147,MATCH(Y13,WORLDCUP!$Z$101:$Z$147,0))),"",INDEX(WORLDCUP!$AD$101:$AD$147,MATCH(Y13,WORLDCUP!$Z$101:$Z$147,0)))</f>
        <v>0</v>
      </c>
      <c r="AC13" s="481" t="str">
        <f>+IF(ISBLANK(INDEX(WORLDCUP!$AE$101:$AE$147,MATCH(Y13,WORLDCUP!$Z$101:$Z$147,0))),"","( "&amp;INDEX(WORLDCUP!$AE$101:$AE$147,MATCH(Y13,WORLDCUP!$Z$101:$Z$147,0))&amp;" )")</f>
        <v/>
      </c>
      <c r="AD13" s="169"/>
      <c r="AE13" s="403"/>
      <c r="AF13" s="403"/>
      <c r="AG13" s="403"/>
      <c r="AH13" s="169"/>
      <c r="AI13" s="433"/>
      <c r="AJ13" s="433"/>
      <c r="AK13" s="473"/>
      <c r="AL13" s="474">
        <v>101</v>
      </c>
      <c r="AM13" s="482" t="str">
        <f ca="1">+MID(INDEX(WORLDCUP!$AA$101:$AA$147,MATCH(AL13,WORLDCUP!$Z$101:$Z$147,0)),1,3)</f>
        <v>Fra</v>
      </c>
      <c r="AN13" s="483">
        <f>+IF(ISBLANK(INDEX(WORLDCUP!$AC$101:$AC$147,MATCH(AL13,WORLDCUP!$Z$101:$Z$147,0))),"",INDEX(WORLDCUP!$AC$101:$AC$147,MATCH(AL13,WORLDCUP!$Z$101:$Z$147,0)))</f>
        <v>2</v>
      </c>
      <c r="AO13" s="484" t="str">
        <f>+IF(ISBLANK(INDEX(WORLDCUP!$AB$101:$AB$147,MATCH(AL13,WORLDCUP!$Z$101:$Z$147,0))),"","( "&amp;INDEX(WORLDCUP!$AB$101:$AB$147,MATCH(AL13,WORLDCUP!$Z$101:$Z$147,0))&amp;" )")</f>
        <v>( 3 )</v>
      </c>
      <c r="AP13" s="169"/>
      <c r="AQ13" s="434"/>
      <c r="AR13" s="434"/>
      <c r="AS13" s="434"/>
      <c r="AT13" s="169"/>
      <c r="AU13" s="407"/>
      <c r="AV13" s="407"/>
      <c r="AW13" s="407"/>
      <c r="AX13" s="169"/>
      <c r="AY13" s="141"/>
      <c r="AZ13" s="141"/>
      <c r="BA13" s="141"/>
      <c r="BB13" s="141"/>
      <c r="BC13" s="141"/>
      <c r="BD13" s="141"/>
      <c r="BE13" s="141"/>
      <c r="BG13" s="436" t="str">
        <f ca="1">Horarios!Q12</f>
        <v>Cabo Verde</v>
      </c>
      <c r="BH13" s="437">
        <f t="shared" ca="1" si="0"/>
        <v>1</v>
      </c>
      <c r="BI13" s="437">
        <f ca="1">COUNTIF(Pool!$C$130:$C$161,Fixture!BG13)-BJ13-BK13-BL13-BM13-BN13-BO13</f>
        <v>0</v>
      </c>
      <c r="BJ13" s="438">
        <f ca="1">COUNTIF(Pool!$C$182:$C$197,Fixture!BG13)-BK13-BL13-BM13-BN13-BO13</f>
        <v>0</v>
      </c>
      <c r="BK13" s="439">
        <f ca="1">COUNTIF(Pool!$C$210:$C$217,Fixture!BG13)-BL13-BM13-BN13-BO13</f>
        <v>0</v>
      </c>
      <c r="BL13" s="439">
        <f ca="1">COUNTIF(Pool!$C$226:$C$229,Fixture!BG13)-BM13-BN13-BO13</f>
        <v>0</v>
      </c>
      <c r="BM13" s="437">
        <f ca="1">COUNTIF(Pool!$C$252,Fixture!BG13)</f>
        <v>0</v>
      </c>
      <c r="BN13" s="437">
        <f ca="1">COUNTIF(Pool!$C$251,Fixture!BG13)</f>
        <v>0</v>
      </c>
      <c r="BO13" s="440">
        <f ca="1">COUNTIF(Pool!$C$250,Fixture!BG13)</f>
        <v>0</v>
      </c>
    </row>
    <row r="14" spans="1:67">
      <c r="A14" s="169">
        <v>27</v>
      </c>
      <c r="B14" s="478"/>
      <c r="C14" s="418" t="str">
        <f ca="1">+MID(INDEX(WORLDCUP!$AA$4:$AA$147,MATCH(A14,WORLDCUP!$AH$4:$AH$147,0)),1,3)</f>
        <v>Can</v>
      </c>
      <c r="D14" s="419">
        <f>IF(ISBLANK(INDEX(WORLDCUP!$AC$4:$AC$147,MATCH(A14,WORLDCUP!$AH$4:$AH$147,0))),"",INDEX(WORLDCUP!$AC$4:$AC$147,MATCH(A14,WORLDCUP!$AH$4:$AH$147,0)))</f>
        <v>2</v>
      </c>
      <c r="E14" s="419">
        <f>IF(ISBLANK(INDEX(WORLDCUP!$AD$4:$AD$147,MATCH(A14,WORLDCUP!$AH$4:$AH$147,0))),"",INDEX(WORLDCUP!$AD$4:$AD$147,MATCH(A14,WORLDCUP!$AH$4:$AH$147,0)))</f>
        <v>1</v>
      </c>
      <c r="F14" s="420" t="str">
        <f ca="1">+MID(INDEX(WORLDCUP!$AF$4:$AF$147,MATCH(A14,WORLDCUP!$AH$4:$AH$147,0)),1,3)</f>
        <v>Cat</v>
      </c>
      <c r="G14" s="441">
        <v>3</v>
      </c>
      <c r="H14" s="442" t="str">
        <f ca="1">+MID(INDEX(WORLDCUP!$AL$6:$AL$97,MATCH(L14,WORLDCUP!$AI$6:$AI$97,0)),1,3)</f>
        <v>Bos</v>
      </c>
      <c r="I14" s="38">
        <f ca="1">+INDEX(WORLDCUP!$AM$6:$AM$97,MATCH(L14,WORLDCUP!$AI$6:$AI$97,0))</f>
        <v>3</v>
      </c>
      <c r="J14" s="39">
        <f ca="1">+INDEX(WORLDCUP!$AT$6:$AT$97,MATCH(L14,WORLDCUP!$AI$6:$AI$97,0))</f>
        <v>-3</v>
      </c>
      <c r="K14" s="43" t="str">
        <f ca="1">+INDEX(WORLDCUP!$AR$6:$AR$97,MATCH(L14,WORLDCUP!$AI$6:$AI$97,0))&amp;"-"&amp;INDEX(WORLDCUP!$AS$6:$AS$97,MATCH(L14,WORLDCUP!$AI$6:$AI$97,0))</f>
        <v>2-5</v>
      </c>
      <c r="L14" s="169" t="s">
        <v>91</v>
      </c>
      <c r="M14" s="169">
        <v>37</v>
      </c>
      <c r="N14" s="479"/>
      <c r="O14" s="418" t="str">
        <f ca="1">+MID(INDEX(WORLDCUP!$AA$4:$AA$147,MATCH(M14,WORLDCUP!$AH$4:$AH$147,0)),1,3)</f>
        <v>Uru</v>
      </c>
      <c r="P14" s="419">
        <f>IF(ISBLANK(INDEX(WORLDCUP!$AC$4:$AC$147,MATCH(M14,WORLDCUP!$AH$4:$AH$147,0))),"",INDEX(WORLDCUP!$AC$4:$AC$147,MATCH(M14,WORLDCUP!$AH$4:$AH$147,0)))</f>
        <v>2</v>
      </c>
      <c r="Q14" s="419">
        <f>IF(ISBLANK(INDEX(WORLDCUP!$AD$4:$AD$147,MATCH(M14,WORLDCUP!$AH$4:$AH$147,0))),"",INDEX(WORLDCUP!$AD$4:$AD$147,MATCH(M14,WORLDCUP!$AH$4:$AH$147,0)))</f>
        <v>0</v>
      </c>
      <c r="R14" s="420" t="str">
        <f ca="1">+MID(INDEX(WORLDCUP!$AF$4:$AF$147,MATCH(M14,WORLDCUP!$AH$4:$AH$147,0)),1,3)</f>
        <v>Cab</v>
      </c>
      <c r="S14" s="441">
        <v>3</v>
      </c>
      <c r="T14" s="442" t="str">
        <f ca="1">+MID(INDEX(WORLDCUP!$AL$6:$AL$97,MATCH(X14,WORLDCUP!$AI$6:$AI$97,0)),1,3)</f>
        <v>Ara</v>
      </c>
      <c r="U14" s="38">
        <f ca="1">+INDEX(WORLDCUP!$AM$6:$AM$97,MATCH(X14,WORLDCUP!$AI$6:$AI$97,0))</f>
        <v>1</v>
      </c>
      <c r="V14" s="39">
        <f ca="1">+INDEX(WORLDCUP!$AT$6:$AT$97,MATCH(X14,WORLDCUP!$AI$6:$AI$97,0))</f>
        <v>-4</v>
      </c>
      <c r="W14" s="43" t="str">
        <f ca="1">+INDEX(WORLDCUP!$AR$6:$AR$97,MATCH(X14,WORLDCUP!$AI$6:$AI$97,0))&amp;"-"&amp;INDEX(WORLDCUP!$AS$6:$AS$97,MATCH(X14,WORLDCUP!$AI$6:$AI$97,0))</f>
        <v>1-5</v>
      </c>
      <c r="X14" s="169" t="s">
        <v>446</v>
      </c>
      <c r="Y14" s="169"/>
      <c r="Z14" s="399"/>
      <c r="AA14" s="468"/>
      <c r="AB14" s="468"/>
      <c r="AC14" s="468"/>
      <c r="AD14" s="169"/>
      <c r="AE14" s="403"/>
      <c r="AF14" s="403"/>
      <c r="AG14" s="403"/>
      <c r="AH14" s="169"/>
      <c r="AI14" s="433"/>
      <c r="AJ14" s="433"/>
      <c r="AK14" s="473"/>
      <c r="AL14" s="169">
        <v>101</v>
      </c>
      <c r="AM14" s="482" t="str">
        <f ca="1">+MID(INDEX(WORLDCUP!$AF$101:$AF$147,MATCH(AL14,WORLDCUP!$Z$101:$Z$147,0)),1,3)</f>
        <v>Esp</v>
      </c>
      <c r="AN14" s="483">
        <f>+IF(ISBLANK(INDEX(WORLDCUP!$AD$101:$AD$147,MATCH(AL14,WORLDCUP!$Z$101:$Z$147,0))),"",INDEX(WORLDCUP!$AD$101:$AD$147,MATCH(AL14,WORLDCUP!$Z$101:$Z$147,0)))</f>
        <v>2</v>
      </c>
      <c r="AO14" s="485" t="str">
        <f>+IF(ISBLANK(INDEX(WORLDCUP!$AE$101:$AE$147,MATCH(AL14,WORLDCUP!$Z$101:$Z$147,0))),"","( "&amp;INDEX(WORLDCUP!$AE$101:$AE$147,MATCH(AL14,WORLDCUP!$Z$101:$Z$147,0))&amp;" )")</f>
        <v>( 4 )</v>
      </c>
      <c r="AP14" s="169"/>
      <c r="AQ14" s="434"/>
      <c r="AR14" s="434"/>
      <c r="AS14" s="434"/>
      <c r="AT14" s="169"/>
      <c r="AU14" s="407"/>
      <c r="AV14" s="407"/>
      <c r="AW14" s="407"/>
      <c r="AX14" s="169"/>
      <c r="AY14" s="141"/>
      <c r="AZ14" s="141"/>
      <c r="BA14" s="141"/>
      <c r="BB14" s="141"/>
      <c r="BC14" s="141"/>
      <c r="BD14" s="141"/>
      <c r="BE14" s="141"/>
      <c r="BG14" s="436" t="str">
        <f ca="1">Horarios!Q13</f>
        <v>Canadá</v>
      </c>
      <c r="BH14" s="437">
        <f t="shared" ca="1" si="0"/>
        <v>0</v>
      </c>
      <c r="BI14" s="437">
        <f ca="1">COUNTIF(Pool!$C$130:$C$161,Fixture!BG14)-BJ14-BK14-BL14-BM14-BN14-BO14</f>
        <v>0</v>
      </c>
      <c r="BJ14" s="438">
        <f ca="1">COUNTIF(Pool!$C$182:$C$197,Fixture!BG14)-BK14-BL14-BM14-BN14-BO14</f>
        <v>1</v>
      </c>
      <c r="BK14" s="439">
        <f ca="1">COUNTIF(Pool!$C$210:$C$217,Fixture!BG14)-BL14-BM14-BN14-BO14</f>
        <v>0</v>
      </c>
      <c r="BL14" s="439">
        <f ca="1">COUNTIF(Pool!$C$226:$C$229,Fixture!BG14)-BM14-BN14-BO14</f>
        <v>0</v>
      </c>
      <c r="BM14" s="437">
        <f ca="1">COUNTIF(Pool!$C$252,Fixture!BG14)</f>
        <v>0</v>
      </c>
      <c r="BN14" s="437">
        <f ca="1">COUNTIF(Pool!$C$251,Fixture!BG14)</f>
        <v>0</v>
      </c>
      <c r="BO14" s="440">
        <f ca="1">COUNTIF(Pool!$C$250,Fixture!BG14)</f>
        <v>0</v>
      </c>
    </row>
    <row r="15" spans="1:67" ht="15" thickBot="1">
      <c r="A15" s="169">
        <v>51</v>
      </c>
      <c r="B15" s="478"/>
      <c r="C15" s="418" t="str">
        <f ca="1">+MID(INDEX(WORLDCUP!$AA$4:$AA$147,MATCH(A15,WORLDCUP!$AH$4:$AH$147,0)),1,3)</f>
        <v>Sui</v>
      </c>
      <c r="D15" s="419">
        <f>IF(ISBLANK(INDEX(WORLDCUP!$AC$4:$AC$147,MATCH(A15,WORLDCUP!$AH$4:$AH$147,0))),"",INDEX(WORLDCUP!$AC$4:$AC$147,MATCH(A15,WORLDCUP!$AH$4:$AH$147,0)))</f>
        <v>1</v>
      </c>
      <c r="E15" s="419">
        <f>IF(ISBLANK(INDEX(WORLDCUP!$AD$4:$AD$147,MATCH(A15,WORLDCUP!$AH$4:$AH$147,0))),"",INDEX(WORLDCUP!$AD$4:$AD$147,MATCH(A15,WORLDCUP!$AH$4:$AH$147,0)))</f>
        <v>1</v>
      </c>
      <c r="F15" s="420" t="str">
        <f ca="1">+MID(INDEX(WORLDCUP!$AF$4:$AF$147,MATCH(A15,WORLDCUP!$AH$4:$AH$147,0)),1,3)</f>
        <v>Can</v>
      </c>
      <c r="G15" s="441">
        <v>4</v>
      </c>
      <c r="H15" s="450" t="str">
        <f ca="1">+MID(INDEX(WORLDCUP!$AL$6:$AL$97,MATCH(L15,WORLDCUP!$AI$6:$AI$97,0)),1,3)</f>
        <v>Cat</v>
      </c>
      <c r="I15" s="451">
        <f ca="1">+INDEX(WORLDCUP!$AM$6:$AM$97,MATCH(L15,WORLDCUP!$AI$6:$AI$97,0))</f>
        <v>0</v>
      </c>
      <c r="J15" s="452">
        <f ca="1">+INDEX(WORLDCUP!$AT$6:$AT$97,MATCH(L15,WORLDCUP!$AI$6:$AI$97,0))</f>
        <v>-4</v>
      </c>
      <c r="K15" s="453" t="str">
        <f ca="1">+INDEX(WORLDCUP!$AR$6:$AR$97,MATCH(L15,WORLDCUP!$AI$6:$AI$97,0))&amp;"-"&amp;INDEX(WORLDCUP!$AS$6:$AS$97,MATCH(L15,WORLDCUP!$AI$6:$AI$97,0))</f>
        <v>2-6</v>
      </c>
      <c r="L15" s="169" t="s">
        <v>662</v>
      </c>
      <c r="M15" s="169">
        <v>65</v>
      </c>
      <c r="N15" s="479"/>
      <c r="O15" s="418" t="str">
        <f ca="1">+MID(INDEX(WORLDCUP!$AA$4:$AA$147,MATCH(M15,WORLDCUP!$AH$4:$AH$147,0)),1,3)</f>
        <v>Cab</v>
      </c>
      <c r="P15" s="419">
        <f>IF(ISBLANK(INDEX(WORLDCUP!$AC$4:$AC$147,MATCH(M15,WORLDCUP!$AH$4:$AH$147,0))),"",INDEX(WORLDCUP!$AC$4:$AC$147,MATCH(M15,WORLDCUP!$AH$4:$AH$147,0)))</f>
        <v>1</v>
      </c>
      <c r="Q15" s="419">
        <f>IF(ISBLANK(INDEX(WORLDCUP!$AD$4:$AD$147,MATCH(M15,WORLDCUP!$AH$4:$AH$147,0))),"",INDEX(WORLDCUP!$AD$4:$AD$147,MATCH(M15,WORLDCUP!$AH$4:$AH$147,0)))</f>
        <v>1</v>
      </c>
      <c r="R15" s="420" t="str">
        <f ca="1">+MID(INDEX(WORLDCUP!$AF$4:$AF$147,MATCH(M15,WORLDCUP!$AH$4:$AH$147,0)),1,3)</f>
        <v>Ara</v>
      </c>
      <c r="S15" s="441">
        <v>4</v>
      </c>
      <c r="T15" s="450" t="str">
        <f ca="1">+MID(INDEX(WORLDCUP!$AL$6:$AL$97,MATCH(X15,WORLDCUP!$AI$6:$AI$97,0)),1,3)</f>
        <v>Cab</v>
      </c>
      <c r="U15" s="451">
        <f ca="1">+INDEX(WORLDCUP!$AM$6:$AM$97,MATCH(X15,WORLDCUP!$AI$6:$AI$97,0))</f>
        <v>1</v>
      </c>
      <c r="V15" s="452">
        <f ca="1">+INDEX(WORLDCUP!$AT$6:$AT$97,MATCH(X15,WORLDCUP!$AI$6:$AI$97,0))</f>
        <v>-6</v>
      </c>
      <c r="W15" s="453" t="str">
        <f ca="1">+INDEX(WORLDCUP!$AR$6:$AR$97,MATCH(X15,WORLDCUP!$AI$6:$AI$97,0))&amp;"-"&amp;INDEX(WORLDCUP!$AS$6:$AS$97,MATCH(X15,WORLDCUP!$AI$6:$AI$97,0))</f>
        <v>1-7</v>
      </c>
      <c r="X15" s="169" t="s">
        <v>684</v>
      </c>
      <c r="Y15" s="169">
        <v>83</v>
      </c>
      <c r="Z15" s="399" t="s">
        <v>692</v>
      </c>
      <c r="AA15" s="400" t="str">
        <f ca="1">+MID(INDEX(WORLDCUP!$AA$101:$AA$147,MATCH(Y15,WORLDCUP!$Z$101:$Z$147,0)),1,3)</f>
        <v>Col</v>
      </c>
      <c r="AB15" s="401">
        <f>+IF(ISBLANK(INDEX(WORLDCUP!$AC$101:$AC$147,MATCH(Y15,WORLDCUP!$Z$101:$Z$147,0))),"",INDEX(WORLDCUP!$AC$101:$AC$147,MATCH(Y15,WORLDCUP!$Z$101:$Z$147,0)))</f>
        <v>2</v>
      </c>
      <c r="AC15" s="472" t="str">
        <f>+IF(ISBLANK(INDEX(WORLDCUP!$AB$101:$AB$147,MATCH(Y15,WORLDCUP!$Z$101:$Z$147,0))),"","( "&amp;INDEX(WORLDCUP!$AB$101:$AB$147,MATCH(Y15,WORLDCUP!$Z$101:$Z$147,0))&amp;" )")</f>
        <v>( 4 )</v>
      </c>
      <c r="AD15" s="167"/>
      <c r="AE15" s="403"/>
      <c r="AF15" s="403"/>
      <c r="AG15" s="403"/>
      <c r="AH15" s="169"/>
      <c r="AI15" s="433"/>
      <c r="AJ15" s="433"/>
      <c r="AK15" s="473"/>
      <c r="AL15" s="389"/>
      <c r="AM15" s="405"/>
      <c r="AN15" s="405"/>
      <c r="AO15" s="486"/>
      <c r="AP15" s="389"/>
      <c r="AQ15" s="434"/>
      <c r="AR15" s="434"/>
      <c r="AS15" s="434"/>
      <c r="AT15" s="169"/>
      <c r="AU15" s="407"/>
      <c r="AV15" s="407"/>
      <c r="AW15" s="407"/>
      <c r="AX15" s="169"/>
      <c r="AY15" s="141"/>
      <c r="AZ15" s="141"/>
      <c r="BA15" s="141"/>
      <c r="BB15" s="141"/>
      <c r="BC15" s="141"/>
      <c r="BD15" s="141"/>
      <c r="BE15" s="141"/>
      <c r="BG15" s="436" t="str">
        <f ca="1">Horarios!Q14</f>
        <v>Catar</v>
      </c>
      <c r="BH15" s="437">
        <f t="shared" ca="1" si="0"/>
        <v>1</v>
      </c>
      <c r="BI15" s="437">
        <f ca="1">COUNTIF(Pool!$C$130:$C$161,Fixture!BG15)-BJ15-BK15-BL15-BM15-BN15-BO15</f>
        <v>0</v>
      </c>
      <c r="BJ15" s="438">
        <f ca="1">COUNTIF(Pool!$C$182:$C$197,Fixture!BG15)-BK15-BL15-BM15-BN15-BO15</f>
        <v>0</v>
      </c>
      <c r="BK15" s="439">
        <f ca="1">COUNTIF(Pool!$C$210:$C$217,Fixture!BG15)-BL15-BM15-BN15-BO15</f>
        <v>0</v>
      </c>
      <c r="BL15" s="439">
        <f ca="1">COUNTIF(Pool!$C$226:$C$229,Fixture!BG15)-BM15-BN15-BO15</f>
        <v>0</v>
      </c>
      <c r="BM15" s="437">
        <f ca="1">COUNTIF(Pool!$C$252,Fixture!BG15)</f>
        <v>0</v>
      </c>
      <c r="BN15" s="437">
        <f ca="1">COUNTIF(Pool!$C$251,Fixture!BG15)</f>
        <v>0</v>
      </c>
      <c r="BO15" s="440">
        <f ca="1">COUNTIF(Pool!$C$250,Fixture!BG15)</f>
        <v>0</v>
      </c>
    </row>
    <row r="16" spans="1:67" ht="15" thickBot="1">
      <c r="A16" s="169">
        <v>52</v>
      </c>
      <c r="B16" s="487"/>
      <c r="C16" s="461" t="str">
        <f ca="1">+MID(INDEX(WORLDCUP!$AA$4:$AA$147,MATCH(A16,WORLDCUP!$AH$4:$AH$147,0)),1,3)</f>
        <v>Bos</v>
      </c>
      <c r="D16" s="462">
        <f>IF(ISBLANK(INDEX(WORLDCUP!$AC$4:$AC$147,MATCH(A16,WORLDCUP!$AH$4:$AH$147,0))),"",INDEX(WORLDCUP!$AC$4:$AC$147,MATCH(A16,WORLDCUP!$AH$4:$AH$147,0)))</f>
        <v>2</v>
      </c>
      <c r="E16" s="462">
        <f>IF(ISBLANK(INDEX(WORLDCUP!$AD$4:$AD$147,MATCH(A16,WORLDCUP!$AH$4:$AH$147,0))),"",INDEX(WORLDCUP!$AD$4:$AD$147,MATCH(A16,WORLDCUP!$AH$4:$AH$147,0)))</f>
        <v>1</v>
      </c>
      <c r="F16" s="463" t="str">
        <f ca="1">+MID(INDEX(WORLDCUP!$AF$4:$AF$147,MATCH(A16,WORLDCUP!$AH$4:$AH$147,0)),1,3)</f>
        <v>Cat</v>
      </c>
      <c r="G16" s="464"/>
      <c r="H16" s="464"/>
      <c r="I16" s="465"/>
      <c r="J16" s="465"/>
      <c r="K16" s="466"/>
      <c r="L16" s="169"/>
      <c r="M16" s="169">
        <v>66</v>
      </c>
      <c r="N16" s="488"/>
      <c r="O16" s="461" t="str">
        <f ca="1">+MID(INDEX(WORLDCUP!$AA$4:$AA$147,MATCH(M16,WORLDCUP!$AH$4:$AH$147,0)),1,3)</f>
        <v>Uru</v>
      </c>
      <c r="P16" s="462">
        <f>IF(ISBLANK(INDEX(WORLDCUP!$AC$4:$AC$147,MATCH(M16,WORLDCUP!$AH$4:$AH$147,0))),"",INDEX(WORLDCUP!$AC$4:$AC$147,MATCH(M16,WORLDCUP!$AH$4:$AH$147,0)))</f>
        <v>2</v>
      </c>
      <c r="Q16" s="462">
        <f>IF(ISBLANK(INDEX(WORLDCUP!$AD$4:$AD$147,MATCH(M16,WORLDCUP!$AH$4:$AH$147,0))),"",INDEX(WORLDCUP!$AD$4:$AD$147,MATCH(M16,WORLDCUP!$AH$4:$AH$147,0)))</f>
        <v>3</v>
      </c>
      <c r="R16" s="463" t="str">
        <f ca="1">+MID(INDEX(WORLDCUP!$AF$4:$AF$147,MATCH(M16,WORLDCUP!$AH$4:$AH$147,0)),1,3)</f>
        <v>Esp</v>
      </c>
      <c r="S16" s="464"/>
      <c r="T16" s="464"/>
      <c r="U16" s="465"/>
      <c r="V16" s="465"/>
      <c r="W16" s="466"/>
      <c r="X16" s="169"/>
      <c r="Y16" s="169">
        <v>83</v>
      </c>
      <c r="Z16" s="399" t="s">
        <v>695</v>
      </c>
      <c r="AA16" s="400" t="str">
        <f ca="1">+MID(INDEX(WORLDCUP!$AF$101:$AF$147,MATCH(Y16,WORLDCUP!$Z$101:$Z$147,0)),1,3)</f>
        <v>Cro</v>
      </c>
      <c r="AB16" s="427">
        <f>+IF(ISBLANK(INDEX(WORLDCUP!$AD$101:$AD$147,MATCH(Y16,WORLDCUP!$Z$101:$Z$147,0))),"",INDEX(WORLDCUP!$AD$101:$AD$147,MATCH(Y16,WORLDCUP!$Z$101:$Z$147,0)))</f>
        <v>2</v>
      </c>
      <c r="AC16" s="428" t="str">
        <f>+IF(ISBLANK(INDEX(WORLDCUP!$AE$101:$AE$147,MATCH(Y16,WORLDCUP!$Z$101:$Z$147,0))),"","( "&amp;INDEX(WORLDCUP!$AE$101:$AE$147,MATCH(Y16,WORLDCUP!$Z$101:$Z$147,0))&amp;" )")</f>
        <v>( 5 )</v>
      </c>
      <c r="AD16" s="429">
        <v>93</v>
      </c>
      <c r="AE16" s="430" t="str">
        <f ca="1">+MID(INDEX(WORLDCUP!$AA$101:$AA$147,MATCH(AD16,WORLDCUP!$Z$101:$Z$147,0)),1,3)</f>
        <v>Cro</v>
      </c>
      <c r="AF16" s="431">
        <f>+IF(ISBLANK(INDEX(WORLDCUP!$AC$101:$AC$147,MATCH(AD16,WORLDCUP!$Z$101:$Z$147,0))),"",INDEX(WORLDCUP!$AC$101:$AC$147,MATCH(AD16,WORLDCUP!$Z$101:$Z$147,0)))</f>
        <v>1</v>
      </c>
      <c r="AG16" s="432" t="str">
        <f>+IF(ISBLANK(INDEX(WORLDCUP!$AB$101:$AB$147,MATCH(AD16,WORLDCUP!$Z$101:$Z$147,0))),"","( "&amp;INDEX(WORLDCUP!$AB$101:$AB$147,MATCH(AD16,WORLDCUP!$Z$101:$Z$147,0))&amp;" )")</f>
        <v/>
      </c>
      <c r="AH16" s="169"/>
      <c r="AI16" s="433"/>
      <c r="AJ16" s="433"/>
      <c r="AK16" s="473"/>
      <c r="AL16" s="169"/>
      <c r="AM16" s="405"/>
      <c r="AN16" s="405"/>
      <c r="AO16" s="486"/>
      <c r="AP16" s="389"/>
      <c r="AQ16" s="434"/>
      <c r="AR16" s="434"/>
      <c r="AS16" s="434"/>
      <c r="AT16" s="169"/>
      <c r="AU16" s="407"/>
      <c r="AV16" s="407"/>
      <c r="AW16" s="407"/>
      <c r="AX16" s="169"/>
      <c r="AY16" s="141"/>
      <c r="AZ16" s="141"/>
      <c r="BA16" s="141"/>
      <c r="BB16" s="141"/>
      <c r="BC16" s="141"/>
      <c r="BD16" s="141"/>
      <c r="BE16" s="141"/>
      <c r="BG16" s="436" t="str">
        <f ca="1">Horarios!Q15</f>
        <v>Colombia</v>
      </c>
      <c r="BH16" s="437">
        <f t="shared" ca="1" si="0"/>
        <v>0</v>
      </c>
      <c r="BI16" s="437">
        <f ca="1">COUNTIF(Pool!$C$130:$C$161,Fixture!BG16)-BJ16-BK16-BL16-BM16-BN16-BO16</f>
        <v>1</v>
      </c>
      <c r="BJ16" s="438">
        <f ca="1">COUNTIF(Pool!$C$182:$C$197,Fixture!BG16)-BK16-BL16-BM16-BN16-BO16</f>
        <v>0</v>
      </c>
      <c r="BK16" s="439">
        <f ca="1">COUNTIF(Pool!$C$210:$C$217,Fixture!BG16)-BL16-BM16-BN16-BO16</f>
        <v>0</v>
      </c>
      <c r="BL16" s="439">
        <f ca="1">COUNTIF(Pool!$C$226:$C$229,Fixture!BG16)-BM16-BN16-BO16</f>
        <v>0</v>
      </c>
      <c r="BM16" s="437">
        <f ca="1">COUNTIF(Pool!$C$252,Fixture!BG16)</f>
        <v>0</v>
      </c>
      <c r="BN16" s="437">
        <f ca="1">COUNTIF(Pool!$C$251,Fixture!BG16)</f>
        <v>0</v>
      </c>
      <c r="BO16" s="440">
        <f ca="1">COUNTIF(Pool!$C$250,Fixture!BG16)</f>
        <v>0</v>
      </c>
    </row>
    <row r="17" spans="1:67">
      <c r="A17" s="169"/>
      <c r="B17" s="385"/>
      <c r="C17" s="470"/>
      <c r="D17" s="471"/>
      <c r="E17" s="471"/>
      <c r="F17" s="141"/>
      <c r="G17" s="141"/>
      <c r="H17" s="470"/>
      <c r="I17" s="141"/>
      <c r="J17" s="141"/>
      <c r="K17" s="141"/>
      <c r="L17" s="169"/>
      <c r="M17" s="169"/>
      <c r="N17" s="139"/>
      <c r="O17" s="470"/>
      <c r="P17" s="471"/>
      <c r="Q17" s="471"/>
      <c r="R17" s="141"/>
      <c r="S17" s="141"/>
      <c r="T17" s="470"/>
      <c r="U17" s="141"/>
      <c r="V17" s="141"/>
      <c r="W17" s="141"/>
      <c r="X17" s="169"/>
      <c r="Y17" s="169"/>
      <c r="Z17" s="399"/>
      <c r="AA17" s="443"/>
      <c r="AB17" s="443"/>
      <c r="AC17" s="444"/>
      <c r="AD17" s="169">
        <v>93</v>
      </c>
      <c r="AE17" s="430" t="str">
        <f ca="1">+MID(INDEX(WORLDCUP!$AF$101:$AF$147,MATCH(AD17,WORLDCUP!$Z$101:$Z$147,0)),1,3)</f>
        <v>Esp</v>
      </c>
      <c r="AF17" s="431">
        <f>+IF(ISBLANK(INDEX(WORLDCUP!$AD$101:$AD$147,MATCH(AD17,WORLDCUP!$Z$101:$Z$147,0))),"",INDEX(WORLDCUP!$AD$101:$AD$147,MATCH(AD17,WORLDCUP!$Z$101:$Z$147,0)))</f>
        <v>2</v>
      </c>
      <c r="AG17" s="489" t="str">
        <f>+IF(ISBLANK(INDEX(WORLDCUP!$AE$101:$AE$147,MATCH(AD17,WORLDCUP!$Z$101:$Z$147,0))),"","( "&amp;INDEX(WORLDCUP!$AE$101:$AE$147,MATCH(AD17,WORLDCUP!$Z$101:$Z$147,0))&amp;" )")</f>
        <v/>
      </c>
      <c r="AH17" s="169"/>
      <c r="AI17" s="433"/>
      <c r="AJ17" s="433"/>
      <c r="AK17" s="473"/>
      <c r="AL17" s="169"/>
      <c r="AM17" s="405"/>
      <c r="AN17" s="405"/>
      <c r="AO17" s="486"/>
      <c r="AP17" s="389"/>
      <c r="AQ17" s="434"/>
      <c r="AR17" s="434"/>
      <c r="AS17" s="434"/>
      <c r="AT17" s="169"/>
      <c r="AU17" s="407"/>
      <c r="AV17" s="407"/>
      <c r="AW17" s="407"/>
      <c r="AX17" s="169"/>
      <c r="AY17" s="141"/>
      <c r="AZ17" s="141"/>
      <c r="BA17" s="141"/>
      <c r="BB17" s="141"/>
      <c r="BC17" s="141"/>
      <c r="BD17" s="141"/>
      <c r="BE17" s="141"/>
      <c r="BG17" s="436" t="str">
        <f ca="1">Horarios!Q16</f>
        <v>Corea del Sur</v>
      </c>
      <c r="BH17" s="437">
        <f t="shared" ca="1" si="0"/>
        <v>0</v>
      </c>
      <c r="BI17" s="437">
        <f ca="1">COUNTIF(Pool!$C$130:$C$161,Fixture!BG17)-BJ17-BK17-BL17-BM17-BN17-BO17</f>
        <v>1</v>
      </c>
      <c r="BJ17" s="438">
        <f ca="1">COUNTIF(Pool!$C$182:$C$197,Fixture!BG17)-BK17-BL17-BM17-BN17-BO17</f>
        <v>0</v>
      </c>
      <c r="BK17" s="439">
        <f ca="1">COUNTIF(Pool!$C$210:$C$217,Fixture!BG17)-BL17-BM17-BN17-BO17</f>
        <v>0</v>
      </c>
      <c r="BL17" s="439">
        <f ca="1">COUNTIF(Pool!$C$226:$C$229,Fixture!BG17)-BM17-BN17-BO17</f>
        <v>0</v>
      </c>
      <c r="BM17" s="437">
        <f ca="1">COUNTIF(Pool!$C$252,Fixture!BG17)</f>
        <v>0</v>
      </c>
      <c r="BN17" s="437">
        <f ca="1">COUNTIF(Pool!$C$251,Fixture!BG17)</f>
        <v>0</v>
      </c>
      <c r="BO17" s="440">
        <f ca="1">COUNTIF(Pool!$C$250,Fixture!BG17)</f>
        <v>0</v>
      </c>
    </row>
    <row r="18" spans="1:67" ht="15" thickBot="1">
      <c r="A18" s="169"/>
      <c r="B18" s="385"/>
      <c r="C18" s="470"/>
      <c r="D18" s="471"/>
      <c r="E18" s="471"/>
      <c r="F18" s="141"/>
      <c r="G18" s="141"/>
      <c r="H18" s="470"/>
      <c r="I18" s="141"/>
      <c r="J18" s="141"/>
      <c r="K18" s="141"/>
      <c r="L18" s="169"/>
      <c r="M18" s="169"/>
      <c r="N18" s="139"/>
      <c r="O18" s="470"/>
      <c r="P18" s="471"/>
      <c r="Q18" s="471"/>
      <c r="R18" s="141"/>
      <c r="S18" s="141"/>
      <c r="T18" s="470"/>
      <c r="U18" s="141"/>
      <c r="V18" s="141"/>
      <c r="W18" s="141"/>
      <c r="X18" s="169"/>
      <c r="Y18" s="169">
        <v>84</v>
      </c>
      <c r="Z18" s="399" t="s">
        <v>682</v>
      </c>
      <c r="AA18" s="400" t="str">
        <f ca="1">+MID(INDEX(WORLDCUP!$AA$101:$AA$147,MATCH(Y18,WORLDCUP!$Z$101:$Z$147,0)),1,3)</f>
        <v>Esp</v>
      </c>
      <c r="AB18" s="446">
        <f>+IF(ISBLANK(INDEX(WORLDCUP!$AC$101:$AC$147,MATCH(Y18,WORLDCUP!$Z$101:$Z$147,0))),"",INDEX(WORLDCUP!$AC$101:$AC$147,MATCH(Y18,WORLDCUP!$Z$101:$Z$147,0)))</f>
        <v>2</v>
      </c>
      <c r="AC18" s="480" t="str">
        <f>+IF(ISBLANK(INDEX(WORLDCUP!$AB$101:$AB$147,MATCH(Y18,WORLDCUP!$Z$101:$Z$147,0))),"","( "&amp;INDEX(WORLDCUP!$AB$101:$AB$147,MATCH(Y18,WORLDCUP!$Z$101:$Z$147,0))&amp;" )")</f>
        <v/>
      </c>
      <c r="AD18" s="169"/>
      <c r="AE18" s="448"/>
      <c r="AF18" s="448"/>
      <c r="AG18" s="449"/>
      <c r="AH18" s="169"/>
      <c r="AI18" s="433"/>
      <c r="AJ18" s="433"/>
      <c r="AK18" s="473"/>
      <c r="AL18" s="169"/>
      <c r="AM18" s="405"/>
      <c r="AN18" s="405"/>
      <c r="AO18" s="486"/>
      <c r="AP18" s="389"/>
      <c r="AQ18" s="434"/>
      <c r="AR18" s="434"/>
      <c r="AS18" s="434"/>
      <c r="AT18" s="169"/>
      <c r="AU18" s="407"/>
      <c r="AV18" s="407"/>
      <c r="AW18" s="407"/>
      <c r="AX18" s="490" t="str">
        <f>Idiomas!D8</f>
        <v>XXIII Mundial USA/MEX/CAN 2026</v>
      </c>
      <c r="AY18" s="490"/>
      <c r="AZ18" s="491"/>
      <c r="BA18" s="491"/>
      <c r="BB18" s="491"/>
      <c r="BC18" s="491"/>
      <c r="BD18" s="491"/>
      <c r="BE18" s="491"/>
      <c r="BG18" s="436" t="str">
        <f ca="1">Horarios!Q17</f>
        <v>Costa de Marfil</v>
      </c>
      <c r="BH18" s="437">
        <f t="shared" ca="1" si="0"/>
        <v>0</v>
      </c>
      <c r="BI18" s="437">
        <f ca="1">COUNTIF(Pool!$C$130:$C$161,Fixture!BG18)-BJ18-BK18-BL18-BM18-BN18-BO18</f>
        <v>1</v>
      </c>
      <c r="BJ18" s="438">
        <f ca="1">COUNTIF(Pool!$C$182:$C$197,Fixture!BG18)-BK18-BL18-BM18-BN18-BO18</f>
        <v>0</v>
      </c>
      <c r="BK18" s="439">
        <f ca="1">COUNTIF(Pool!$C$210:$C$217,Fixture!BG18)-BL18-BM18-BN18-BO18</f>
        <v>0</v>
      </c>
      <c r="BL18" s="439">
        <f ca="1">COUNTIF(Pool!$C$226:$C$229,Fixture!BG18)-BM18-BN18-BO18</f>
        <v>0</v>
      </c>
      <c r="BM18" s="437">
        <f ca="1">COUNTIF(Pool!$C$252,Fixture!BG18)</f>
        <v>0</v>
      </c>
      <c r="BN18" s="437">
        <f ca="1">COUNTIF(Pool!$C$251,Fixture!BG18)</f>
        <v>0</v>
      </c>
      <c r="BO18" s="440">
        <f ca="1">COUNTIF(Pool!$C$250,Fixture!BG18)</f>
        <v>0</v>
      </c>
    </row>
    <row r="19" spans="1:67" ht="15" thickBot="1">
      <c r="A19" s="169">
        <v>7</v>
      </c>
      <c r="B19" s="492" t="s">
        <v>2</v>
      </c>
      <c r="C19" s="391" t="str">
        <f ca="1">+MID(INDEX(WORLDCUP!$AA$4:$AA$147,MATCH(A19,WORLDCUP!$AH$4:$AH$147,0)),1,3)</f>
        <v>Bra</v>
      </c>
      <c r="D19" s="392">
        <f>IF(ISBLANK(INDEX(WORLDCUP!$AC$4:$AC$147,MATCH(A19,WORLDCUP!$AH$4:$AH$147,0))),"",INDEX(WORLDCUP!$AC$4:$AC$147,MATCH(A19,WORLDCUP!$AH$4:$AH$147,0)))</f>
        <v>2</v>
      </c>
      <c r="E19" s="392">
        <f>IF(ISBLANK(INDEX(WORLDCUP!$AD$4:$AD$147,MATCH(A19,WORLDCUP!$AH$4:$AH$147,0))),"",INDEX(WORLDCUP!$AD$4:$AD$147,MATCH(A19,WORLDCUP!$AH$4:$AH$147,0)))</f>
        <v>2</v>
      </c>
      <c r="F19" s="393" t="str">
        <f ca="1">+MID(INDEX(WORLDCUP!$AF$4:$AF$147,MATCH(A19,WORLDCUP!$AH$4:$AH$147,0)),1,3)</f>
        <v>Mar</v>
      </c>
      <c r="G19" s="394"/>
      <c r="H19" s="395" t="str">
        <f>+H11</f>
        <v>Sel</v>
      </c>
      <c r="I19" s="396" t="str">
        <f>+I11</f>
        <v>Pts</v>
      </c>
      <c r="J19" s="396" t="str">
        <f>+J11</f>
        <v>DG</v>
      </c>
      <c r="K19" s="397" t="str">
        <f>+K11</f>
        <v>GF-GC</v>
      </c>
      <c r="L19" s="169"/>
      <c r="M19" s="169">
        <v>17</v>
      </c>
      <c r="N19" s="493" t="s">
        <v>448</v>
      </c>
      <c r="O19" s="391" t="str">
        <f ca="1">+MID(INDEX(WORLDCUP!$AA$4:$AA$147,MATCH(M19,WORLDCUP!$AH$4:$AH$147,0)),1,3)</f>
        <v>Fra</v>
      </c>
      <c r="P19" s="392">
        <f>IF(ISBLANK(INDEX(WORLDCUP!$AC$4:$AC$147,MATCH(M19,WORLDCUP!$AH$4:$AH$147,0))),"",INDEX(WORLDCUP!$AC$4:$AC$147,MATCH(M19,WORLDCUP!$AH$4:$AH$147,0)))</f>
        <v>2</v>
      </c>
      <c r="Q19" s="392">
        <f>IF(ISBLANK(INDEX(WORLDCUP!$AD$4:$AD$147,MATCH(M19,WORLDCUP!$AH$4:$AH$147,0))),"",INDEX(WORLDCUP!$AD$4:$AD$147,MATCH(M19,WORLDCUP!$AH$4:$AH$147,0)))</f>
        <v>1</v>
      </c>
      <c r="R19" s="393" t="str">
        <f ca="1">+MID(INDEX(WORLDCUP!$AF$4:$AF$147,MATCH(M19,WORLDCUP!$AH$4:$AH$147,0)),1,3)</f>
        <v>Sen</v>
      </c>
      <c r="S19" s="394"/>
      <c r="T19" s="395" t="str">
        <f>+T11</f>
        <v>Sel</v>
      </c>
      <c r="U19" s="396" t="str">
        <f>+U11</f>
        <v>Pts</v>
      </c>
      <c r="V19" s="396" t="str">
        <f>+V11</f>
        <v>DG</v>
      </c>
      <c r="W19" s="397" t="str">
        <f>+W11</f>
        <v>GF-GC</v>
      </c>
      <c r="X19" s="169"/>
      <c r="Y19" s="169">
        <v>84</v>
      </c>
      <c r="Z19" s="399" t="s">
        <v>689</v>
      </c>
      <c r="AA19" s="454" t="str">
        <f ca="1">+MID(INDEX(WORLDCUP!$AF$101:$AF$147,MATCH(Y19,WORLDCUP!$Z$101:$Z$147,0)),1,3)</f>
        <v>Aus</v>
      </c>
      <c r="AB19" s="455">
        <f>+IF(ISBLANK(INDEX(WORLDCUP!$AD$101:$AD$147,MATCH(Y19,WORLDCUP!$Z$101:$Z$147,0))),"",INDEX(WORLDCUP!$AD$101:$AD$147,MATCH(Y19,WORLDCUP!$Z$101:$Z$147,0)))</f>
        <v>0</v>
      </c>
      <c r="AC19" s="481" t="str">
        <f>+IF(ISBLANK(INDEX(WORLDCUP!$AE$101:$AE$147,MATCH(Y19,WORLDCUP!$Z$101:$Z$147,0))),"","( "&amp;INDEX(WORLDCUP!$AE$101:$AE$147,MATCH(Y19,WORLDCUP!$Z$101:$Z$147,0))&amp;" )")</f>
        <v/>
      </c>
      <c r="AD19" s="169"/>
      <c r="AE19" s="448"/>
      <c r="AF19" s="448"/>
      <c r="AG19" s="449"/>
      <c r="AH19" s="474">
        <v>98</v>
      </c>
      <c r="AI19" s="457" t="str">
        <f ca="1">+MID(INDEX(WORLDCUP!$AA$101:$AA$147,MATCH(AH19,WORLDCUP!$Z$101:$Z$147,0)),1,3)</f>
        <v>Esp</v>
      </c>
      <c r="AJ19" s="458">
        <f>+IF(ISBLANK(INDEX(WORLDCUP!$AC$101:$AC$147,MATCH(AH19,WORLDCUP!$Z$101:$Z$147,0))),"",INDEX(WORLDCUP!$AC$101:$AC$147,MATCH(AH19,WORLDCUP!$Z$101:$Z$147,0)))</f>
        <v>2</v>
      </c>
      <c r="AK19" s="494" t="str">
        <f>+IF(ISBLANK(INDEX(WORLDCUP!$AB$101:$AB$147,MATCH(AH19,WORLDCUP!$Z$101:$Z$147,0))),"","( "&amp;INDEX(WORLDCUP!$AB$101:$AB$147,MATCH(AH19,WORLDCUP!$Z$101:$Z$147,0))&amp;" )")</f>
        <v/>
      </c>
      <c r="AL19" s="169"/>
      <c r="AM19" s="405"/>
      <c r="AN19" s="405"/>
      <c r="AO19" s="486"/>
      <c r="AP19" s="389"/>
      <c r="AQ19" s="434"/>
      <c r="AR19" s="434"/>
      <c r="AS19" s="434"/>
      <c r="AT19" s="169"/>
      <c r="AU19" s="407"/>
      <c r="AV19" s="407"/>
      <c r="AW19" s="407"/>
      <c r="AX19" s="169"/>
      <c r="AY19" s="141"/>
      <c r="AZ19" s="141"/>
      <c r="BA19" s="141"/>
      <c r="BB19" s="141"/>
      <c r="BC19" s="141"/>
      <c r="BD19" s="141"/>
      <c r="BE19" s="141"/>
      <c r="BG19" s="436" t="str">
        <f ca="1">Horarios!Q18</f>
        <v>Croacia</v>
      </c>
      <c r="BH19" s="437">
        <f t="shared" ca="1" si="0"/>
        <v>0</v>
      </c>
      <c r="BI19" s="437">
        <f ca="1">COUNTIF(Pool!$C$130:$C$161,Fixture!BG19)-BJ19-BK19-BL19-BM19-BN19-BO19</f>
        <v>0</v>
      </c>
      <c r="BJ19" s="438">
        <f ca="1">COUNTIF(Pool!$C$182:$C$197,Fixture!BG19)-BK19-BL19-BM19-BN19-BO19</f>
        <v>1</v>
      </c>
      <c r="BK19" s="439">
        <f ca="1">COUNTIF(Pool!$C$210:$C$217,Fixture!BG19)-BL19-BM19-BN19-BO19</f>
        <v>0</v>
      </c>
      <c r="BL19" s="439">
        <f ca="1">COUNTIF(Pool!$C$226:$C$229,Fixture!BG19)-BM19-BN19-BO19</f>
        <v>0</v>
      </c>
      <c r="BM19" s="437">
        <f ca="1">COUNTIF(Pool!$C$252,Fixture!BG19)</f>
        <v>0</v>
      </c>
      <c r="BN19" s="437">
        <f ca="1">COUNTIF(Pool!$C$251,Fixture!BG19)</f>
        <v>0</v>
      </c>
      <c r="BO19" s="440">
        <f ca="1">COUNTIF(Pool!$C$250,Fixture!BG19)</f>
        <v>0</v>
      </c>
    </row>
    <row r="20" spans="1:67">
      <c r="A20" s="169">
        <v>5</v>
      </c>
      <c r="B20" s="495"/>
      <c r="C20" s="418" t="str">
        <f ca="1">+MID(INDEX(WORLDCUP!$AA$4:$AA$147,MATCH(A20,WORLDCUP!$AH$4:$AH$147,0)),1,3)</f>
        <v>Hai</v>
      </c>
      <c r="D20" s="419">
        <f>IF(ISBLANK(INDEX(WORLDCUP!$AC$4:$AC$147,MATCH(A20,WORLDCUP!$AH$4:$AH$147,0))),"",INDEX(WORLDCUP!$AC$4:$AC$147,MATCH(A20,WORLDCUP!$AH$4:$AH$147,0)))</f>
        <v>0</v>
      </c>
      <c r="E20" s="419">
        <f>IF(ISBLANK(INDEX(WORLDCUP!$AD$4:$AD$147,MATCH(A20,WORLDCUP!$AH$4:$AH$147,0))),"",INDEX(WORLDCUP!$AD$4:$AD$147,MATCH(A20,WORLDCUP!$AH$4:$AH$147,0)))</f>
        <v>2</v>
      </c>
      <c r="F20" s="420" t="str">
        <f ca="1">+MID(INDEX(WORLDCUP!$AF$4:$AF$147,MATCH(A20,WORLDCUP!$AH$4:$AH$147,0)),1,3)</f>
        <v>Esc</v>
      </c>
      <c r="G20" s="421">
        <v>1</v>
      </c>
      <c r="H20" s="422" t="str">
        <f ca="1">+MID(INDEX(WORLDCUP!$AL$6:$AL$97,MATCH(L20,WORLDCUP!$AI$6:$AI$97,0)),1,3)</f>
        <v>Mar</v>
      </c>
      <c r="I20" s="423">
        <f ca="1">+INDEX(WORLDCUP!$AM$6:$AM$97,MATCH(L20,WORLDCUP!$AI$6:$AI$97,0))</f>
        <v>7</v>
      </c>
      <c r="J20" s="424">
        <f ca="1">+INDEX(WORLDCUP!$AT$6:$AT$97,MATCH(L20,WORLDCUP!$AI$6:$AI$97,0))</f>
        <v>3</v>
      </c>
      <c r="K20" s="425" t="str">
        <f ca="1">+INDEX(WORLDCUP!$AR$6:$AR$97,MATCH(L20,WORLDCUP!$AI$6:$AI$97,0))&amp;"-"&amp;INDEX(WORLDCUP!$AS$6:$AS$97,MATCH(L20,WORLDCUP!$AI$6:$AI$97,0))</f>
        <v>6-3</v>
      </c>
      <c r="L20" s="169" t="s">
        <v>663</v>
      </c>
      <c r="M20" s="169">
        <v>18</v>
      </c>
      <c r="N20" s="496"/>
      <c r="O20" s="418" t="str">
        <f ca="1">+MID(INDEX(WORLDCUP!$AA$4:$AA$147,MATCH(M20,WORLDCUP!$AH$4:$AH$147,0)),1,3)</f>
        <v>Ira</v>
      </c>
      <c r="P20" s="419">
        <f>IF(ISBLANK(INDEX(WORLDCUP!$AC$4:$AC$147,MATCH(M20,WORLDCUP!$AH$4:$AH$147,0))),"",INDEX(WORLDCUP!$AC$4:$AC$147,MATCH(M20,WORLDCUP!$AH$4:$AH$147,0)))</f>
        <v>0</v>
      </c>
      <c r="Q20" s="419">
        <f>IF(ISBLANK(INDEX(WORLDCUP!$AD$4:$AD$147,MATCH(M20,WORLDCUP!$AH$4:$AH$147,0))),"",INDEX(WORLDCUP!$AD$4:$AD$147,MATCH(M20,WORLDCUP!$AH$4:$AH$147,0)))</f>
        <v>2</v>
      </c>
      <c r="R20" s="420" t="str">
        <f ca="1">+MID(INDEX(WORLDCUP!$AF$4:$AF$147,MATCH(M20,WORLDCUP!$AH$4:$AH$147,0)),1,3)</f>
        <v>Nor</v>
      </c>
      <c r="S20" s="421">
        <v>1</v>
      </c>
      <c r="T20" s="422" t="str">
        <f ca="1">+MID(INDEX(WORLDCUP!$AL$6:$AL$97,MATCH(X20,WORLDCUP!$AI$6:$AI$97,0)),1,3)</f>
        <v>Fra</v>
      </c>
      <c r="U20" s="423">
        <f ca="1">+INDEX(WORLDCUP!$AM$6:$AM$97,MATCH(X20,WORLDCUP!$AI$6:$AI$97,0))</f>
        <v>9</v>
      </c>
      <c r="V20" s="424">
        <f ca="1">+INDEX(WORLDCUP!$AT$6:$AT$97,MATCH(X20,WORLDCUP!$AI$6:$AI$97,0))</f>
        <v>6</v>
      </c>
      <c r="W20" s="425" t="str">
        <f ca="1">+INDEX(WORLDCUP!$AR$6:$AR$97,MATCH(X20,WORLDCUP!$AI$6:$AI$97,0))&amp;"-"&amp;INDEX(WORLDCUP!$AS$6:$AS$97,MATCH(X20,WORLDCUP!$AI$6:$AI$97,0))</f>
        <v>7-1</v>
      </c>
      <c r="X20" s="169" t="s">
        <v>685</v>
      </c>
      <c r="Y20" s="169"/>
      <c r="Z20" s="399"/>
      <c r="AA20" s="468"/>
      <c r="AB20" s="468"/>
      <c r="AC20" s="468"/>
      <c r="AD20" s="169"/>
      <c r="AE20" s="403"/>
      <c r="AF20" s="403"/>
      <c r="AG20" s="449"/>
      <c r="AH20" s="169">
        <v>98</v>
      </c>
      <c r="AI20" s="457" t="str">
        <f ca="1">+MID(INDEX(WORLDCUP!$AF$101:$AF$147,MATCH(AH20,WORLDCUP!$Z$101:$Z$147,0)),1,3)</f>
        <v>Bél</v>
      </c>
      <c r="AJ20" s="458">
        <f>+IF(ISBLANK(INDEX(WORLDCUP!$AD$101:$AD$147,MATCH(AH20,WORLDCUP!$Z$101:$Z$147,0))),"",INDEX(WORLDCUP!$AD$101:$AD$147,MATCH(AH20,WORLDCUP!$Z$101:$Z$147,0)))</f>
        <v>1</v>
      </c>
      <c r="AK20" s="433" t="str">
        <f>+IF(ISBLANK(INDEX(WORLDCUP!$AE$101:$AE$147,MATCH(AH20,WORLDCUP!$Z$101:$Z$147,0))),"","( "&amp;INDEX(WORLDCUP!$AE$101:$AE$147,MATCH(AH20,WORLDCUP!$Z$101:$Z$147,0))&amp;" )")</f>
        <v/>
      </c>
      <c r="AL20" s="169"/>
      <c r="AM20" s="405"/>
      <c r="AN20" s="405"/>
      <c r="AO20" s="486"/>
      <c r="AP20" s="169"/>
      <c r="AQ20" s="434"/>
      <c r="AR20" s="434"/>
      <c r="AS20" s="434"/>
      <c r="AT20" s="169"/>
      <c r="AU20" s="497"/>
      <c r="AV20" s="340"/>
      <c r="AW20" s="407"/>
      <c r="AX20" s="169"/>
      <c r="AY20" s="498"/>
      <c r="AZ20" s="499"/>
      <c r="BA20" s="499"/>
      <c r="BB20" s="499"/>
      <c r="BC20" s="500"/>
      <c r="BD20" s="141"/>
      <c r="BE20" s="141"/>
      <c r="BG20" s="436" t="str">
        <f ca="1">Horarios!Q19</f>
        <v>Curazao</v>
      </c>
      <c r="BH20" s="437">
        <f t="shared" ca="1" si="0"/>
        <v>1</v>
      </c>
      <c r="BI20" s="437">
        <f ca="1">COUNTIF(Pool!$C$130:$C$161,Fixture!BG20)-BJ20-BK20-BL20-BM20-BN20-BO20</f>
        <v>0</v>
      </c>
      <c r="BJ20" s="438">
        <f ca="1">COUNTIF(Pool!$C$182:$C$197,Fixture!BG20)-BK20-BL20-BM20-BN20-BO20</f>
        <v>0</v>
      </c>
      <c r="BK20" s="439">
        <f ca="1">COUNTIF(Pool!$C$210:$C$217,Fixture!BG20)-BL20-BM20-BN20-BO20</f>
        <v>0</v>
      </c>
      <c r="BL20" s="439">
        <f ca="1">COUNTIF(Pool!$C$226:$C$229,Fixture!BG20)-BM20-BN20-BO20</f>
        <v>0</v>
      </c>
      <c r="BM20" s="437">
        <f ca="1">COUNTIF(Pool!$C$252,Fixture!BG20)</f>
        <v>0</v>
      </c>
      <c r="BN20" s="437">
        <f ca="1">COUNTIF(Pool!$C$251,Fixture!BG20)</f>
        <v>0</v>
      </c>
      <c r="BO20" s="440">
        <f ca="1">COUNTIF(Pool!$C$250,Fixture!BG20)</f>
        <v>0</v>
      </c>
    </row>
    <row r="21" spans="1:67" ht="15" thickBot="1">
      <c r="A21" s="169">
        <v>30</v>
      </c>
      <c r="B21" s="495"/>
      <c r="C21" s="418" t="str">
        <f ca="1">+MID(INDEX(WORLDCUP!$AA$4:$AA$147,MATCH(A21,WORLDCUP!$AH$4:$AH$147,0)),1,3)</f>
        <v>Esc</v>
      </c>
      <c r="D21" s="419">
        <f>IF(ISBLANK(INDEX(WORLDCUP!$AC$4:$AC$147,MATCH(A21,WORLDCUP!$AH$4:$AH$147,0))),"",INDEX(WORLDCUP!$AC$4:$AC$147,MATCH(A21,WORLDCUP!$AH$4:$AH$147,0)))</f>
        <v>1</v>
      </c>
      <c r="E21" s="419">
        <f>IF(ISBLANK(INDEX(WORLDCUP!$AD$4:$AD$147,MATCH(A21,WORLDCUP!$AH$4:$AH$147,0))),"",INDEX(WORLDCUP!$AD$4:$AD$147,MATCH(A21,WORLDCUP!$AH$4:$AH$147,0)))</f>
        <v>2</v>
      </c>
      <c r="F21" s="420" t="str">
        <f ca="1">+MID(INDEX(WORLDCUP!$AF$4:$AF$147,MATCH(A21,WORLDCUP!$AH$4:$AH$147,0)),1,3)</f>
        <v>Mar</v>
      </c>
      <c r="G21" s="441">
        <v>2</v>
      </c>
      <c r="H21" s="442" t="str">
        <f ca="1">+MID(INDEX(WORLDCUP!$AL$6:$AL$97,MATCH(L21,WORLDCUP!$AI$6:$AI$97,0)),1,3)</f>
        <v>Esc</v>
      </c>
      <c r="I21" s="38">
        <f ca="1">+INDEX(WORLDCUP!$AM$6:$AM$97,MATCH(L21,WORLDCUP!$AI$6:$AI$97,0))</f>
        <v>6</v>
      </c>
      <c r="J21" s="39">
        <f ca="1">+INDEX(WORLDCUP!$AT$6:$AT$97,MATCH(L21,WORLDCUP!$AI$6:$AI$97,0))</f>
        <v>3</v>
      </c>
      <c r="K21" s="43" t="str">
        <f ca="1">+INDEX(WORLDCUP!$AR$6:$AR$97,MATCH(L21,WORLDCUP!$AI$6:$AI$97,0))&amp;"-"&amp;INDEX(WORLDCUP!$AS$6:$AS$97,MATCH(L21,WORLDCUP!$AI$6:$AI$97,0))</f>
        <v>5-2</v>
      </c>
      <c r="L21" s="169" t="s">
        <v>668</v>
      </c>
      <c r="M21" s="169">
        <v>42</v>
      </c>
      <c r="N21" s="496"/>
      <c r="O21" s="418" t="str">
        <f ca="1">+MID(INDEX(WORLDCUP!$AA$4:$AA$147,MATCH(M21,WORLDCUP!$AH$4:$AH$147,0)),1,3)</f>
        <v>Fra</v>
      </c>
      <c r="P21" s="419">
        <f>IF(ISBLANK(INDEX(WORLDCUP!$AC$4:$AC$147,MATCH(M21,WORLDCUP!$AH$4:$AH$147,0))),"",INDEX(WORLDCUP!$AC$4:$AC$147,MATCH(M21,WORLDCUP!$AH$4:$AH$147,0)))</f>
        <v>3</v>
      </c>
      <c r="Q21" s="419">
        <f>IF(ISBLANK(INDEX(WORLDCUP!$AD$4:$AD$147,MATCH(M21,WORLDCUP!$AH$4:$AH$147,0))),"",INDEX(WORLDCUP!$AD$4:$AD$147,MATCH(M21,WORLDCUP!$AH$4:$AH$147,0)))</f>
        <v>0</v>
      </c>
      <c r="R21" s="420" t="str">
        <f ca="1">+MID(INDEX(WORLDCUP!$AF$4:$AF$147,MATCH(M21,WORLDCUP!$AH$4:$AH$147,0)),1,3)</f>
        <v>Ira</v>
      </c>
      <c r="S21" s="441">
        <v>2</v>
      </c>
      <c r="T21" s="442" t="str">
        <f ca="1">+MID(INDEX(WORLDCUP!$AL$6:$AL$97,MATCH(X21,WORLDCUP!$AI$6:$AI$97,0)),1,3)</f>
        <v>Sen</v>
      </c>
      <c r="U21" s="38">
        <f ca="1">+INDEX(WORLDCUP!$AM$6:$AM$97,MATCH(X21,WORLDCUP!$AI$6:$AI$97,0))</f>
        <v>4</v>
      </c>
      <c r="V21" s="39">
        <f ca="1">+INDEX(WORLDCUP!$AT$6:$AT$97,MATCH(X21,WORLDCUP!$AI$6:$AI$97,0))</f>
        <v>0</v>
      </c>
      <c r="W21" s="43" t="str">
        <f ca="1">+INDEX(WORLDCUP!$AR$6:$AR$97,MATCH(X21,WORLDCUP!$AI$6:$AI$97,0))&amp;"-"&amp;INDEX(WORLDCUP!$AS$6:$AS$97,MATCH(X21,WORLDCUP!$AI$6:$AI$97,0))</f>
        <v>3-3</v>
      </c>
      <c r="X21" s="169" t="s">
        <v>686</v>
      </c>
      <c r="Y21" s="169">
        <v>81</v>
      </c>
      <c r="Z21" s="399" t="s">
        <v>670</v>
      </c>
      <c r="AA21" s="400" t="str">
        <f ca="1">+MID(INDEX(WORLDCUP!$AA$101:$AA$147,MATCH(Y21,WORLDCUP!$Z$101:$Z$147,0)),1,3)</f>
        <v>Tur</v>
      </c>
      <c r="AB21" s="401">
        <f>+IF(ISBLANK(INDEX(WORLDCUP!$AC$101:$AC$147,MATCH(Y21,WORLDCUP!$Z$101:$Z$147,0))),"",INDEX(WORLDCUP!$AC$101:$AC$147,MATCH(Y21,WORLDCUP!$Z$101:$Z$147,0)))</f>
        <v>2</v>
      </c>
      <c r="AC21" s="472" t="str">
        <f>+IF(ISBLANK(INDEX(WORLDCUP!$AB$101:$AB$147,MATCH(Y21,WORLDCUP!$Z$101:$Z$147,0))),"","( "&amp;INDEX(WORLDCUP!$AB$101:$AB$147,MATCH(Y21,WORLDCUP!$Z$101:$Z$147,0))&amp;" )")</f>
        <v/>
      </c>
      <c r="AD21" s="167"/>
      <c r="AE21" s="403"/>
      <c r="AF21" s="403"/>
      <c r="AG21" s="449"/>
      <c r="AH21" s="169"/>
      <c r="AI21" s="433"/>
      <c r="AJ21" s="433"/>
      <c r="AK21" s="433"/>
      <c r="AL21" s="169"/>
      <c r="AM21" s="405"/>
      <c r="AN21" s="405"/>
      <c r="AO21" s="486"/>
      <c r="AP21" s="169"/>
      <c r="AQ21" s="434"/>
      <c r="AR21" s="434"/>
      <c r="AS21" s="434"/>
      <c r="AT21" s="169"/>
      <c r="AU21" s="497"/>
      <c r="AV21" s="340"/>
      <c r="AW21" s="407"/>
      <c r="AX21" s="169"/>
      <c r="AY21" s="501"/>
      <c r="AZ21" s="502"/>
      <c r="BA21" s="502" t="str">
        <f ca="1">WORLDCUP!AA150</f>
        <v>España</v>
      </c>
      <c r="BB21" s="502"/>
      <c r="BC21" s="503"/>
      <c r="BD21" s="141"/>
      <c r="BE21" s="141"/>
      <c r="BG21" s="436" t="str">
        <f ca="1">Horarios!Q20</f>
        <v>Ecuador</v>
      </c>
      <c r="BH21" s="437">
        <f t="shared" ca="1" si="0"/>
        <v>0</v>
      </c>
      <c r="BI21" s="437">
        <f ca="1">COUNTIF(Pool!$C$130:$C$161,Fixture!BG21)-BJ21-BK21-BL21-BM21-BN21-BO21</f>
        <v>0</v>
      </c>
      <c r="BJ21" s="438">
        <f ca="1">COUNTIF(Pool!$C$182:$C$197,Fixture!BG21)-BK21-BL21-BM21-BN21-BO21</f>
        <v>1</v>
      </c>
      <c r="BK21" s="439">
        <f ca="1">COUNTIF(Pool!$C$210:$C$217,Fixture!BG21)-BL21-BM21-BN21-BO21</f>
        <v>0</v>
      </c>
      <c r="BL21" s="439">
        <f ca="1">COUNTIF(Pool!$C$226:$C$229,Fixture!BG21)-BM21-BN21-BO21</f>
        <v>0</v>
      </c>
      <c r="BM21" s="437">
        <f ca="1">COUNTIF(Pool!$C$252,Fixture!BG21)</f>
        <v>0</v>
      </c>
      <c r="BN21" s="437">
        <f ca="1">COUNTIF(Pool!$C$251,Fixture!BG21)</f>
        <v>0</v>
      </c>
      <c r="BO21" s="440">
        <f ca="1">COUNTIF(Pool!$C$250,Fixture!BG21)</f>
        <v>0</v>
      </c>
    </row>
    <row r="22" spans="1:67" ht="15" thickBot="1">
      <c r="A22" s="169">
        <v>29</v>
      </c>
      <c r="B22" s="495"/>
      <c r="C22" s="418" t="str">
        <f ca="1">+MID(INDEX(WORLDCUP!$AA$4:$AA$147,MATCH(A22,WORLDCUP!$AH$4:$AH$147,0)),1,3)</f>
        <v>Bra</v>
      </c>
      <c r="D22" s="419">
        <f>IF(ISBLANK(INDEX(WORLDCUP!$AC$4:$AC$147,MATCH(A22,WORLDCUP!$AH$4:$AH$147,0))),"",INDEX(WORLDCUP!$AC$4:$AC$147,MATCH(A22,WORLDCUP!$AH$4:$AH$147,0)))</f>
        <v>3</v>
      </c>
      <c r="E22" s="419">
        <f>IF(ISBLANK(INDEX(WORLDCUP!$AD$4:$AD$147,MATCH(A22,WORLDCUP!$AH$4:$AH$147,0))),"",INDEX(WORLDCUP!$AD$4:$AD$147,MATCH(A22,WORLDCUP!$AH$4:$AH$147,0)))</f>
        <v>0</v>
      </c>
      <c r="F22" s="420" t="str">
        <f ca="1">+MID(INDEX(WORLDCUP!$AF$4:$AF$147,MATCH(A22,WORLDCUP!$AH$4:$AH$147,0)),1,3)</f>
        <v>Hai</v>
      </c>
      <c r="G22" s="441">
        <v>3</v>
      </c>
      <c r="H22" s="442" t="str">
        <f ca="1">+MID(INDEX(WORLDCUP!$AL$6:$AL$97,MATCH(L22,WORLDCUP!$AI$6:$AI$97,0)),1,3)</f>
        <v>Bra</v>
      </c>
      <c r="I22" s="38">
        <f ca="1">+INDEX(WORLDCUP!$AM$6:$AM$97,MATCH(L22,WORLDCUP!$AI$6:$AI$97,0))</f>
        <v>4</v>
      </c>
      <c r="J22" s="39">
        <f ca="1">+INDEX(WORLDCUP!$AT$6:$AT$97,MATCH(L22,WORLDCUP!$AI$6:$AI$97,0))</f>
        <v>1</v>
      </c>
      <c r="K22" s="43" t="str">
        <f ca="1">+INDEX(WORLDCUP!$AR$6:$AR$97,MATCH(L22,WORLDCUP!$AI$6:$AI$97,0))&amp;"-"&amp;INDEX(WORLDCUP!$AS$6:$AS$97,MATCH(L22,WORLDCUP!$AI$6:$AI$97,0))</f>
        <v>5-4</v>
      </c>
      <c r="L22" s="169" t="s">
        <v>92</v>
      </c>
      <c r="M22" s="169">
        <v>41</v>
      </c>
      <c r="N22" s="496"/>
      <c r="O22" s="418" t="str">
        <f ca="1">+MID(INDEX(WORLDCUP!$AA$4:$AA$147,MATCH(M22,WORLDCUP!$AH$4:$AH$147,0)),1,3)</f>
        <v>Nor</v>
      </c>
      <c r="P22" s="419">
        <f>IF(ISBLANK(INDEX(WORLDCUP!$AC$4:$AC$147,MATCH(M22,WORLDCUP!$AH$4:$AH$147,0))),"",INDEX(WORLDCUP!$AC$4:$AC$147,MATCH(M22,WORLDCUP!$AH$4:$AH$147,0)))</f>
        <v>1</v>
      </c>
      <c r="Q22" s="419">
        <f>IF(ISBLANK(INDEX(WORLDCUP!$AD$4:$AD$147,MATCH(M22,WORLDCUP!$AH$4:$AH$147,0))),"",INDEX(WORLDCUP!$AD$4:$AD$147,MATCH(M22,WORLDCUP!$AH$4:$AH$147,0)))</f>
        <v>1</v>
      </c>
      <c r="R22" s="420" t="str">
        <f ca="1">+MID(INDEX(WORLDCUP!$AF$4:$AF$147,MATCH(M22,WORLDCUP!$AH$4:$AH$147,0)),1,3)</f>
        <v>Sen</v>
      </c>
      <c r="S22" s="441">
        <v>3</v>
      </c>
      <c r="T22" s="442" t="str">
        <f ca="1">+MID(INDEX(WORLDCUP!$AL$6:$AL$97,MATCH(X22,WORLDCUP!$AI$6:$AI$97,0)),1,3)</f>
        <v>Nor</v>
      </c>
      <c r="U22" s="38">
        <f ca="1">+INDEX(WORLDCUP!$AM$6:$AM$97,MATCH(X22,WORLDCUP!$AI$6:$AI$97,0))</f>
        <v>4</v>
      </c>
      <c r="V22" s="39">
        <f ca="1">+INDEX(WORLDCUP!$AT$6:$AT$97,MATCH(X22,WORLDCUP!$AI$6:$AI$97,0))</f>
        <v>0</v>
      </c>
      <c r="W22" s="43" t="str">
        <f ca="1">+INDEX(WORLDCUP!$AR$6:$AR$97,MATCH(X22,WORLDCUP!$AI$6:$AI$97,0))&amp;"-"&amp;INDEX(WORLDCUP!$AS$6:$AS$97,MATCH(X22,WORLDCUP!$AI$6:$AI$97,0))</f>
        <v>3-3</v>
      </c>
      <c r="X22" s="169" t="s">
        <v>450</v>
      </c>
      <c r="Y22" s="169">
        <v>81</v>
      </c>
      <c r="Z22" s="399" t="s">
        <v>738</v>
      </c>
      <c r="AA22" s="400" t="str">
        <f ca="1">+MID(INDEX(WORLDCUP!$AF$101:$AF$147,MATCH(Y22,WORLDCUP!$Z$101:$Z$147,0)),1,IF(WORLDCUP!$H$113&lt;144,6,3))</f>
        <v>Bos</v>
      </c>
      <c r="AB22" s="427">
        <f>+IF(ISBLANK(INDEX(WORLDCUP!$AD$101:$AD$147,MATCH(Y22,WORLDCUP!$Z$101:$Z$147,0))),"",INDEX(WORLDCUP!$AD$101:$AD$147,MATCH(Y22,WORLDCUP!$Z$101:$Z$147,0)))</f>
        <v>0</v>
      </c>
      <c r="AC22" s="428" t="str">
        <f>+IF(ISBLANK(INDEX(WORLDCUP!$AE$101:$AE$147,MATCH(Y22,WORLDCUP!$Z$101:$Z$147,0))),"","( "&amp;INDEX(WORLDCUP!$AE$101:$AE$147,MATCH(Y22,WORLDCUP!$Z$101:$Z$147,0))&amp;" )")</f>
        <v/>
      </c>
      <c r="AD22" s="429">
        <v>94</v>
      </c>
      <c r="AE22" s="430" t="str">
        <f ca="1">+MID(INDEX(WORLDCUP!$AA$101:$AA$147,MATCH(AD22,WORLDCUP!$Z$101:$Z$147,0)),1,3)</f>
        <v>Tur</v>
      </c>
      <c r="AF22" s="431">
        <f>+IF(ISBLANK(INDEX(WORLDCUP!$AC$101:$AC$147,MATCH(AD22,WORLDCUP!$Z$101:$Z$147,0))),"",INDEX(WORLDCUP!$AC$101:$AC$147,MATCH(AD22,WORLDCUP!$Z$101:$Z$147,0)))</f>
        <v>1</v>
      </c>
      <c r="AG22" s="475" t="str">
        <f>+IF(ISBLANK(INDEX(WORLDCUP!$AB$101:$AB$147,MATCH(AD22,WORLDCUP!$Z$101:$Z$147,0))),"","( "&amp;INDEX(WORLDCUP!$AB$101:$AB$147,MATCH(AD22,WORLDCUP!$Z$101:$Z$147,0))&amp;" )")</f>
        <v/>
      </c>
      <c r="AH22" s="169"/>
      <c r="AI22" s="433"/>
      <c r="AJ22" s="433"/>
      <c r="AK22" s="433"/>
      <c r="AL22" s="169"/>
      <c r="AM22" s="405"/>
      <c r="AN22" s="405"/>
      <c r="AO22" s="486"/>
      <c r="AP22" s="169"/>
      <c r="AQ22" s="434"/>
      <c r="AR22" s="434"/>
      <c r="AS22" s="434"/>
      <c r="AT22" s="169"/>
      <c r="AU22" s="497"/>
      <c r="AV22" s="340"/>
      <c r="AW22" s="407"/>
      <c r="AX22" s="169"/>
      <c r="AY22" s="501"/>
      <c r="AZ22" s="502"/>
      <c r="BA22" s="504"/>
      <c r="BB22" s="502"/>
      <c r="BC22" s="503"/>
      <c r="BD22" s="141"/>
      <c r="BE22" s="141"/>
      <c r="BG22" s="436" t="str">
        <f ca="1">Horarios!Q21</f>
        <v>Egipto</v>
      </c>
      <c r="BH22" s="437">
        <f t="shared" ca="1" si="0"/>
        <v>1</v>
      </c>
      <c r="BI22" s="437">
        <f ca="1">COUNTIF(Pool!$C$130:$C$161,Fixture!BG22)-BJ22-BK22-BL22-BM22-BN22-BO22</f>
        <v>0</v>
      </c>
      <c r="BJ22" s="438">
        <f ca="1">COUNTIF(Pool!$C$182:$C$197,Fixture!BG22)-BK22-BL22-BM22-BN22-BO22</f>
        <v>0</v>
      </c>
      <c r="BK22" s="439">
        <f ca="1">COUNTIF(Pool!$C$210:$C$217,Fixture!BG22)-BL22-BM22-BN22-BO22</f>
        <v>0</v>
      </c>
      <c r="BL22" s="439">
        <f ca="1">COUNTIF(Pool!$C$226:$C$229,Fixture!BG22)-BM22-BN22-BO22</f>
        <v>0</v>
      </c>
      <c r="BM22" s="437">
        <f ca="1">COUNTIF(Pool!$C$252,Fixture!BG22)</f>
        <v>0</v>
      </c>
      <c r="BN22" s="437">
        <f ca="1">COUNTIF(Pool!$C$251,Fixture!BG22)</f>
        <v>0</v>
      </c>
      <c r="BO22" s="440">
        <f ca="1">COUNTIF(Pool!$C$250,Fixture!BG22)</f>
        <v>0</v>
      </c>
    </row>
    <row r="23" spans="1:67">
      <c r="A23" s="169">
        <v>49</v>
      </c>
      <c r="B23" s="495"/>
      <c r="C23" s="418" t="str">
        <f ca="1">+MID(INDEX(WORLDCUP!$AA$4:$AA$147,MATCH(A23,WORLDCUP!$AH$4:$AH$147,0)),1,3)</f>
        <v>Esc</v>
      </c>
      <c r="D23" s="419">
        <f>IF(ISBLANK(INDEX(WORLDCUP!$AC$4:$AC$147,MATCH(A23,WORLDCUP!$AH$4:$AH$147,0))),"",INDEX(WORLDCUP!$AC$4:$AC$147,MATCH(A23,WORLDCUP!$AH$4:$AH$147,0)))</f>
        <v>2</v>
      </c>
      <c r="E23" s="419">
        <f>IF(ISBLANK(INDEX(WORLDCUP!$AD$4:$AD$147,MATCH(A23,WORLDCUP!$AH$4:$AH$147,0))),"",INDEX(WORLDCUP!$AD$4:$AD$147,MATCH(A23,WORLDCUP!$AH$4:$AH$147,0)))</f>
        <v>0</v>
      </c>
      <c r="F23" s="420" t="str">
        <f ca="1">+MID(INDEX(WORLDCUP!$AF$4:$AF$147,MATCH(A23,WORLDCUP!$AH$4:$AH$147,0)),1,3)</f>
        <v>Bra</v>
      </c>
      <c r="G23" s="441">
        <v>4</v>
      </c>
      <c r="H23" s="450" t="str">
        <f ca="1">+MID(INDEX(WORLDCUP!$AL$6:$AL$97,MATCH(L23,WORLDCUP!$AI$6:$AI$97,0)),1,3)</f>
        <v>Hai</v>
      </c>
      <c r="I23" s="451">
        <f ca="1">+INDEX(WORLDCUP!$AM$6:$AM$97,MATCH(L23,WORLDCUP!$AI$6:$AI$97,0))</f>
        <v>0</v>
      </c>
      <c r="J23" s="452">
        <f ca="1">+INDEX(WORLDCUP!$AT$6:$AT$97,MATCH(L23,WORLDCUP!$AI$6:$AI$97,0))</f>
        <v>-7</v>
      </c>
      <c r="K23" s="453" t="str">
        <f ca="1">+INDEX(WORLDCUP!$AR$6:$AR$97,MATCH(L23,WORLDCUP!$AI$6:$AI$97,0))&amp;"-"&amp;INDEX(WORLDCUP!$AS$6:$AS$97,MATCH(L23,WORLDCUP!$AI$6:$AI$97,0))</f>
        <v>0-7</v>
      </c>
      <c r="L23" s="169" t="s">
        <v>669</v>
      </c>
      <c r="M23" s="169">
        <v>61</v>
      </c>
      <c r="N23" s="496"/>
      <c r="O23" s="418" t="str">
        <f ca="1">+MID(INDEX(WORLDCUP!$AA$4:$AA$147,MATCH(M23,WORLDCUP!$AH$4:$AH$147,0)),1,3)</f>
        <v>Nor</v>
      </c>
      <c r="P23" s="419">
        <f>IF(ISBLANK(INDEX(WORLDCUP!$AC$4:$AC$147,MATCH(M23,WORLDCUP!$AH$4:$AH$147,0))),"",INDEX(WORLDCUP!$AC$4:$AC$147,MATCH(M23,WORLDCUP!$AH$4:$AH$147,0)))</f>
        <v>0</v>
      </c>
      <c r="Q23" s="419">
        <f>IF(ISBLANK(INDEX(WORLDCUP!$AD$4:$AD$147,MATCH(M23,WORLDCUP!$AH$4:$AH$147,0))),"",INDEX(WORLDCUP!$AD$4:$AD$147,MATCH(M23,WORLDCUP!$AH$4:$AH$147,0)))</f>
        <v>2</v>
      </c>
      <c r="R23" s="420" t="str">
        <f ca="1">+MID(INDEX(WORLDCUP!$AF$4:$AF$147,MATCH(M23,WORLDCUP!$AH$4:$AH$147,0)),1,3)</f>
        <v>Fra</v>
      </c>
      <c r="S23" s="441">
        <v>4</v>
      </c>
      <c r="T23" s="450" t="str">
        <f ca="1">+MID(INDEX(WORLDCUP!$AL$6:$AL$97,MATCH(X23,WORLDCUP!$AI$6:$AI$97,0)),1,3)</f>
        <v>Ira</v>
      </c>
      <c r="U23" s="451">
        <f ca="1">+INDEX(WORLDCUP!$AM$6:$AM$97,MATCH(X23,WORLDCUP!$AI$6:$AI$97,0))</f>
        <v>0</v>
      </c>
      <c r="V23" s="452">
        <f ca="1">+INDEX(WORLDCUP!$AT$6:$AT$97,MATCH(X23,WORLDCUP!$AI$6:$AI$97,0))</f>
        <v>-6</v>
      </c>
      <c r="W23" s="453" t="str">
        <f ca="1">+INDEX(WORLDCUP!$AR$6:$AR$97,MATCH(X23,WORLDCUP!$AI$6:$AI$97,0))&amp;"-"&amp;INDEX(WORLDCUP!$AS$6:$AS$97,MATCH(X23,WORLDCUP!$AI$6:$AI$97,0))</f>
        <v>0-6</v>
      </c>
      <c r="X23" s="169" t="s">
        <v>687</v>
      </c>
      <c r="Y23" s="169"/>
      <c r="Z23" s="399"/>
      <c r="AA23" s="443"/>
      <c r="AB23" s="443"/>
      <c r="AC23" s="444"/>
      <c r="AD23" s="169">
        <v>94</v>
      </c>
      <c r="AE23" s="430" t="str">
        <f ca="1">+MID(INDEX(WORLDCUP!$AF$101:$AF$147,MATCH(AD23,WORLDCUP!$Z$101:$Z$147,0)),1,3)</f>
        <v>Bél</v>
      </c>
      <c r="AF23" s="431">
        <f>+IF(ISBLANK(INDEX(WORLDCUP!$AD$101:$AD$147,MATCH(AD23,WORLDCUP!$Z$101:$Z$147,0))),"",INDEX(WORLDCUP!$AD$101:$AD$147,MATCH(AD23,WORLDCUP!$Z$101:$Z$147,0)))</f>
        <v>2</v>
      </c>
      <c r="AG23" s="448" t="str">
        <f>+IF(ISBLANK(INDEX(WORLDCUP!$AE$101:$AE$147,MATCH(AD23,WORLDCUP!$Z$101:$Z$147,0))),"","( "&amp;INDEX(WORLDCUP!$AE$101:$AE$147,MATCH(AD23,WORLDCUP!$Z$101:$Z$147,0))&amp;" )")</f>
        <v/>
      </c>
      <c r="AH23" s="169"/>
      <c r="AI23" s="433"/>
      <c r="AJ23" s="433"/>
      <c r="AK23" s="433"/>
      <c r="AL23" s="169"/>
      <c r="AM23" s="405"/>
      <c r="AN23" s="405"/>
      <c r="AO23" s="486"/>
      <c r="AP23" s="389"/>
      <c r="AQ23" s="434"/>
      <c r="AR23" s="434"/>
      <c r="AS23" s="434"/>
      <c r="AT23" s="169"/>
      <c r="AU23" s="407"/>
      <c r="AV23" s="407"/>
      <c r="AW23" s="407"/>
      <c r="AX23" s="169"/>
      <c r="AY23" s="501"/>
      <c r="AZ23" s="502"/>
      <c r="BA23" s="504"/>
      <c r="BB23" s="502" t="str">
        <f ca="1">+WORLDCUP!AA151</f>
        <v>Portugal</v>
      </c>
      <c r="BC23" s="503"/>
      <c r="BD23" s="141"/>
      <c r="BE23" s="141"/>
      <c r="BG23" s="436" t="str">
        <f ca="1">Horarios!Q22</f>
        <v>Escocia</v>
      </c>
      <c r="BH23" s="437">
        <f t="shared" ca="1" si="0"/>
        <v>0</v>
      </c>
      <c r="BI23" s="437">
        <f ca="1">COUNTIF(Pool!$C$130:$C$161,Fixture!BG23)-BJ23-BK23-BL23-BM23-BN23-BO23</f>
        <v>1</v>
      </c>
      <c r="BJ23" s="438">
        <f ca="1">COUNTIF(Pool!$C$182:$C$197,Fixture!BG23)-BK23-BL23-BM23-BN23-BO23</f>
        <v>0</v>
      </c>
      <c r="BK23" s="439">
        <f ca="1">COUNTIF(Pool!$C$210:$C$217,Fixture!BG23)-BL23-BM23-BN23-BO23</f>
        <v>0</v>
      </c>
      <c r="BL23" s="439">
        <f ca="1">COUNTIF(Pool!$C$226:$C$229,Fixture!BG23)-BM23-BN23-BO23</f>
        <v>0</v>
      </c>
      <c r="BM23" s="437">
        <f ca="1">COUNTIF(Pool!$C$252,Fixture!BG23)</f>
        <v>0</v>
      </c>
      <c r="BN23" s="437">
        <f ca="1">COUNTIF(Pool!$C$251,Fixture!BG23)</f>
        <v>0</v>
      </c>
      <c r="BO23" s="440">
        <f ca="1">COUNTIF(Pool!$C$250,Fixture!BG23)</f>
        <v>0</v>
      </c>
    </row>
    <row r="24" spans="1:67" ht="15" thickBot="1">
      <c r="A24" s="169">
        <v>50</v>
      </c>
      <c r="B24" s="505"/>
      <c r="C24" s="461" t="str">
        <f ca="1">+MID(INDEX(WORLDCUP!$AA$4:$AA$147,MATCH(A24,WORLDCUP!$AH$4:$AH$147,0)),1,3)</f>
        <v>Mar</v>
      </c>
      <c r="D24" s="462">
        <f>IF(ISBLANK(INDEX(WORLDCUP!$AC$4:$AC$147,MATCH(A24,WORLDCUP!$AH$4:$AH$147,0))),"",INDEX(WORLDCUP!$AC$4:$AC$147,MATCH(A24,WORLDCUP!$AH$4:$AH$147,0)))</f>
        <v>2</v>
      </c>
      <c r="E24" s="462">
        <f>IF(ISBLANK(INDEX(WORLDCUP!$AD$4:$AD$147,MATCH(A24,WORLDCUP!$AH$4:$AH$147,0))),"",INDEX(WORLDCUP!$AD$4:$AD$147,MATCH(A24,WORLDCUP!$AH$4:$AH$147,0)))</f>
        <v>0</v>
      </c>
      <c r="F24" s="463" t="str">
        <f ca="1">+MID(INDEX(WORLDCUP!$AF$4:$AF$147,MATCH(A24,WORLDCUP!$AH$4:$AH$147,0)),1,3)</f>
        <v>Hai</v>
      </c>
      <c r="G24" s="464"/>
      <c r="H24" s="464"/>
      <c r="I24" s="465"/>
      <c r="J24" s="465"/>
      <c r="K24" s="466"/>
      <c r="L24" s="169"/>
      <c r="M24" s="169">
        <v>62</v>
      </c>
      <c r="N24" s="506"/>
      <c r="O24" s="461" t="str">
        <f ca="1">+MID(INDEX(WORLDCUP!$AA$4:$AA$147,MATCH(M24,WORLDCUP!$AH$4:$AH$147,0)),1,3)</f>
        <v>Sen</v>
      </c>
      <c r="P24" s="462">
        <f>IF(ISBLANK(INDEX(WORLDCUP!$AC$4:$AC$147,MATCH(M24,WORLDCUP!$AH$4:$AH$147,0))),"",INDEX(WORLDCUP!$AC$4:$AC$147,MATCH(M24,WORLDCUP!$AH$4:$AH$147,0)))</f>
        <v>1</v>
      </c>
      <c r="Q24" s="462">
        <f>IF(ISBLANK(INDEX(WORLDCUP!$AD$4:$AD$147,MATCH(M24,WORLDCUP!$AH$4:$AH$147,0))),"",INDEX(WORLDCUP!$AD$4:$AD$147,MATCH(M24,WORLDCUP!$AH$4:$AH$147,0)))</f>
        <v>0</v>
      </c>
      <c r="R24" s="463" t="str">
        <f ca="1">+MID(INDEX(WORLDCUP!$AF$4:$AF$147,MATCH(M24,WORLDCUP!$AH$4:$AH$147,0)),1,3)</f>
        <v>Ira</v>
      </c>
      <c r="S24" s="464"/>
      <c r="T24" s="464"/>
      <c r="U24" s="465"/>
      <c r="V24" s="465"/>
      <c r="W24" s="466"/>
      <c r="X24" s="169"/>
      <c r="Y24" s="169">
        <v>82</v>
      </c>
      <c r="Z24" s="399" t="s">
        <v>679</v>
      </c>
      <c r="AA24" s="400" t="str">
        <f ca="1">+MID(INDEX(WORLDCUP!$AA$101:$AA$147,MATCH(Y24,WORLDCUP!$Z$101:$Z$147,0)),1,3)</f>
        <v>Bél</v>
      </c>
      <c r="AB24" s="446">
        <f>+IF(ISBLANK(INDEX(WORLDCUP!$AC$101:$AC$147,MATCH(Y24,WORLDCUP!$Z$101:$Z$147,0))),"",INDEX(WORLDCUP!$AC$101:$AC$147,MATCH(Y24,WORLDCUP!$Z$101:$Z$147,0)))</f>
        <v>2</v>
      </c>
      <c r="AC24" s="480" t="str">
        <f>+IF(ISBLANK(INDEX(WORLDCUP!$AB$101:$AB$147,MATCH(Y24,WORLDCUP!$Z$101:$Z$147,0))),"","( "&amp;INDEX(WORLDCUP!$AB$101:$AB$147,MATCH(Y24,WORLDCUP!$Z$101:$Z$147,0))&amp;" )")</f>
        <v/>
      </c>
      <c r="AD24" s="169"/>
      <c r="AE24" s="403"/>
      <c r="AF24" s="403"/>
      <c r="AG24" s="403"/>
      <c r="AH24" s="169"/>
      <c r="AI24" s="433"/>
      <c r="AJ24" s="433"/>
      <c r="AK24" s="433"/>
      <c r="AL24" s="169"/>
      <c r="AM24" s="405"/>
      <c r="AN24" s="405"/>
      <c r="AO24" s="486"/>
      <c r="AP24" s="389"/>
      <c r="AQ24" s="434"/>
      <c r="AR24" s="434"/>
      <c r="AS24" s="434"/>
      <c r="AT24" s="169"/>
      <c r="AU24" s="407"/>
      <c r="AV24" s="407"/>
      <c r="AW24" s="407"/>
      <c r="AX24" s="169"/>
      <c r="AY24" s="501"/>
      <c r="AZ24" s="502"/>
      <c r="BA24" s="504"/>
      <c r="BB24" s="507"/>
      <c r="BC24" s="503"/>
      <c r="BD24" s="141"/>
      <c r="BE24" s="141"/>
      <c r="BG24" s="436" t="str">
        <f ca="1">Horarios!Q23</f>
        <v>España</v>
      </c>
      <c r="BH24" s="437">
        <f t="shared" ca="1" si="0"/>
        <v>0</v>
      </c>
      <c r="BI24" s="437">
        <f ca="1">COUNTIF(Pool!$C$130:$C$161,Fixture!BG24)-BJ24-BK24-BL24-BM24-BN24-BO24</f>
        <v>0</v>
      </c>
      <c r="BJ24" s="438">
        <f ca="1">COUNTIF(Pool!$C$182:$C$197,Fixture!BG24)-BK24-BL24-BM24-BN24-BO24</f>
        <v>0</v>
      </c>
      <c r="BK24" s="439">
        <f ca="1">COUNTIF(Pool!$C$210:$C$217,Fixture!BG24)-BL24-BM24-BN24-BO24</f>
        <v>0</v>
      </c>
      <c r="BL24" s="439">
        <f ca="1">COUNTIF(Pool!$C$226:$C$229,Fixture!BG24)-BM24-BN24-BO24</f>
        <v>0</v>
      </c>
      <c r="BM24" s="437">
        <f ca="1">COUNTIF(Pool!$C$252,Fixture!BG24)</f>
        <v>0</v>
      </c>
      <c r="BN24" s="437">
        <f ca="1">COUNTIF(Pool!$C$251,Fixture!BG24)</f>
        <v>0</v>
      </c>
      <c r="BO24" s="440">
        <f ca="1">COUNTIF(Pool!$C$250,Fixture!BG24)</f>
        <v>1</v>
      </c>
    </row>
    <row r="25" spans="1:67" ht="15" thickBot="1">
      <c r="A25" s="169"/>
      <c r="B25" s="385"/>
      <c r="C25" s="470"/>
      <c r="D25" s="471"/>
      <c r="E25" s="471"/>
      <c r="F25" s="141"/>
      <c r="G25" s="141"/>
      <c r="H25" s="470"/>
      <c r="I25" s="141"/>
      <c r="J25" s="141"/>
      <c r="K25" s="141"/>
      <c r="L25" s="169"/>
      <c r="M25" s="169"/>
      <c r="N25" s="139"/>
      <c r="O25" s="141"/>
      <c r="P25" s="141"/>
      <c r="Q25" s="141"/>
      <c r="R25" s="141"/>
      <c r="S25" s="141"/>
      <c r="T25" s="141"/>
      <c r="U25" s="141"/>
      <c r="V25" s="141"/>
      <c r="W25" s="141"/>
      <c r="X25" s="169"/>
      <c r="Y25" s="169">
        <v>82</v>
      </c>
      <c r="Z25" s="399" t="s">
        <v>739</v>
      </c>
      <c r="AA25" s="454" t="str">
        <f ca="1">+MID(INDEX(WORLDCUP!$AF$101:$AF$147,MATCH(Y25,WORLDCUP!$Z$101:$Z$147,0)),1,IF(WORLDCUP!$H$113&lt;144,6,3))</f>
        <v>Rep</v>
      </c>
      <c r="AB25" s="455">
        <f>+IF(ISBLANK(INDEX(WORLDCUP!$AD$101:$AD$147,MATCH(Y25,WORLDCUP!$Z$101:$Z$147,0))),"",INDEX(WORLDCUP!$AD$101:$AD$147,MATCH(Y25,WORLDCUP!$Z$101:$Z$147,0)))</f>
        <v>1</v>
      </c>
      <c r="AC25" s="481" t="str">
        <f>+IF(ISBLANK(INDEX(WORLDCUP!$AE$101:$AE$147,MATCH(Y25,WORLDCUP!$Z$101:$Z$147,0))),"","( "&amp;INDEX(WORLDCUP!$AE$101:$AE$147,MATCH(Y25,WORLDCUP!$Z$101:$Z$147,0))&amp;" )")</f>
        <v/>
      </c>
      <c r="AD25" s="169"/>
      <c r="AE25" s="403"/>
      <c r="AF25" s="403"/>
      <c r="AG25" s="403"/>
      <c r="AH25" s="169"/>
      <c r="AI25" s="433"/>
      <c r="AJ25" s="433"/>
      <c r="AK25" s="433"/>
      <c r="AL25" s="169"/>
      <c r="AM25" s="405"/>
      <c r="AN25" s="405"/>
      <c r="AO25" s="486"/>
      <c r="AP25" s="508"/>
      <c r="AQ25" s="509"/>
      <c r="AR25" s="509"/>
      <c r="AS25" s="509"/>
      <c r="AT25" s="510">
        <v>104</v>
      </c>
      <c r="AU25" s="511" t="str">
        <f ca="1">+MID(INDEX(WORLDCUP!$AA$101:$AA$147,MATCH(AT25,WORLDCUP!$Z$101:$Z$147,0)),1,4)</f>
        <v>Espa</v>
      </c>
      <c r="AV25" s="512">
        <f>+IF(ISBLANK(INDEX(WORLDCUP!$AC$101:$AC$147,MATCH(AT25,WORLDCUP!$Z$101:$Z$147,0))),"",INDEX(WORLDCUP!$AC$101:$AC$147,MATCH(AT25,WORLDCUP!$Z$101:$Z$147,0)))</f>
        <v>2</v>
      </c>
      <c r="AW25" s="513" t="str">
        <f>+IF(ISBLANK(INDEX(WORLDCUP!$AB$101:$AB$147,MATCH(AT25,WORLDCUP!$Z$101:$Z$147,0))),"","( "&amp;INDEX(WORLDCUP!$AB$101:$AB$147,MATCH(AT25,WORLDCUP!$Z$101:$Z$147,0))&amp;" )")</f>
        <v/>
      </c>
      <c r="AX25" s="514"/>
      <c r="AY25" s="501"/>
      <c r="AZ25" s="502" t="str">
        <f ca="1">+WORLDCUP!AA152</f>
        <v>Inglaterra</v>
      </c>
      <c r="BA25" s="504"/>
      <c r="BB25" s="507"/>
      <c r="BC25" s="503"/>
      <c r="BD25" s="141"/>
      <c r="BE25" s="141"/>
      <c r="BG25" s="436" t="str">
        <f ca="1">Horarios!Q24</f>
        <v>Estados Unidos</v>
      </c>
      <c r="BH25" s="437">
        <f t="shared" ca="1" si="0"/>
        <v>0</v>
      </c>
      <c r="BI25" s="437">
        <f ca="1">COUNTIF(Pool!$C$130:$C$161,Fixture!BG25)-BJ25-BK25-BL25-BM25-BN25-BO25</f>
        <v>0</v>
      </c>
      <c r="BJ25" s="438">
        <f ca="1">COUNTIF(Pool!$C$182:$C$197,Fixture!BG25)-BK25-BL25-BM25-BN25-BO25</f>
        <v>1</v>
      </c>
      <c r="BK25" s="439">
        <f ca="1">COUNTIF(Pool!$C$210:$C$217,Fixture!BG25)-BL25-BM25-BN25-BO25</f>
        <v>0</v>
      </c>
      <c r="BL25" s="439">
        <f ca="1">COUNTIF(Pool!$C$226:$C$229,Fixture!BG25)-BM25-BN25-BO25</f>
        <v>0</v>
      </c>
      <c r="BM25" s="437">
        <f ca="1">COUNTIF(Pool!$C$252,Fixture!BG25)</f>
        <v>0</v>
      </c>
      <c r="BN25" s="437">
        <f ca="1">COUNTIF(Pool!$C$251,Fixture!BG25)</f>
        <v>0</v>
      </c>
      <c r="BO25" s="440">
        <f ca="1">COUNTIF(Pool!$C$250,Fixture!BG25)</f>
        <v>0</v>
      </c>
    </row>
    <row r="26" spans="1:67" ht="15" thickBot="1">
      <c r="A26" s="169"/>
      <c r="B26" s="385"/>
      <c r="C26" s="470"/>
      <c r="D26" s="471"/>
      <c r="E26" s="471"/>
      <c r="F26" s="141"/>
      <c r="G26" s="141"/>
      <c r="H26" s="470"/>
      <c r="I26" s="141"/>
      <c r="J26" s="141"/>
      <c r="K26" s="141"/>
      <c r="L26" s="169"/>
      <c r="M26" s="169"/>
      <c r="N26" s="139"/>
      <c r="O26" s="141"/>
      <c r="P26" s="141"/>
      <c r="Q26" s="141"/>
      <c r="R26" s="141"/>
      <c r="S26" s="141"/>
      <c r="T26" s="141"/>
      <c r="U26" s="141"/>
      <c r="V26" s="141"/>
      <c r="W26" s="141"/>
      <c r="X26" s="169"/>
      <c r="Y26" s="169"/>
      <c r="Z26" s="399"/>
      <c r="AA26" s="468"/>
      <c r="AB26" s="468"/>
      <c r="AC26" s="468"/>
      <c r="AD26" s="169"/>
      <c r="AE26" s="403"/>
      <c r="AF26" s="403"/>
      <c r="AG26" s="448"/>
      <c r="AH26" s="169"/>
      <c r="AI26" s="433"/>
      <c r="AJ26" s="433"/>
      <c r="AK26" s="433"/>
      <c r="AL26" s="169"/>
      <c r="AM26" s="405"/>
      <c r="AN26" s="405"/>
      <c r="AO26" s="486"/>
      <c r="AP26" s="169"/>
      <c r="AQ26" s="434"/>
      <c r="AR26" s="434"/>
      <c r="AS26" s="434"/>
      <c r="AT26" s="169">
        <v>104</v>
      </c>
      <c r="AU26" s="511" t="str">
        <f ca="1">+MID(INDEX(WORLDCUP!$AF$101:$AF$147,MATCH(AT26,WORLDCUP!$Z$101:$Z$147,0)),1,4)</f>
        <v>Port</v>
      </c>
      <c r="AV26" s="512">
        <f>+IF(ISBLANK(INDEX(WORLDCUP!$AD$101:$AD$147,MATCH(AT26,WORLDCUP!$Z$101:$Z$147,0))),"",INDEX(WORLDCUP!$AD$101:$AD$147,MATCH(AT26,WORLDCUP!$Z$101:$Z$147,0)))</f>
        <v>1</v>
      </c>
      <c r="AW26" s="407" t="str">
        <f>+IF(ISBLANK(INDEX(WORLDCUP!$AE$101:$AE$147,MATCH(AT26,WORLDCUP!$Z$101:$Z$147,0))),"","( "&amp;INDEX(WORLDCUP!$AE$101:$AE$147,MATCH(AT26,WORLDCUP!$Z$101:$Z$147,0))&amp;" )")</f>
        <v/>
      </c>
      <c r="AX26" s="169"/>
      <c r="AY26" s="501"/>
      <c r="AZ26" s="515"/>
      <c r="BA26" s="504"/>
      <c r="BB26" s="507"/>
      <c r="BC26" s="503"/>
      <c r="BD26" s="141"/>
      <c r="BE26" s="141"/>
      <c r="BG26" s="436" t="str">
        <f ca="1">Horarios!Q25</f>
        <v>Francia</v>
      </c>
      <c r="BH26" s="437">
        <f t="shared" ca="1" si="0"/>
        <v>0</v>
      </c>
      <c r="BI26" s="437">
        <f ca="1">COUNTIF(Pool!$C$130:$C$161,Fixture!BG26)-BJ26-BK26-BL26-BM26-BN26-BO26</f>
        <v>0</v>
      </c>
      <c r="BJ26" s="438">
        <f ca="1">COUNTIF(Pool!$C$182:$C$197,Fixture!BG26)-BK26-BL26-BM26-BN26-BO26</f>
        <v>0</v>
      </c>
      <c r="BK26" s="439">
        <f ca="1">COUNTIF(Pool!$C$210:$C$217,Fixture!BG26)-BL26-BM26-BN26-BO26</f>
        <v>0</v>
      </c>
      <c r="BL26" s="439">
        <f ca="1">COUNTIF(Pool!$C$226:$C$229,Fixture!BG26)-BM26-BN26-BO26</f>
        <v>1</v>
      </c>
      <c r="BM26" s="437">
        <f ca="1">COUNTIF(Pool!$C$252,Fixture!BG26)</f>
        <v>0</v>
      </c>
      <c r="BN26" s="437">
        <f ca="1">COUNTIF(Pool!$C$251,Fixture!BG26)</f>
        <v>0</v>
      </c>
      <c r="BO26" s="440">
        <f ca="1">COUNTIF(Pool!$C$250,Fixture!BG26)</f>
        <v>0</v>
      </c>
    </row>
    <row r="27" spans="1:67" ht="15" thickBot="1">
      <c r="A27" s="169">
        <v>4</v>
      </c>
      <c r="B27" s="516" t="s">
        <v>74</v>
      </c>
      <c r="C27" s="391" t="str">
        <f ca="1">+MID(INDEX(WORLDCUP!$AA$4:$AA$147,MATCH(A27,WORLDCUP!$AH$4:$AH$147,0)),1,3)</f>
        <v>Est</v>
      </c>
      <c r="D27" s="392">
        <f>IF(ISBLANK(INDEX(WORLDCUP!$AC$4:$AC$147,MATCH(A27,WORLDCUP!$AH$4:$AH$147,0))),"",INDEX(WORLDCUP!$AC$4:$AC$147,MATCH(A27,WORLDCUP!$AH$4:$AH$147,0)))</f>
        <v>2</v>
      </c>
      <c r="E27" s="392">
        <f>IF(ISBLANK(INDEX(WORLDCUP!$AD$4:$AD$147,MATCH(A27,WORLDCUP!$AH$4:$AH$147,0))),"",INDEX(WORLDCUP!$AD$4:$AD$147,MATCH(A27,WORLDCUP!$AH$4:$AH$147,0)))</f>
        <v>2</v>
      </c>
      <c r="F27" s="393" t="str">
        <f ca="1">+MID(INDEX(WORLDCUP!$AF$4:$AF$147,MATCH(A27,WORLDCUP!$AH$4:$AH$147,0)),1,3)</f>
        <v>Par</v>
      </c>
      <c r="G27" s="394"/>
      <c r="H27" s="395" t="str">
        <f>+H19</f>
        <v>Sel</v>
      </c>
      <c r="I27" s="396" t="str">
        <f>+I19</f>
        <v>Pts</v>
      </c>
      <c r="J27" s="396" t="str">
        <f>+J19</f>
        <v>DG</v>
      </c>
      <c r="K27" s="397" t="str">
        <f>+K19</f>
        <v>GF-GC</v>
      </c>
      <c r="L27" s="169"/>
      <c r="M27" s="169">
        <v>19</v>
      </c>
      <c r="N27" s="517" t="s">
        <v>5</v>
      </c>
      <c r="O27" s="391" t="str">
        <f ca="1">+MID(INDEX(WORLDCUP!$AA$4:$AA$147,MATCH(M27,WORLDCUP!$AH$4:$AH$147,0)),1,3)</f>
        <v>Arg</v>
      </c>
      <c r="P27" s="392">
        <f>IF(ISBLANK(INDEX(WORLDCUP!$AC$4:$AC$147,MATCH(M27,WORLDCUP!$AH$4:$AH$147,0))),"",INDEX(WORLDCUP!$AC$4:$AC$147,MATCH(M27,WORLDCUP!$AH$4:$AH$147,0)))</f>
        <v>3</v>
      </c>
      <c r="Q27" s="392">
        <f>IF(ISBLANK(INDEX(WORLDCUP!$AD$4:$AD$147,MATCH(M27,WORLDCUP!$AH$4:$AH$147,0))),"",INDEX(WORLDCUP!$AD$4:$AD$147,MATCH(M27,WORLDCUP!$AH$4:$AH$147,0)))</f>
        <v>0</v>
      </c>
      <c r="R27" s="393" t="str">
        <f ca="1">+MID(INDEX(WORLDCUP!$AF$4:$AF$147,MATCH(M27,WORLDCUP!$AH$4:$AH$147,0)),1,3)</f>
        <v>Arg</v>
      </c>
      <c r="S27" s="394"/>
      <c r="T27" s="395" t="str">
        <f>+T19</f>
        <v>Sel</v>
      </c>
      <c r="U27" s="396" t="str">
        <f>+U19</f>
        <v>Pts</v>
      </c>
      <c r="V27" s="396" t="str">
        <f>+V19</f>
        <v>DG</v>
      </c>
      <c r="W27" s="397" t="str">
        <f>+W19</f>
        <v>GF-GC</v>
      </c>
      <c r="X27" s="169"/>
      <c r="Y27" s="169">
        <v>76</v>
      </c>
      <c r="Z27" s="399" t="s">
        <v>663</v>
      </c>
      <c r="AA27" s="400" t="str">
        <f ca="1">+MID(INDEX(WORLDCUP!$AA$101:$AA$147,MATCH(Y27,WORLDCUP!$Z$101:$Z$147,0)),1,3)</f>
        <v>Mar</v>
      </c>
      <c r="AB27" s="401">
        <f>+IF(ISBLANK(INDEX(WORLDCUP!$AC$101:$AC$147,MATCH(Y27,WORLDCUP!$Z$101:$Z$147,0))),"",INDEX(WORLDCUP!$AC$101:$AC$147,MATCH(Y27,WORLDCUP!$Z$101:$Z$147,0)))</f>
        <v>1</v>
      </c>
      <c r="AC27" s="472" t="str">
        <f>+IF(ISBLANK(INDEX(WORLDCUP!$AB$101:$AB$147,MATCH(Y27,WORLDCUP!$Z$101:$Z$147,0))),"","( "&amp;INDEX(WORLDCUP!$AB$101:$AB$147,MATCH(Y27,WORLDCUP!$Z$101:$Z$147,0))&amp;" )")</f>
        <v>( 3 )</v>
      </c>
      <c r="AD27" s="167"/>
      <c r="AE27" s="403"/>
      <c r="AF27" s="403"/>
      <c r="AG27" s="403"/>
      <c r="AH27" s="169"/>
      <c r="AI27" s="433"/>
      <c r="AJ27" s="433"/>
      <c r="AK27" s="433"/>
      <c r="AL27" s="169"/>
      <c r="AM27" s="405"/>
      <c r="AN27" s="405"/>
      <c r="AO27" s="486"/>
      <c r="AP27" s="389"/>
      <c r="AQ27" s="434"/>
      <c r="AR27" s="434"/>
      <c r="AS27" s="434"/>
      <c r="AT27" s="169"/>
      <c r="AU27" s="407"/>
      <c r="AV27" s="407"/>
      <c r="AW27" s="407"/>
      <c r="AX27" s="169"/>
      <c r="AY27" s="501"/>
      <c r="AZ27" s="515"/>
      <c r="BA27" s="504"/>
      <c r="BB27" s="507"/>
      <c r="BC27" s="503"/>
      <c r="BD27" s="141"/>
      <c r="BE27" s="141"/>
      <c r="BG27" s="436" t="str">
        <f ca="1">Horarios!Q26</f>
        <v>Ghana</v>
      </c>
      <c r="BH27" s="437">
        <f t="shared" ca="1" si="0"/>
        <v>1</v>
      </c>
      <c r="BI27" s="437">
        <f ca="1">COUNTIF(Pool!$C$130:$C$161,Fixture!BG27)-BJ27-BK27-BL27-BM27-BN27-BO27</f>
        <v>0</v>
      </c>
      <c r="BJ27" s="438">
        <f ca="1">COUNTIF(Pool!$C$182:$C$197,Fixture!BG27)-BK27-BL27-BM27-BN27-BO27</f>
        <v>0</v>
      </c>
      <c r="BK27" s="439">
        <f ca="1">COUNTIF(Pool!$C$210:$C$217,Fixture!BG27)-BL27-BM27-BN27-BO27</f>
        <v>0</v>
      </c>
      <c r="BL27" s="439">
        <f ca="1">COUNTIF(Pool!$C$226:$C$229,Fixture!BG27)-BM27-BN27-BO27</f>
        <v>0</v>
      </c>
      <c r="BM27" s="437">
        <f ca="1">COUNTIF(Pool!$C$252,Fixture!BG27)</f>
        <v>0</v>
      </c>
      <c r="BN27" s="437">
        <f ca="1">COUNTIF(Pool!$C$251,Fixture!BG27)</f>
        <v>0</v>
      </c>
      <c r="BO27" s="440">
        <f ca="1">COUNTIF(Pool!$C$250,Fixture!BG27)</f>
        <v>0</v>
      </c>
    </row>
    <row r="28" spans="1:67" ht="15" thickBot="1">
      <c r="A28" s="169">
        <v>6</v>
      </c>
      <c r="B28" s="518"/>
      <c r="C28" s="418" t="str">
        <f ca="1">+MID(INDEX(WORLDCUP!$AA$4:$AA$147,MATCH(A28,WORLDCUP!$AH$4:$AH$147,0)),1,3)</f>
        <v>Aus</v>
      </c>
      <c r="D28" s="419">
        <f>IF(ISBLANK(INDEX(WORLDCUP!$AC$4:$AC$147,MATCH(A28,WORLDCUP!$AH$4:$AH$147,0))),"",INDEX(WORLDCUP!$AC$4:$AC$147,MATCH(A28,WORLDCUP!$AH$4:$AH$147,0)))</f>
        <v>1</v>
      </c>
      <c r="E28" s="419">
        <f>IF(ISBLANK(INDEX(WORLDCUP!$AD$4:$AD$147,MATCH(A28,WORLDCUP!$AH$4:$AH$147,0))),"",INDEX(WORLDCUP!$AD$4:$AD$147,MATCH(A28,WORLDCUP!$AH$4:$AH$147,0)))</f>
        <v>2</v>
      </c>
      <c r="F28" s="420" t="str">
        <f ca="1">+MID(INDEX(WORLDCUP!$AF$4:$AF$147,MATCH(A28,WORLDCUP!$AH$4:$AH$147,0)),1,3)</f>
        <v>Tur</v>
      </c>
      <c r="G28" s="421">
        <v>1</v>
      </c>
      <c r="H28" s="422" t="str">
        <f ca="1">+MID(INDEX(WORLDCUP!$AL$6:$AL$97,MATCH(L28,WORLDCUP!$AI$6:$AI$97,0)),1,3)</f>
        <v>Tur</v>
      </c>
      <c r="I28" s="423">
        <f ca="1">+INDEX(WORLDCUP!$AM$6:$AM$97,MATCH(L28,WORLDCUP!$AI$6:$AI$97,0))</f>
        <v>9</v>
      </c>
      <c r="J28" s="424">
        <f ca="1">+INDEX(WORLDCUP!$AT$6:$AT$97,MATCH(L28,WORLDCUP!$AI$6:$AI$97,0))</f>
        <v>4</v>
      </c>
      <c r="K28" s="425" t="str">
        <f ca="1">+INDEX(WORLDCUP!$AR$6:$AR$97,MATCH(L28,WORLDCUP!$AI$6:$AI$97,0))&amp;"-"&amp;INDEX(WORLDCUP!$AS$6:$AS$97,MATCH(L28,WORLDCUP!$AI$6:$AI$97,0))</f>
        <v>6-2</v>
      </c>
      <c r="L28" s="169" t="s">
        <v>670</v>
      </c>
      <c r="M28" s="169">
        <v>20</v>
      </c>
      <c r="N28" s="519"/>
      <c r="O28" s="418" t="str">
        <f ca="1">+MID(INDEX(WORLDCUP!$AA$4:$AA$147,MATCH(M28,WORLDCUP!$AH$4:$AH$147,0)),1,3)</f>
        <v>Aus</v>
      </c>
      <c r="P28" s="419">
        <f>IF(ISBLANK(INDEX(WORLDCUP!$AC$4:$AC$147,MATCH(M28,WORLDCUP!$AH$4:$AH$147,0))),"",INDEX(WORLDCUP!$AC$4:$AC$147,MATCH(M28,WORLDCUP!$AH$4:$AH$147,0)))</f>
        <v>2</v>
      </c>
      <c r="Q28" s="419">
        <f>IF(ISBLANK(INDEX(WORLDCUP!$AD$4:$AD$147,MATCH(M28,WORLDCUP!$AH$4:$AH$147,0))),"",INDEX(WORLDCUP!$AD$4:$AD$147,MATCH(M28,WORLDCUP!$AH$4:$AH$147,0)))</f>
        <v>1</v>
      </c>
      <c r="R28" s="420" t="str">
        <f ca="1">+MID(INDEX(WORLDCUP!$AF$4:$AF$147,MATCH(M28,WORLDCUP!$AH$4:$AH$147,0)),1,3)</f>
        <v>Jor</v>
      </c>
      <c r="S28" s="421">
        <v>1</v>
      </c>
      <c r="T28" s="422" t="str">
        <f ca="1">+MID(INDEX(WORLDCUP!$AL$6:$AL$97,MATCH(X28,WORLDCUP!$AI$6:$AI$97,0)),1,3)</f>
        <v>Arg</v>
      </c>
      <c r="U28" s="423">
        <f ca="1">+INDEX(WORLDCUP!$AM$6:$AM$97,MATCH(X28,WORLDCUP!$AI$6:$AI$97,0))</f>
        <v>9</v>
      </c>
      <c r="V28" s="424">
        <f ca="1">+INDEX(WORLDCUP!$AT$6:$AT$97,MATCH(X28,WORLDCUP!$AI$6:$AI$97,0))</f>
        <v>6</v>
      </c>
      <c r="W28" s="425" t="str">
        <f ca="1">+INDEX(WORLDCUP!$AR$6:$AR$97,MATCH(X28,WORLDCUP!$AI$6:$AI$97,0))&amp;"-"&amp;INDEX(WORLDCUP!$AS$6:$AS$97,MATCH(X28,WORLDCUP!$AI$6:$AI$97,0))</f>
        <v>7-1</v>
      </c>
      <c r="X28" s="169" t="s">
        <v>688</v>
      </c>
      <c r="Y28" s="169">
        <v>76</v>
      </c>
      <c r="Z28" s="399" t="s">
        <v>677</v>
      </c>
      <c r="AA28" s="400" t="str">
        <f ca="1">+MID(INDEX(WORLDCUP!$AF$101:$AF$147,MATCH(Y28,WORLDCUP!$Z$101:$Z$147,0)),1,3)</f>
        <v>Paí</v>
      </c>
      <c r="AB28" s="427">
        <f>+IF(ISBLANK(INDEX(WORLDCUP!$AD$101:$AD$147,MATCH(Y28,WORLDCUP!$Z$101:$Z$147,0))),"",INDEX(WORLDCUP!$AD$101:$AD$147,MATCH(Y28,WORLDCUP!$Z$101:$Z$147,0)))</f>
        <v>1</v>
      </c>
      <c r="AC28" s="428" t="str">
        <f>+IF(ISBLANK(INDEX(WORLDCUP!$AE$101:$AE$147,MATCH(Y28,WORLDCUP!$Z$101:$Z$147,0))),"","( "&amp;INDEX(WORLDCUP!$AE$101:$AE$147,MATCH(Y28,WORLDCUP!$Z$101:$Z$147,0))&amp;" )")</f>
        <v>( 2 )</v>
      </c>
      <c r="AD28" s="429">
        <v>91</v>
      </c>
      <c r="AE28" s="430" t="str">
        <f ca="1">+MID(INDEX(WORLDCUP!$AA$101:$AA$147,MATCH(AD28,WORLDCUP!$Z$101:$Z$147,0)),1,3)</f>
        <v>Mar</v>
      </c>
      <c r="AF28" s="431">
        <f>+IF(ISBLANK(INDEX(WORLDCUP!$AC$101:$AC$147,MATCH(AD28,WORLDCUP!$Z$101:$Z$147,0))),"",INDEX(WORLDCUP!$AC$101:$AC$147,MATCH(AD28,WORLDCUP!$Z$101:$Z$147,0)))</f>
        <v>1</v>
      </c>
      <c r="AG28" s="432" t="str">
        <f>+IF(ISBLANK(INDEX(WORLDCUP!$AB$101:$AB$147,MATCH(AD28,WORLDCUP!$Z$101:$Z$147,0))),"","( "&amp;INDEX(WORLDCUP!$AB$101:$AB$147,MATCH(AD28,WORLDCUP!$Z$101:$Z$147,0))&amp;" )")</f>
        <v>( 2 )</v>
      </c>
      <c r="AH28" s="169"/>
      <c r="AI28" s="433"/>
      <c r="AJ28" s="433"/>
      <c r="AK28" s="433"/>
      <c r="AL28" s="169"/>
      <c r="AM28" s="405"/>
      <c r="AN28" s="405"/>
      <c r="AO28" s="486"/>
      <c r="AP28" s="389"/>
      <c r="AQ28" s="434"/>
      <c r="AR28" s="434"/>
      <c r="AS28" s="434"/>
      <c r="AT28" s="169"/>
      <c r="AU28" s="407"/>
      <c r="AV28" s="407"/>
      <c r="AW28" s="407"/>
      <c r="AX28" s="169"/>
      <c r="AY28" s="501"/>
      <c r="AZ28" s="515"/>
      <c r="BA28" s="504"/>
      <c r="BB28" s="507"/>
      <c r="BC28" s="503"/>
      <c r="BD28" s="141"/>
      <c r="BE28" s="141"/>
      <c r="BG28" s="436" t="str">
        <f ca="1">Horarios!Q27</f>
        <v>Haití</v>
      </c>
      <c r="BH28" s="437">
        <f t="shared" ca="1" si="0"/>
        <v>1</v>
      </c>
      <c r="BI28" s="437">
        <f ca="1">COUNTIF(Pool!$C$130:$C$161,Fixture!BG28)-BJ28-BK28-BL28-BM28-BN28-BO28</f>
        <v>0</v>
      </c>
      <c r="BJ28" s="438">
        <f ca="1">COUNTIF(Pool!$C$182:$C$197,Fixture!BG28)-BK28-BL28-BM28-BN28-BO28</f>
        <v>0</v>
      </c>
      <c r="BK28" s="439">
        <f ca="1">COUNTIF(Pool!$C$210:$C$217,Fixture!BG28)-BL28-BM28-BN28-BO28</f>
        <v>0</v>
      </c>
      <c r="BL28" s="439">
        <f ca="1">COUNTIF(Pool!$C$226:$C$229,Fixture!BG28)-BM28-BN28-BO28</f>
        <v>0</v>
      </c>
      <c r="BM28" s="437">
        <f ca="1">COUNTIF(Pool!$C$252,Fixture!BG28)</f>
        <v>0</v>
      </c>
      <c r="BN28" s="437">
        <f ca="1">COUNTIF(Pool!$C$251,Fixture!BG28)</f>
        <v>0</v>
      </c>
      <c r="BO28" s="440">
        <f ca="1">COUNTIF(Pool!$C$250,Fixture!BG28)</f>
        <v>0</v>
      </c>
    </row>
    <row r="29" spans="1:67">
      <c r="A29" s="169">
        <v>32</v>
      </c>
      <c r="B29" s="518"/>
      <c r="C29" s="418" t="str">
        <f ca="1">+MID(INDEX(WORLDCUP!$AA$4:$AA$147,MATCH(A29,WORLDCUP!$AH$4:$AH$147,0)),1,3)</f>
        <v>Est</v>
      </c>
      <c r="D29" s="419">
        <f>IF(ISBLANK(INDEX(WORLDCUP!$AC$4:$AC$147,MATCH(A29,WORLDCUP!$AH$4:$AH$147,0))),"",INDEX(WORLDCUP!$AC$4:$AC$147,MATCH(A29,WORLDCUP!$AH$4:$AH$147,0)))</f>
        <v>2</v>
      </c>
      <c r="E29" s="419">
        <f>IF(ISBLANK(INDEX(WORLDCUP!$AD$4:$AD$147,MATCH(A29,WORLDCUP!$AH$4:$AH$147,0))),"",INDEX(WORLDCUP!$AD$4:$AD$147,MATCH(A29,WORLDCUP!$AH$4:$AH$147,0)))</f>
        <v>0</v>
      </c>
      <c r="F29" s="420" t="str">
        <f ca="1">+MID(INDEX(WORLDCUP!$AF$4:$AF$147,MATCH(A29,WORLDCUP!$AH$4:$AH$147,0)),1,3)</f>
        <v>Aus</v>
      </c>
      <c r="G29" s="441">
        <v>2</v>
      </c>
      <c r="H29" s="442" t="str">
        <f ca="1">+MID(INDEX(WORLDCUP!$AL$6:$AL$97,MATCH(L29,WORLDCUP!$AI$6:$AI$97,0)),1,3)</f>
        <v>Est</v>
      </c>
      <c r="I29" s="38">
        <f ca="1">+INDEX(WORLDCUP!$AM$6:$AM$97,MATCH(L29,WORLDCUP!$AI$6:$AI$97,0))</f>
        <v>4</v>
      </c>
      <c r="J29" s="39">
        <f ca="1">+INDEX(WORLDCUP!$AT$6:$AT$97,MATCH(L29,WORLDCUP!$AI$6:$AI$97,0))</f>
        <v>0</v>
      </c>
      <c r="K29" s="43" t="str">
        <f ca="1">+INDEX(WORLDCUP!$AR$6:$AR$97,MATCH(L29,WORLDCUP!$AI$6:$AI$97,0))&amp;"-"&amp;INDEX(WORLDCUP!$AS$6:$AS$97,MATCH(L29,WORLDCUP!$AI$6:$AI$97,0))</f>
        <v>4-4</v>
      </c>
      <c r="L29" s="169" t="s">
        <v>671</v>
      </c>
      <c r="M29" s="169">
        <v>43</v>
      </c>
      <c r="N29" s="519"/>
      <c r="O29" s="418" t="str">
        <f ca="1">+MID(INDEX(WORLDCUP!$AA$4:$AA$147,MATCH(M29,WORLDCUP!$AH$4:$AH$147,0)),1,3)</f>
        <v>Arg</v>
      </c>
      <c r="P29" s="419">
        <f>IF(ISBLANK(INDEX(WORLDCUP!$AC$4:$AC$147,MATCH(M29,WORLDCUP!$AH$4:$AH$147,0))),"",INDEX(WORLDCUP!$AC$4:$AC$147,MATCH(M29,WORLDCUP!$AH$4:$AH$147,0)))</f>
        <v>2</v>
      </c>
      <c r="Q29" s="419">
        <f>IF(ISBLANK(INDEX(WORLDCUP!$AD$4:$AD$147,MATCH(M29,WORLDCUP!$AH$4:$AH$147,0))),"",INDEX(WORLDCUP!$AD$4:$AD$147,MATCH(M29,WORLDCUP!$AH$4:$AH$147,0)))</f>
        <v>1</v>
      </c>
      <c r="R29" s="420" t="str">
        <f ca="1">+MID(INDEX(WORLDCUP!$AF$4:$AF$147,MATCH(M29,WORLDCUP!$AH$4:$AH$147,0)),1,3)</f>
        <v>Aus</v>
      </c>
      <c r="S29" s="441">
        <v>2</v>
      </c>
      <c r="T29" s="442" t="str">
        <f ca="1">+MID(INDEX(WORLDCUP!$AL$6:$AL$97,MATCH(X29,WORLDCUP!$AI$6:$AI$97,0)),1,3)</f>
        <v>Aus</v>
      </c>
      <c r="U29" s="38">
        <f ca="1">+INDEX(WORLDCUP!$AM$6:$AM$97,MATCH(X29,WORLDCUP!$AI$6:$AI$97,0))</f>
        <v>6</v>
      </c>
      <c r="V29" s="39">
        <f ca="1">+INDEX(WORLDCUP!$AT$6:$AT$97,MATCH(X29,WORLDCUP!$AI$6:$AI$97,0))</f>
        <v>1</v>
      </c>
      <c r="W29" s="43" t="str">
        <f ca="1">+INDEX(WORLDCUP!$AR$6:$AR$97,MATCH(X29,WORLDCUP!$AI$6:$AI$97,0))&amp;"-"&amp;INDEX(WORLDCUP!$AS$6:$AS$97,MATCH(X29,WORLDCUP!$AI$6:$AI$97,0))</f>
        <v>5-4</v>
      </c>
      <c r="X29" s="169" t="s">
        <v>689</v>
      </c>
      <c r="Y29" s="169"/>
      <c r="Z29" s="399"/>
      <c r="AA29" s="443"/>
      <c r="AB29" s="443"/>
      <c r="AC29" s="444"/>
      <c r="AD29" s="169">
        <v>91</v>
      </c>
      <c r="AE29" s="430" t="str">
        <f ca="1">+MID(INDEX(WORLDCUP!$AF$101:$AF$147,MATCH(AD29,WORLDCUP!$Z$101:$Z$147,0)),1,3)</f>
        <v>Sen</v>
      </c>
      <c r="AF29" s="431">
        <f>+IF(ISBLANK(INDEX(WORLDCUP!$AD$101:$AD$147,MATCH(AD29,WORLDCUP!$Z$101:$Z$147,0))),"",INDEX(WORLDCUP!$AD$101:$AD$147,MATCH(AD29,WORLDCUP!$Z$101:$Z$147,0)))</f>
        <v>1</v>
      </c>
      <c r="AG29" s="489" t="str">
        <f>+IF(ISBLANK(INDEX(WORLDCUP!$AE$101:$AE$147,MATCH(AD29,WORLDCUP!$Z$101:$Z$147,0))),"","( "&amp;INDEX(WORLDCUP!$AE$101:$AE$147,MATCH(AD29,WORLDCUP!$Z$101:$Z$147,0))&amp;" )")</f>
        <v>( 4 )</v>
      </c>
      <c r="AH29" s="169"/>
      <c r="AI29" s="433"/>
      <c r="AJ29" s="433"/>
      <c r="AK29" s="433"/>
      <c r="AL29" s="169"/>
      <c r="AM29" s="405"/>
      <c r="AN29" s="405"/>
      <c r="AO29" s="486"/>
      <c r="AP29" s="389"/>
      <c r="AQ29" s="434"/>
      <c r="AR29" s="434"/>
      <c r="AS29" s="434"/>
      <c r="AT29" s="169"/>
      <c r="AU29" s="407"/>
      <c r="AV29" s="407"/>
      <c r="AW29" s="407"/>
      <c r="AX29" s="169"/>
      <c r="AY29" s="501"/>
      <c r="AZ29" s="515"/>
      <c r="BA29" s="504"/>
      <c r="BB29" s="507"/>
      <c r="BC29" s="503"/>
      <c r="BD29" s="141"/>
      <c r="BE29" s="141"/>
      <c r="BG29" s="436" t="str">
        <f ca="1">Horarios!Q28</f>
        <v>Inglaterra</v>
      </c>
      <c r="BH29" s="437">
        <f t="shared" ca="1" si="0"/>
        <v>0</v>
      </c>
      <c r="BI29" s="437">
        <f ca="1">COUNTIF(Pool!$C$130:$C$161,Fixture!BG29)-BJ29-BK29-BL29-BM29-BN29-BO29</f>
        <v>0</v>
      </c>
      <c r="BJ29" s="438">
        <f ca="1">COUNTIF(Pool!$C$182:$C$197,Fixture!BG29)-BK29-BL29-BM29-BN29-BO29</f>
        <v>0</v>
      </c>
      <c r="BK29" s="439">
        <f ca="1">COUNTIF(Pool!$C$210:$C$217,Fixture!BG29)-BL29-BM29-BN29-BO29</f>
        <v>0</v>
      </c>
      <c r="BL29" s="439">
        <f ca="1">COUNTIF(Pool!$C$226:$C$229,Fixture!BG29)-BM29-BN29-BO29</f>
        <v>0</v>
      </c>
      <c r="BM29" s="437">
        <f ca="1">COUNTIF(Pool!$C$252,Fixture!BG29)</f>
        <v>1</v>
      </c>
      <c r="BN29" s="437">
        <f ca="1">COUNTIF(Pool!$C$251,Fixture!BG29)</f>
        <v>0</v>
      </c>
      <c r="BO29" s="440">
        <f ca="1">COUNTIF(Pool!$C$250,Fixture!BG29)</f>
        <v>0</v>
      </c>
    </row>
    <row r="30" spans="1:67" ht="15" thickBot="1">
      <c r="A30" s="169">
        <v>31</v>
      </c>
      <c r="B30" s="518"/>
      <c r="C30" s="418" t="str">
        <f ca="1">+MID(INDEX(WORLDCUP!$AA$4:$AA$147,MATCH(A30,WORLDCUP!$AH$4:$AH$147,0)),1,3)</f>
        <v>Tur</v>
      </c>
      <c r="D30" s="419">
        <f>IF(ISBLANK(INDEX(WORLDCUP!$AC$4:$AC$147,MATCH(A30,WORLDCUP!$AH$4:$AH$147,0))),"",INDEX(WORLDCUP!$AC$4:$AC$147,MATCH(A30,WORLDCUP!$AH$4:$AH$147,0)))</f>
        <v>2</v>
      </c>
      <c r="E30" s="419">
        <f>IF(ISBLANK(INDEX(WORLDCUP!$AD$4:$AD$147,MATCH(A30,WORLDCUP!$AH$4:$AH$147,0))),"",INDEX(WORLDCUP!$AD$4:$AD$147,MATCH(A30,WORLDCUP!$AH$4:$AH$147,0)))</f>
        <v>1</v>
      </c>
      <c r="F30" s="420" t="str">
        <f ca="1">+MID(INDEX(WORLDCUP!$AF$4:$AF$147,MATCH(A30,WORLDCUP!$AH$4:$AH$147,0)),1,3)</f>
        <v>Par</v>
      </c>
      <c r="G30" s="441">
        <v>3</v>
      </c>
      <c r="H30" s="442" t="str">
        <f ca="1">+MID(INDEX(WORLDCUP!$AL$6:$AL$97,MATCH(L30,WORLDCUP!$AI$6:$AI$97,0)),1,3)</f>
        <v>Par</v>
      </c>
      <c r="I30" s="38">
        <f ca="1">+INDEX(WORLDCUP!$AM$6:$AM$97,MATCH(L30,WORLDCUP!$AI$6:$AI$97,0))</f>
        <v>2</v>
      </c>
      <c r="J30" s="39">
        <f ca="1">+INDEX(WORLDCUP!$AT$6:$AT$97,MATCH(L30,WORLDCUP!$AI$6:$AI$97,0))</f>
        <v>-1</v>
      </c>
      <c r="K30" s="43" t="str">
        <f ca="1">+INDEX(WORLDCUP!$AR$6:$AR$97,MATCH(L30,WORLDCUP!$AI$6:$AI$97,0))&amp;"-"&amp;INDEX(WORLDCUP!$AS$6:$AS$97,MATCH(L30,WORLDCUP!$AI$6:$AI$97,0))</f>
        <v>4-5</v>
      </c>
      <c r="L30" s="169" t="s">
        <v>93</v>
      </c>
      <c r="M30" s="169">
        <v>44</v>
      </c>
      <c r="N30" s="519"/>
      <c r="O30" s="418" t="str">
        <f ca="1">+MID(INDEX(WORLDCUP!$AA$4:$AA$147,MATCH(M30,WORLDCUP!$AH$4:$AH$147,0)),1,3)</f>
        <v>Jor</v>
      </c>
      <c r="P30" s="419">
        <f>IF(ISBLANK(INDEX(WORLDCUP!$AC$4:$AC$147,MATCH(M30,WORLDCUP!$AH$4:$AH$147,0))),"",INDEX(WORLDCUP!$AC$4:$AC$147,MATCH(M30,WORLDCUP!$AH$4:$AH$147,0)))</f>
        <v>0</v>
      </c>
      <c r="Q30" s="419">
        <f>IF(ISBLANK(INDEX(WORLDCUP!$AD$4:$AD$147,MATCH(M30,WORLDCUP!$AH$4:$AH$147,0))),"",INDEX(WORLDCUP!$AD$4:$AD$147,MATCH(M30,WORLDCUP!$AH$4:$AH$147,0)))</f>
        <v>1</v>
      </c>
      <c r="R30" s="420" t="str">
        <f ca="1">+MID(INDEX(WORLDCUP!$AF$4:$AF$147,MATCH(M30,WORLDCUP!$AH$4:$AH$147,0)),1,3)</f>
        <v>Arg</v>
      </c>
      <c r="S30" s="441">
        <v>3</v>
      </c>
      <c r="T30" s="442" t="str">
        <f ca="1">+MID(INDEX(WORLDCUP!$AL$6:$AL$97,MATCH(X30,WORLDCUP!$AI$6:$AI$97,0)),1,3)</f>
        <v>Arg</v>
      </c>
      <c r="U30" s="38">
        <f ca="1">+INDEX(WORLDCUP!$AM$6:$AM$97,MATCH(X30,WORLDCUP!$AI$6:$AI$97,0))</f>
        <v>3</v>
      </c>
      <c r="V30" s="39">
        <f ca="1">+INDEX(WORLDCUP!$AT$6:$AT$97,MATCH(X30,WORLDCUP!$AI$6:$AI$97,0))</f>
        <v>-3</v>
      </c>
      <c r="W30" s="43" t="str">
        <f ca="1">+INDEX(WORLDCUP!$AR$6:$AR$97,MATCH(X30,WORLDCUP!$AI$6:$AI$97,0))&amp;"-"&amp;INDEX(WORLDCUP!$AS$6:$AS$97,MATCH(X30,WORLDCUP!$AI$6:$AI$97,0))</f>
        <v>2-5</v>
      </c>
      <c r="X30" s="169" t="s">
        <v>451</v>
      </c>
      <c r="Y30" s="169">
        <v>78</v>
      </c>
      <c r="Z30" s="399" t="s">
        <v>674</v>
      </c>
      <c r="AA30" s="400" t="str">
        <f ca="1">+MID(INDEX(WORLDCUP!$AA$101:$AA$147,MATCH(Y30,WORLDCUP!$Z$101:$Z$147,0)),1,3)</f>
        <v>Cos</v>
      </c>
      <c r="AB30" s="446">
        <f>+IF(ISBLANK(INDEX(WORLDCUP!$AC$101:$AC$147,MATCH(Y30,WORLDCUP!$Z$101:$Z$147,0))),"",INDEX(WORLDCUP!$AC$101:$AC$147,MATCH(Y30,WORLDCUP!$Z$101:$Z$147,0)))</f>
        <v>1</v>
      </c>
      <c r="AC30" s="480" t="str">
        <f>+IF(ISBLANK(INDEX(WORLDCUP!$AB$101:$AB$147,MATCH(Y30,WORLDCUP!$Z$101:$Z$147,0))),"","( "&amp;INDEX(WORLDCUP!$AB$101:$AB$147,MATCH(Y30,WORLDCUP!$Z$101:$Z$147,0))&amp;" )")</f>
        <v>( 3 )</v>
      </c>
      <c r="AD30" s="169"/>
      <c r="AE30" s="448"/>
      <c r="AF30" s="448"/>
      <c r="AG30" s="449"/>
      <c r="AH30" s="169"/>
      <c r="AI30" s="433"/>
      <c r="AJ30" s="433"/>
      <c r="AK30" s="433"/>
      <c r="AL30" s="169"/>
      <c r="AM30" s="405"/>
      <c r="AN30" s="405"/>
      <c r="AO30" s="486"/>
      <c r="AP30" s="169"/>
      <c r="AQ30" s="434"/>
      <c r="AR30" s="434"/>
      <c r="AS30" s="434"/>
      <c r="AT30" s="169"/>
      <c r="AU30" s="407"/>
      <c r="AV30" s="407"/>
      <c r="AW30" s="407"/>
      <c r="AX30" s="169"/>
      <c r="AY30" s="501"/>
      <c r="AZ30" s="515"/>
      <c r="BA30" s="504"/>
      <c r="BB30" s="507"/>
      <c r="BC30" s="503"/>
      <c r="BD30" s="141"/>
      <c r="BE30" s="141"/>
      <c r="BG30" s="436" t="str">
        <f ca="1">Horarios!Q29</f>
        <v>Irak</v>
      </c>
      <c r="BH30" s="437">
        <f t="shared" ca="1" si="0"/>
        <v>1</v>
      </c>
      <c r="BI30" s="437">
        <f ca="1">COUNTIF(Pool!$C$130:$C$161,Fixture!BG30)-BJ30-BK30-BL30-BM30-BN30-BO30</f>
        <v>0</v>
      </c>
      <c r="BJ30" s="438">
        <f ca="1">COUNTIF(Pool!$C$182:$C$197,Fixture!BG30)-BK30-BL30-BM30-BN30-BO30</f>
        <v>0</v>
      </c>
      <c r="BK30" s="439">
        <f ca="1">COUNTIF(Pool!$C$210:$C$217,Fixture!BG30)-BL30-BM30-BN30-BO30</f>
        <v>0</v>
      </c>
      <c r="BL30" s="439">
        <f ca="1">COUNTIF(Pool!$C$226:$C$229,Fixture!BG30)-BM30-BN30-BO30</f>
        <v>0</v>
      </c>
      <c r="BM30" s="437">
        <f ca="1">COUNTIF(Pool!$C$252,Fixture!BG30)</f>
        <v>0</v>
      </c>
      <c r="BN30" s="437">
        <f ca="1">COUNTIF(Pool!$C$251,Fixture!BG30)</f>
        <v>0</v>
      </c>
      <c r="BO30" s="440">
        <f ca="1">COUNTIF(Pool!$C$250,Fixture!BG30)</f>
        <v>0</v>
      </c>
    </row>
    <row r="31" spans="1:67" ht="15" thickBot="1">
      <c r="A31" s="169">
        <v>59</v>
      </c>
      <c r="B31" s="518"/>
      <c r="C31" s="418" t="str">
        <f ca="1">+MID(INDEX(WORLDCUP!$AA$4:$AA$147,MATCH(A31,WORLDCUP!$AH$4:$AH$147,0)),1,3)</f>
        <v>Tur</v>
      </c>
      <c r="D31" s="419">
        <f>IF(ISBLANK(INDEX(WORLDCUP!$AC$4:$AC$147,MATCH(A31,WORLDCUP!$AH$4:$AH$147,0))),"",INDEX(WORLDCUP!$AC$4:$AC$147,MATCH(A31,WORLDCUP!$AH$4:$AH$147,0)))</f>
        <v>2</v>
      </c>
      <c r="E31" s="419">
        <f>IF(ISBLANK(INDEX(WORLDCUP!$AD$4:$AD$147,MATCH(A31,WORLDCUP!$AH$4:$AH$147,0))),"",INDEX(WORLDCUP!$AD$4:$AD$147,MATCH(A31,WORLDCUP!$AH$4:$AH$147,0)))</f>
        <v>0</v>
      </c>
      <c r="F31" s="420" t="str">
        <f ca="1">+MID(INDEX(WORLDCUP!$AF$4:$AF$147,MATCH(A31,WORLDCUP!$AH$4:$AH$147,0)),1,3)</f>
        <v>Est</v>
      </c>
      <c r="G31" s="441">
        <v>4</v>
      </c>
      <c r="H31" s="450" t="str">
        <f ca="1">+MID(INDEX(WORLDCUP!$AL$6:$AL$97,MATCH(L31,WORLDCUP!$AI$6:$AI$97,0)),1,3)</f>
        <v>Aus</v>
      </c>
      <c r="I31" s="451">
        <f ca="1">+INDEX(WORLDCUP!$AM$6:$AM$97,MATCH(L31,WORLDCUP!$AI$6:$AI$97,0))</f>
        <v>1</v>
      </c>
      <c r="J31" s="452">
        <f ca="1">+INDEX(WORLDCUP!$AT$6:$AT$97,MATCH(L31,WORLDCUP!$AI$6:$AI$97,0))</f>
        <v>-3</v>
      </c>
      <c r="K31" s="453" t="str">
        <f ca="1">+INDEX(WORLDCUP!$AR$6:$AR$97,MATCH(L31,WORLDCUP!$AI$6:$AI$97,0))&amp;"-"&amp;INDEX(WORLDCUP!$AS$6:$AS$97,MATCH(L31,WORLDCUP!$AI$6:$AI$97,0))</f>
        <v>2-5</v>
      </c>
      <c r="L31" s="169" t="s">
        <v>672</v>
      </c>
      <c r="M31" s="169">
        <v>69</v>
      </c>
      <c r="N31" s="519"/>
      <c r="O31" s="418" t="str">
        <f ca="1">+MID(INDEX(WORLDCUP!$AA$4:$AA$147,MATCH(M31,WORLDCUP!$AH$4:$AH$147,0)),1,3)</f>
        <v>Arg</v>
      </c>
      <c r="P31" s="419">
        <f>IF(ISBLANK(INDEX(WORLDCUP!$AC$4:$AC$147,MATCH(M31,WORLDCUP!$AH$4:$AH$147,0))),"",INDEX(WORLDCUP!$AC$4:$AC$147,MATCH(M31,WORLDCUP!$AH$4:$AH$147,0)))</f>
        <v>1</v>
      </c>
      <c r="Q31" s="419">
        <f>IF(ISBLANK(INDEX(WORLDCUP!$AD$4:$AD$147,MATCH(M31,WORLDCUP!$AH$4:$AH$147,0))),"",INDEX(WORLDCUP!$AD$4:$AD$147,MATCH(M31,WORLDCUP!$AH$4:$AH$147,0)))</f>
        <v>2</v>
      </c>
      <c r="R31" s="420" t="str">
        <f ca="1">+MID(INDEX(WORLDCUP!$AF$4:$AF$147,MATCH(M31,WORLDCUP!$AH$4:$AH$147,0)),1,3)</f>
        <v>Aus</v>
      </c>
      <c r="S31" s="441">
        <v>4</v>
      </c>
      <c r="T31" s="450" t="str">
        <f ca="1">+MID(INDEX(WORLDCUP!$AL$6:$AL$97,MATCH(X31,WORLDCUP!$AI$6:$AI$97,0)),1,3)</f>
        <v>Jor</v>
      </c>
      <c r="U31" s="451">
        <f ca="1">+INDEX(WORLDCUP!$AM$6:$AM$97,MATCH(X31,WORLDCUP!$AI$6:$AI$97,0))</f>
        <v>0</v>
      </c>
      <c r="V31" s="452">
        <f ca="1">+INDEX(WORLDCUP!$AT$6:$AT$97,MATCH(X31,WORLDCUP!$AI$6:$AI$97,0))</f>
        <v>-4</v>
      </c>
      <c r="W31" s="453" t="str">
        <f ca="1">+INDEX(WORLDCUP!$AR$6:$AR$97,MATCH(X31,WORLDCUP!$AI$6:$AI$97,0))&amp;"-"&amp;INDEX(WORLDCUP!$AS$6:$AS$97,MATCH(X31,WORLDCUP!$AI$6:$AI$97,0))</f>
        <v>1-5</v>
      </c>
      <c r="X31" s="169" t="s">
        <v>690</v>
      </c>
      <c r="Y31" s="169">
        <v>78</v>
      </c>
      <c r="Z31" s="399" t="s">
        <v>686</v>
      </c>
      <c r="AA31" s="454" t="str">
        <f ca="1">+MID(INDEX(WORLDCUP!$AF$101:$AF$147,MATCH(Y31,WORLDCUP!$Z$101:$Z$147,0)),1,3)</f>
        <v>Sen</v>
      </c>
      <c r="AB31" s="455">
        <f>+IF(ISBLANK(INDEX(WORLDCUP!$AD$101:$AD$147,MATCH(Y31,WORLDCUP!$Z$101:$Z$147,0))),"",INDEX(WORLDCUP!$AD$101:$AD$147,MATCH(Y31,WORLDCUP!$Z$101:$Z$147,0)))</f>
        <v>1</v>
      </c>
      <c r="AC31" s="481" t="str">
        <f>+IF(ISBLANK(INDEX(WORLDCUP!$AE$101:$AE$147,MATCH(Y31,WORLDCUP!$Z$101:$Z$147,0))),"","( "&amp;INDEX(WORLDCUP!$AE$101:$AE$147,MATCH(Y31,WORLDCUP!$Z$101:$Z$147,0))&amp;" )")</f>
        <v>( 4 )</v>
      </c>
      <c r="AD31" s="169"/>
      <c r="AE31" s="448"/>
      <c r="AF31" s="448"/>
      <c r="AG31" s="449"/>
      <c r="AH31" s="474">
        <v>99</v>
      </c>
      <c r="AI31" s="457" t="str">
        <f ca="1">+MID(INDEX(WORLDCUP!$AA$101:$AA$147,MATCH(AH31,WORLDCUP!$Z$101:$Z$147,0)),1,3)</f>
        <v>Sen</v>
      </c>
      <c r="AJ31" s="458">
        <f>+IF(ISBLANK(INDEX(WORLDCUP!$AC$101:$AC$147,MATCH(AH31,WORLDCUP!$Z$101:$Z$147,0))),"",INDEX(WORLDCUP!$AC$101:$AC$147,MATCH(AH31,WORLDCUP!$Z$101:$Z$147,0)))</f>
        <v>0</v>
      </c>
      <c r="AK31" s="459" t="str">
        <f>+IF(ISBLANK(INDEX(WORLDCUP!$AB$101:$AB$147,MATCH(AH31,WORLDCUP!$Z$101:$Z$147,0))),"","( "&amp;INDEX(WORLDCUP!$AB$101:$AB$147,MATCH(AH31,WORLDCUP!$Z$101:$Z$147,0))&amp;" )")</f>
        <v/>
      </c>
      <c r="AL31" s="169"/>
      <c r="AM31" s="405"/>
      <c r="AN31" s="405"/>
      <c r="AO31" s="486"/>
      <c r="AP31" s="520">
        <v>103</v>
      </c>
      <c r="AQ31" s="521" t="str">
        <f ca="1">+MID(INDEX(WORLDCUP!$AA$101:$AA$147,MATCH(AP31,WORLDCUP!$Z$101:$Z$147,0)),1,4)</f>
        <v>Fran</v>
      </c>
      <c r="AR31" s="522">
        <f>+IF(ISBLANK(INDEX(WORLDCUP!$AC$101:$AC$147,MATCH(AP31,WORLDCUP!$Z$101:$Z$147,0))),"",INDEX(WORLDCUP!$AC$101:$AC$147,MATCH(AP31,WORLDCUP!$Z$101:$Z$147,0)))</f>
        <v>1</v>
      </c>
      <c r="AS31" s="523" t="str">
        <f>+IF(ISBLANK(INDEX(WORLDCUP!$AB$101:$AB$147,MATCH(AP31,WORLDCUP!$Z$101:$Z$147,0))),"","( "&amp;INDEX(WORLDCUP!$AB$101:$AB$147,MATCH(AP31,WORLDCUP!$Z$101:$Z$147,0))&amp;" )")</f>
        <v/>
      </c>
      <c r="AT31" s="524"/>
      <c r="AU31" s="525"/>
      <c r="AV31" s="525"/>
      <c r="AW31" s="525"/>
      <c r="AX31" s="524"/>
      <c r="AY31" s="526"/>
      <c r="AZ31" s="527"/>
      <c r="BA31" s="527"/>
      <c r="BB31" s="527"/>
      <c r="BC31" s="528"/>
      <c r="BD31" s="141"/>
      <c r="BE31" s="141"/>
      <c r="BG31" s="436" t="str">
        <f ca="1">Horarios!Q30</f>
        <v>Irán</v>
      </c>
      <c r="BH31" s="437">
        <f t="shared" ca="1" si="0"/>
        <v>0</v>
      </c>
      <c r="BI31" s="437">
        <f ca="1">COUNTIF(Pool!$C$130:$C$161,Fixture!BG31)-BJ31-BK31-BL31-BM31-BN31-BO31</f>
        <v>1</v>
      </c>
      <c r="BJ31" s="438">
        <f ca="1">COUNTIF(Pool!$C$182:$C$197,Fixture!BG31)-BK31-BL31-BM31-BN31-BO31</f>
        <v>0</v>
      </c>
      <c r="BK31" s="439">
        <f ca="1">COUNTIF(Pool!$C$210:$C$217,Fixture!BG31)-BL31-BM31-BN31-BO31</f>
        <v>0</v>
      </c>
      <c r="BL31" s="439">
        <f ca="1">COUNTIF(Pool!$C$226:$C$229,Fixture!BG31)-BM31-BN31-BO31</f>
        <v>0</v>
      </c>
      <c r="BM31" s="437">
        <f ca="1">COUNTIF(Pool!$C$252,Fixture!BG31)</f>
        <v>0</v>
      </c>
      <c r="BN31" s="437">
        <f ca="1">COUNTIF(Pool!$C$251,Fixture!BG31)</f>
        <v>0</v>
      </c>
      <c r="BO31" s="440">
        <f ca="1">COUNTIF(Pool!$C$250,Fixture!BG31)</f>
        <v>0</v>
      </c>
    </row>
    <row r="32" spans="1:67" ht="15" thickBot="1">
      <c r="A32" s="169">
        <v>60</v>
      </c>
      <c r="B32" s="529"/>
      <c r="C32" s="461" t="str">
        <f ca="1">+MID(INDEX(WORLDCUP!$AA$4:$AA$147,MATCH(A32,WORLDCUP!$AH$4:$AH$147,0)),1,3)</f>
        <v>Par</v>
      </c>
      <c r="D32" s="462">
        <f>IF(ISBLANK(INDEX(WORLDCUP!$AC$4:$AC$147,MATCH(A32,WORLDCUP!$AH$4:$AH$147,0))),"",INDEX(WORLDCUP!$AC$4:$AC$147,MATCH(A32,WORLDCUP!$AH$4:$AH$147,0)))</f>
        <v>1</v>
      </c>
      <c r="E32" s="462">
        <f>IF(ISBLANK(INDEX(WORLDCUP!$AD$4:$AD$147,MATCH(A32,WORLDCUP!$AH$4:$AH$147,0))),"",INDEX(WORLDCUP!$AD$4:$AD$147,MATCH(A32,WORLDCUP!$AH$4:$AH$147,0)))</f>
        <v>1</v>
      </c>
      <c r="F32" s="463" t="str">
        <f ca="1">+MID(INDEX(WORLDCUP!$AF$4:$AF$147,MATCH(A32,WORLDCUP!$AH$4:$AH$147,0)),1,3)</f>
        <v>Aus</v>
      </c>
      <c r="G32" s="464"/>
      <c r="H32" s="464"/>
      <c r="I32" s="465"/>
      <c r="J32" s="465"/>
      <c r="K32" s="466"/>
      <c r="L32" s="169"/>
      <c r="M32" s="169">
        <v>70</v>
      </c>
      <c r="N32" s="530"/>
      <c r="O32" s="461" t="str">
        <f ca="1">+MID(INDEX(WORLDCUP!$AA$4:$AA$147,MATCH(M32,WORLDCUP!$AH$4:$AH$147,0)),1,3)</f>
        <v>Jor</v>
      </c>
      <c r="P32" s="462">
        <f>IF(ISBLANK(INDEX(WORLDCUP!$AC$4:$AC$147,MATCH(M32,WORLDCUP!$AH$4:$AH$147,0))),"",INDEX(WORLDCUP!$AC$4:$AC$147,MATCH(M32,WORLDCUP!$AH$4:$AH$147,0)))</f>
        <v>0</v>
      </c>
      <c r="Q32" s="462">
        <f>IF(ISBLANK(INDEX(WORLDCUP!$AD$4:$AD$147,MATCH(M32,WORLDCUP!$AH$4:$AH$147,0))),"",INDEX(WORLDCUP!$AD$4:$AD$147,MATCH(M32,WORLDCUP!$AH$4:$AH$147,0)))</f>
        <v>2</v>
      </c>
      <c r="R32" s="463" t="str">
        <f ca="1">+MID(INDEX(WORLDCUP!$AF$4:$AF$147,MATCH(M32,WORLDCUP!$AH$4:$AH$147,0)),1,3)</f>
        <v>Arg</v>
      </c>
      <c r="S32" s="464"/>
      <c r="T32" s="464"/>
      <c r="U32" s="465"/>
      <c r="V32" s="465"/>
      <c r="W32" s="466"/>
      <c r="X32" s="169"/>
      <c r="Y32" s="169"/>
      <c r="Z32" s="399"/>
      <c r="AA32" s="468"/>
      <c r="AB32" s="468"/>
      <c r="AC32" s="468"/>
      <c r="AD32" s="169"/>
      <c r="AE32" s="403"/>
      <c r="AF32" s="403"/>
      <c r="AG32" s="449"/>
      <c r="AH32" s="169">
        <v>99</v>
      </c>
      <c r="AI32" s="457" t="str">
        <f ca="1">+MID(INDEX(WORLDCUP!$AF$101:$AF$147,MATCH(AH32,WORLDCUP!$Z$101:$Z$147,0)),1,3)</f>
        <v>Ing</v>
      </c>
      <c r="AJ32" s="458">
        <f>+IF(ISBLANK(INDEX(WORLDCUP!$AD$101:$AD$147,MATCH(AH32,WORLDCUP!$Z$101:$Z$147,0))),"",INDEX(WORLDCUP!$AD$101:$AD$147,MATCH(AH32,WORLDCUP!$Z$101:$Z$147,0)))</f>
        <v>2</v>
      </c>
      <c r="AK32" s="469" t="str">
        <f>+IF(ISBLANK(INDEX(WORLDCUP!$AE$101:$AE$147,MATCH(AH32,WORLDCUP!$Z$101:$Z$147,0))),"","( "&amp;INDEX(WORLDCUP!$AE$101:$AE$147,MATCH(AH32,WORLDCUP!$Z$101:$Z$147,0))&amp;" )")</f>
        <v/>
      </c>
      <c r="AL32" s="169"/>
      <c r="AM32" s="405"/>
      <c r="AN32" s="405"/>
      <c r="AO32" s="486"/>
      <c r="AP32" s="389">
        <v>103</v>
      </c>
      <c r="AQ32" s="521" t="str">
        <f ca="1">+MID(INDEX(WORLDCUP!$AF$101:$AF$147,MATCH(AP32,WORLDCUP!$Z$101:$Z$147,0)),1,4)</f>
        <v>Ingl</v>
      </c>
      <c r="AR32" s="522">
        <f>+IF(ISBLANK(INDEX(WORLDCUP!$AD$101:$AD$147,MATCH(AP32,WORLDCUP!$Z$101:$Z$147,0))),"",INDEX(WORLDCUP!$AD$101:$AD$147,MATCH(AP32,WORLDCUP!$Z$101:$Z$147,0)))</f>
        <v>2</v>
      </c>
      <c r="AS32" s="434" t="str">
        <f>+IF(ISBLANK(INDEX(WORLDCUP!$AE$101:$AE$147,MATCH(AP32,WORLDCUP!$Z$101:$Z$147,0))),"","( "&amp;INDEX(WORLDCUP!$AE$101:$AE$147,MATCH(AP32,WORLDCUP!$Z$101:$Z$147,0))&amp;" )")</f>
        <v/>
      </c>
      <c r="AT32" s="169"/>
      <c r="AU32" s="407"/>
      <c r="AV32" s="407"/>
      <c r="AW32" s="407"/>
      <c r="AX32" s="169"/>
      <c r="AY32" s="141"/>
      <c r="AZ32" s="141"/>
      <c r="BA32" s="141"/>
      <c r="BB32" s="141"/>
      <c r="BC32" s="141"/>
      <c r="BD32" s="141"/>
      <c r="BE32" s="141"/>
      <c r="BG32" s="436" t="str">
        <f ca="1">Horarios!Q31</f>
        <v>Japón</v>
      </c>
      <c r="BH32" s="437">
        <f t="shared" ca="1" si="0"/>
        <v>0</v>
      </c>
      <c r="BI32" s="437">
        <f ca="1">COUNTIF(Pool!$C$130:$C$161,Fixture!BG32)-BJ32-BK32-BL32-BM32-BN32-BO32</f>
        <v>0</v>
      </c>
      <c r="BJ32" s="438">
        <f ca="1">COUNTIF(Pool!$C$182:$C$197,Fixture!BG32)-BK32-BL32-BM32-BN32-BO32</f>
        <v>0</v>
      </c>
      <c r="BK32" s="439">
        <f ca="1">COUNTIF(Pool!$C$210:$C$217,Fixture!BG32)-BL32-BM32-BN32-BO32</f>
        <v>1</v>
      </c>
      <c r="BL32" s="439">
        <f ca="1">COUNTIF(Pool!$C$226:$C$229,Fixture!BG32)-BM32-BN32-BO32</f>
        <v>0</v>
      </c>
      <c r="BM32" s="437">
        <f ca="1">COUNTIF(Pool!$C$252,Fixture!BG32)</f>
        <v>0</v>
      </c>
      <c r="BN32" s="437">
        <f ca="1">COUNTIF(Pool!$C$251,Fixture!BG32)</f>
        <v>0</v>
      </c>
      <c r="BO32" s="440">
        <f ca="1">COUNTIF(Pool!$C$250,Fixture!BG32)</f>
        <v>0</v>
      </c>
    </row>
    <row r="33" spans="1:67" ht="15" thickBot="1">
      <c r="A33" s="169"/>
      <c r="B33" s="385"/>
      <c r="C33" s="470"/>
      <c r="D33" s="471"/>
      <c r="E33" s="471"/>
      <c r="F33" s="141"/>
      <c r="G33" s="141"/>
      <c r="H33" s="470"/>
      <c r="I33" s="141"/>
      <c r="J33" s="141"/>
      <c r="K33" s="141"/>
      <c r="L33" s="169"/>
      <c r="M33" s="169"/>
      <c r="N33" s="139"/>
      <c r="O33" s="470"/>
      <c r="P33" s="471"/>
      <c r="Q33" s="471"/>
      <c r="R33" s="141"/>
      <c r="S33" s="141"/>
      <c r="T33" s="470"/>
      <c r="U33" s="141"/>
      <c r="V33" s="141"/>
      <c r="W33" s="141"/>
      <c r="X33" s="169"/>
      <c r="Y33" s="169">
        <v>79</v>
      </c>
      <c r="Z33" s="399" t="s">
        <v>657</v>
      </c>
      <c r="AA33" s="400" t="str">
        <f ca="1">+MID(INDEX(WORLDCUP!$AA$101:$AA$147,MATCH(Y33,WORLDCUP!$Z$101:$Z$147,0)),1,3)</f>
        <v>Méx</v>
      </c>
      <c r="AB33" s="401">
        <f>+IF(ISBLANK(INDEX(WORLDCUP!$AC$101:$AC$147,MATCH(Y33,WORLDCUP!$Z$101:$Z$147,0))),"",INDEX(WORLDCUP!$AC$101:$AC$147,MATCH(Y33,WORLDCUP!$Z$101:$Z$147,0)))</f>
        <v>1</v>
      </c>
      <c r="AC33" s="472" t="str">
        <f>+IF(ISBLANK(INDEX(WORLDCUP!$AB$101:$AB$147,MATCH(Y33,WORLDCUP!$Z$101:$Z$147,0))),"","( "&amp;INDEX(WORLDCUP!$AB$101:$AB$147,MATCH(Y33,WORLDCUP!$Z$101:$Z$147,0))&amp;" )")</f>
        <v>( 3 )</v>
      </c>
      <c r="AD33" s="167"/>
      <c r="AE33" s="403"/>
      <c r="AF33" s="403"/>
      <c r="AG33" s="449"/>
      <c r="AH33" s="169"/>
      <c r="AI33" s="433"/>
      <c r="AJ33" s="433"/>
      <c r="AK33" s="473"/>
      <c r="AL33" s="389"/>
      <c r="AM33" s="405"/>
      <c r="AN33" s="405"/>
      <c r="AO33" s="486"/>
      <c r="AP33" s="169"/>
      <c r="AQ33" s="434"/>
      <c r="AR33" s="434"/>
      <c r="AS33" s="434"/>
      <c r="AT33" s="169"/>
      <c r="AU33" s="407"/>
      <c r="AV33" s="407"/>
      <c r="AW33" s="407"/>
      <c r="AX33" s="169"/>
      <c r="AY33" s="141"/>
      <c r="AZ33" s="141"/>
      <c r="BA33" s="141"/>
      <c r="BB33" s="141"/>
      <c r="BC33" s="141"/>
      <c r="BD33" s="141"/>
      <c r="BE33" s="141"/>
      <c r="BG33" s="436" t="str">
        <f ca="1">Horarios!Q32</f>
        <v>Jordania</v>
      </c>
      <c r="BH33" s="437">
        <f t="shared" ca="1" si="0"/>
        <v>1</v>
      </c>
      <c r="BI33" s="437">
        <f ca="1">COUNTIF(Pool!$C$130:$C$161,Fixture!BG33)-BJ33-BK33-BL33-BM33-BN33-BO33</f>
        <v>0</v>
      </c>
      <c r="BJ33" s="438">
        <f ca="1">COUNTIF(Pool!$C$182:$C$197,Fixture!BG33)-BK33-BL33-BM33-BN33-BO33</f>
        <v>0</v>
      </c>
      <c r="BK33" s="439">
        <f ca="1">COUNTIF(Pool!$C$210:$C$217,Fixture!BG33)-BL33-BM33-BN33-BO33</f>
        <v>0</v>
      </c>
      <c r="BL33" s="439">
        <f ca="1">COUNTIF(Pool!$C$226:$C$229,Fixture!BG33)-BM33-BN33-BO33</f>
        <v>0</v>
      </c>
      <c r="BM33" s="437">
        <f ca="1">COUNTIF(Pool!$C$252,Fixture!BG33)</f>
        <v>0</v>
      </c>
      <c r="BN33" s="437">
        <f ca="1">COUNTIF(Pool!$C$251,Fixture!BG33)</f>
        <v>0</v>
      </c>
      <c r="BO33" s="440">
        <f ca="1">COUNTIF(Pool!$C$250,Fixture!BG33)</f>
        <v>0</v>
      </c>
    </row>
    <row r="34" spans="1:67" ht="15" thickBot="1">
      <c r="A34" s="169"/>
      <c r="B34" s="385"/>
      <c r="C34" s="470"/>
      <c r="D34" s="471"/>
      <c r="E34" s="471"/>
      <c r="F34" s="141"/>
      <c r="G34" s="141"/>
      <c r="H34" s="470"/>
      <c r="I34" s="141"/>
      <c r="J34" s="141"/>
      <c r="K34" s="141"/>
      <c r="L34" s="169"/>
      <c r="M34" s="169"/>
      <c r="N34" s="139"/>
      <c r="O34" s="470"/>
      <c r="P34" s="471"/>
      <c r="Q34" s="471"/>
      <c r="R34" s="141"/>
      <c r="S34" s="141"/>
      <c r="T34" s="470"/>
      <c r="U34" s="141"/>
      <c r="V34" s="141"/>
      <c r="W34" s="141"/>
      <c r="X34" s="169"/>
      <c r="Y34" s="169">
        <v>79</v>
      </c>
      <c r="Z34" s="399" t="s">
        <v>736</v>
      </c>
      <c r="AA34" s="400" t="str">
        <f ca="1">+MID(INDEX(WORLDCUP!$AF$101:$AF$147,MATCH(Y34,WORLDCUP!$Z$101:$Z$147,0)),1,IF(WORLDCUP!$H$113&lt;144,6,3))</f>
        <v>Ecu</v>
      </c>
      <c r="AB34" s="427">
        <f>+IF(ISBLANK(INDEX(WORLDCUP!$AD$101:$AD$147,MATCH(Y34,WORLDCUP!$Z$101:$Z$147,0))),"",INDEX(WORLDCUP!$AD$101:$AD$147,MATCH(Y34,WORLDCUP!$Z$101:$Z$147,0)))</f>
        <v>1</v>
      </c>
      <c r="AC34" s="428" t="str">
        <f>+IF(ISBLANK(INDEX(WORLDCUP!$AE$101:$AE$147,MATCH(Y34,WORLDCUP!$Z$101:$Z$147,0))),"","( "&amp;INDEX(WORLDCUP!$AE$101:$AE$147,MATCH(Y34,WORLDCUP!$Z$101:$Z$147,0))&amp;" )")</f>
        <v>( 4 )</v>
      </c>
      <c r="AD34" s="429">
        <v>92</v>
      </c>
      <c r="AE34" s="430" t="str">
        <f ca="1">+MID(INDEX(WORLDCUP!$AA$101:$AA$147,MATCH(AD34,WORLDCUP!$Z$101:$Z$147,0)),1,3)</f>
        <v>Ecu</v>
      </c>
      <c r="AF34" s="431">
        <f>+IF(ISBLANK(INDEX(WORLDCUP!$AC$101:$AC$147,MATCH(AD34,WORLDCUP!$Z$101:$Z$147,0))),"",INDEX(WORLDCUP!$AC$101:$AC$147,MATCH(AD34,WORLDCUP!$Z$101:$Z$147,0)))</f>
        <v>0</v>
      </c>
      <c r="AG34" s="475" t="str">
        <f>+IF(ISBLANK(INDEX(WORLDCUP!$AB$101:$AB$147,MATCH(AD34,WORLDCUP!$Z$101:$Z$147,0))),"","( "&amp;INDEX(WORLDCUP!$AB$101:$AB$147,MATCH(AD34,WORLDCUP!$Z$101:$Z$147,0))&amp;" )")</f>
        <v/>
      </c>
      <c r="AH34" s="169"/>
      <c r="AI34" s="433"/>
      <c r="AJ34" s="433"/>
      <c r="AK34" s="473"/>
      <c r="AL34" s="389"/>
      <c r="AM34" s="405"/>
      <c r="AN34" s="405"/>
      <c r="AO34" s="486"/>
      <c r="AP34" s="169"/>
      <c r="AQ34" s="434"/>
      <c r="AR34" s="434"/>
      <c r="AS34" s="434"/>
      <c r="AT34" s="169"/>
      <c r="AU34" s="407"/>
      <c r="AV34" s="407"/>
      <c r="AW34" s="407"/>
      <c r="AX34" s="169"/>
      <c r="AY34" s="141"/>
      <c r="AZ34" s="141"/>
      <c r="BA34" s="141"/>
      <c r="BB34" s="141"/>
      <c r="BC34" s="141"/>
      <c r="BD34" s="141"/>
      <c r="BE34" s="141"/>
      <c r="BG34" s="436" t="str">
        <f ca="1">Horarios!Q33</f>
        <v>Marruecos</v>
      </c>
      <c r="BH34" s="437">
        <f t="shared" ca="1" si="0"/>
        <v>0</v>
      </c>
      <c r="BI34" s="437">
        <f ca="1">COUNTIF(Pool!$C$130:$C$161,Fixture!BG34)-BJ34-BK34-BL34-BM34-BN34-BO34</f>
        <v>0</v>
      </c>
      <c r="BJ34" s="438">
        <f ca="1">COUNTIF(Pool!$C$182:$C$197,Fixture!BG34)-BK34-BL34-BM34-BN34-BO34</f>
        <v>1</v>
      </c>
      <c r="BK34" s="439">
        <f ca="1">COUNTIF(Pool!$C$210:$C$217,Fixture!BG34)-BL34-BM34-BN34-BO34</f>
        <v>0</v>
      </c>
      <c r="BL34" s="439">
        <f ca="1">COUNTIF(Pool!$C$226:$C$229,Fixture!BG34)-BM34-BN34-BO34</f>
        <v>0</v>
      </c>
      <c r="BM34" s="437">
        <f ca="1">COUNTIF(Pool!$C$252,Fixture!BG34)</f>
        <v>0</v>
      </c>
      <c r="BN34" s="437">
        <f ca="1">COUNTIF(Pool!$C$251,Fixture!BG34)</f>
        <v>0</v>
      </c>
      <c r="BO34" s="440">
        <f ca="1">COUNTIF(Pool!$C$250,Fixture!BG34)</f>
        <v>0</v>
      </c>
    </row>
    <row r="35" spans="1:67">
      <c r="A35" s="169">
        <v>10</v>
      </c>
      <c r="B35" s="531" t="s">
        <v>3</v>
      </c>
      <c r="C35" s="391" t="str">
        <f ca="1">+MID(INDEX(WORLDCUP!$AA$4:$AA$147,MATCH(A35,WORLDCUP!$AH$4:$AH$147,0)),1,3)</f>
        <v>Ale</v>
      </c>
      <c r="D35" s="392">
        <f>IF(ISBLANK(INDEX(WORLDCUP!$AC$4:$AC$147,MATCH(A35,WORLDCUP!$AH$4:$AH$147,0))),"",INDEX(WORLDCUP!$AC$4:$AC$147,MATCH(A35,WORLDCUP!$AH$4:$AH$147,0)))</f>
        <v>3</v>
      </c>
      <c r="E35" s="392">
        <f>IF(ISBLANK(INDEX(WORLDCUP!$AD$4:$AD$147,MATCH(A35,WORLDCUP!$AH$4:$AH$147,0))),"",INDEX(WORLDCUP!$AD$4:$AD$147,MATCH(A35,WORLDCUP!$AH$4:$AH$147,0)))</f>
        <v>0</v>
      </c>
      <c r="F35" s="393" t="str">
        <f ca="1">+MID(INDEX(WORLDCUP!$AF$4:$AF$147,MATCH(A35,WORLDCUP!$AH$4:$AH$147,0)),1,3)</f>
        <v>Cur</v>
      </c>
      <c r="G35" s="394"/>
      <c r="H35" s="395" t="str">
        <f>+H27</f>
        <v>Sel</v>
      </c>
      <c r="I35" s="396" t="str">
        <f>+I27</f>
        <v>Pts</v>
      </c>
      <c r="J35" s="396" t="str">
        <f>+J27</f>
        <v>DG</v>
      </c>
      <c r="K35" s="397" t="str">
        <f>+K27</f>
        <v>GF-GC</v>
      </c>
      <c r="L35" s="169"/>
      <c r="M35" s="169">
        <v>23</v>
      </c>
      <c r="N35" s="532" t="s">
        <v>449</v>
      </c>
      <c r="O35" s="391" t="str">
        <f ca="1">+MID(INDEX(WORLDCUP!$AA$4:$AA$147,MATCH(M35,WORLDCUP!$AH$4:$AH$147,0)),1,3)</f>
        <v>Por</v>
      </c>
      <c r="P35" s="392">
        <f>IF(ISBLANK(INDEX(WORLDCUP!$AC$4:$AC$147,MATCH(M35,WORLDCUP!$AH$4:$AH$147,0))),"",INDEX(WORLDCUP!$AC$4:$AC$147,MATCH(M35,WORLDCUP!$AH$4:$AH$147,0)))</f>
        <v>2</v>
      </c>
      <c r="Q35" s="392">
        <f>IF(ISBLANK(INDEX(WORLDCUP!$AD$4:$AD$147,MATCH(M35,WORLDCUP!$AH$4:$AH$147,0))),"",INDEX(WORLDCUP!$AD$4:$AD$147,MATCH(M35,WORLDCUP!$AH$4:$AH$147,0)))</f>
        <v>0</v>
      </c>
      <c r="R35" s="393" t="str">
        <f ca="1">+MID(INDEX(WORLDCUP!$AF$4:$AF$147,MATCH(M35,WORLDCUP!$AH$4:$AH$147,0)),1,3)</f>
        <v xml:space="preserve">RD </v>
      </c>
      <c r="S35" s="394"/>
      <c r="T35" s="395" t="str">
        <f>+T27</f>
        <v>Sel</v>
      </c>
      <c r="U35" s="396" t="str">
        <f>+U27</f>
        <v>Pts</v>
      </c>
      <c r="V35" s="396" t="str">
        <f>+V27</f>
        <v>DG</v>
      </c>
      <c r="W35" s="397" t="str">
        <f>+W27</f>
        <v>GF-GC</v>
      </c>
      <c r="X35" s="169"/>
      <c r="Y35" s="169"/>
      <c r="Z35" s="399"/>
      <c r="AA35" s="443"/>
      <c r="AB35" s="443"/>
      <c r="AC35" s="444"/>
      <c r="AD35" s="169">
        <v>92</v>
      </c>
      <c r="AE35" s="430" t="str">
        <f ca="1">+MID(INDEX(WORLDCUP!$AF$101:$AF$147,MATCH(AD35,WORLDCUP!$Z$101:$Z$147,0)),1,3)</f>
        <v>Ing</v>
      </c>
      <c r="AF35" s="431">
        <f>+IF(ISBLANK(INDEX(WORLDCUP!$AD$101:$AD$147,MATCH(AD35,WORLDCUP!$Z$101:$Z$147,0))),"",INDEX(WORLDCUP!$AD$101:$AD$147,MATCH(AD35,WORLDCUP!$Z$101:$Z$147,0)))</f>
        <v>2</v>
      </c>
      <c r="AG35" s="448" t="str">
        <f>+IF(ISBLANK(INDEX(WORLDCUP!$AE$101:$AE$147,MATCH(AD35,WORLDCUP!$Z$101:$Z$147,0))),"","( "&amp;INDEX(WORLDCUP!$AE$101:$AE$147,MATCH(AD35,WORLDCUP!$Z$101:$Z$147,0))&amp;" )")</f>
        <v/>
      </c>
      <c r="AH35" s="169"/>
      <c r="AI35" s="433"/>
      <c r="AJ35" s="433"/>
      <c r="AK35" s="473"/>
      <c r="AL35" s="389"/>
      <c r="AM35" s="405"/>
      <c r="AN35" s="533"/>
      <c r="AO35" s="486"/>
      <c r="AP35" s="389"/>
      <c r="AQ35" s="434"/>
      <c r="AR35" s="434"/>
      <c r="AS35" s="434"/>
      <c r="AT35" s="169"/>
      <c r="AU35" s="407"/>
      <c r="AV35" s="407"/>
      <c r="AW35" s="407"/>
      <c r="AX35" s="169"/>
      <c r="AY35" s="141"/>
      <c r="AZ35" s="141"/>
      <c r="BA35" s="141"/>
      <c r="BB35" s="141"/>
      <c r="BC35" s="141"/>
      <c r="BD35" s="141"/>
      <c r="BE35" s="141"/>
      <c r="BG35" s="436" t="str">
        <f ca="1">Horarios!Q34</f>
        <v>México</v>
      </c>
      <c r="BH35" s="437">
        <f t="shared" ca="1" si="0"/>
        <v>0</v>
      </c>
      <c r="BI35" s="437">
        <f ca="1">COUNTIF(Pool!$C$130:$C$161,Fixture!BG35)-BJ35-BK35-BL35-BM35-BN35-BO35</f>
        <v>1</v>
      </c>
      <c r="BJ35" s="438">
        <f ca="1">COUNTIF(Pool!$C$182:$C$197,Fixture!BG35)-BK35-BL35-BM35-BN35-BO35</f>
        <v>0</v>
      </c>
      <c r="BK35" s="439">
        <f ca="1">COUNTIF(Pool!$C$210:$C$217,Fixture!BG35)-BL35-BM35-BN35-BO35</f>
        <v>0</v>
      </c>
      <c r="BL35" s="439">
        <f ca="1">COUNTIF(Pool!$C$226:$C$229,Fixture!BG35)-BM35-BN35-BO35</f>
        <v>0</v>
      </c>
      <c r="BM35" s="437">
        <f ca="1">COUNTIF(Pool!$C$252,Fixture!BG35)</f>
        <v>0</v>
      </c>
      <c r="BN35" s="437">
        <f ca="1">COUNTIF(Pool!$C$251,Fixture!BG35)</f>
        <v>0</v>
      </c>
      <c r="BO35" s="440">
        <f ca="1">COUNTIF(Pool!$C$250,Fixture!BG35)</f>
        <v>0</v>
      </c>
    </row>
    <row r="36" spans="1:67" ht="15" thickBot="1">
      <c r="A36" s="169">
        <v>9</v>
      </c>
      <c r="B36" s="534"/>
      <c r="C36" s="418" t="str">
        <f ca="1">+MID(INDEX(WORLDCUP!$AA$4:$AA$147,MATCH(A36,WORLDCUP!$AH$4:$AH$147,0)),1,3)</f>
        <v>Cos</v>
      </c>
      <c r="D36" s="419">
        <f>IF(ISBLANK(INDEX(WORLDCUP!$AC$4:$AC$147,MATCH(A36,WORLDCUP!$AH$4:$AH$147,0))),"",INDEX(WORLDCUP!$AC$4:$AC$147,MATCH(A36,WORLDCUP!$AH$4:$AH$147,0)))</f>
        <v>1</v>
      </c>
      <c r="E36" s="419">
        <f>IF(ISBLANK(INDEX(WORLDCUP!$AD$4:$AD$147,MATCH(A36,WORLDCUP!$AH$4:$AH$147,0))),"",INDEX(WORLDCUP!$AD$4:$AD$147,MATCH(A36,WORLDCUP!$AH$4:$AH$147,0)))</f>
        <v>1</v>
      </c>
      <c r="F36" s="420" t="str">
        <f ca="1">+MID(INDEX(WORLDCUP!$AF$4:$AF$147,MATCH(A36,WORLDCUP!$AH$4:$AH$147,0)),1,3)</f>
        <v>Ecu</v>
      </c>
      <c r="G36" s="421">
        <v>1</v>
      </c>
      <c r="H36" s="422" t="str">
        <f ca="1">+MID(INDEX(WORLDCUP!$AL$6:$AL$97,MATCH(L36,WORLDCUP!$AI$6:$AI$97,0)),1,3)</f>
        <v>Ale</v>
      </c>
      <c r="I36" s="423">
        <f ca="1">+INDEX(WORLDCUP!$AM$6:$AM$97,MATCH(L36,WORLDCUP!$AI$6:$AI$97,0))</f>
        <v>9</v>
      </c>
      <c r="J36" s="424">
        <f ca="1">+INDEX(WORLDCUP!$AT$6:$AT$97,MATCH(L36,WORLDCUP!$AI$6:$AI$97,0))</f>
        <v>7</v>
      </c>
      <c r="K36" s="425" t="str">
        <f ca="1">+INDEX(WORLDCUP!$AR$6:$AR$97,MATCH(L36,WORLDCUP!$AI$6:$AI$97,0))&amp;"-"&amp;INDEX(WORLDCUP!$AS$6:$AS$97,MATCH(L36,WORLDCUP!$AI$6:$AI$97,0))</f>
        <v>8-1</v>
      </c>
      <c r="L36" s="169" t="s">
        <v>673</v>
      </c>
      <c r="M36" s="169">
        <v>24</v>
      </c>
      <c r="N36" s="535"/>
      <c r="O36" s="418" t="str">
        <f ca="1">+MID(INDEX(WORLDCUP!$AA$4:$AA$147,MATCH(M36,WORLDCUP!$AH$4:$AH$147,0)),1,3)</f>
        <v>Uzb</v>
      </c>
      <c r="P36" s="419">
        <f>IF(ISBLANK(INDEX(WORLDCUP!$AC$4:$AC$147,MATCH(M36,WORLDCUP!$AH$4:$AH$147,0))),"",INDEX(WORLDCUP!$AC$4:$AC$147,MATCH(M36,WORLDCUP!$AH$4:$AH$147,0)))</f>
        <v>0</v>
      </c>
      <c r="Q36" s="419">
        <f>IF(ISBLANK(INDEX(WORLDCUP!$AD$4:$AD$147,MATCH(M36,WORLDCUP!$AH$4:$AH$147,0))),"",INDEX(WORLDCUP!$AD$4:$AD$147,MATCH(M36,WORLDCUP!$AH$4:$AH$147,0)))</f>
        <v>3</v>
      </c>
      <c r="R36" s="420" t="str">
        <f ca="1">+MID(INDEX(WORLDCUP!$AF$4:$AF$147,MATCH(M36,WORLDCUP!$AH$4:$AH$147,0)),1,3)</f>
        <v>Col</v>
      </c>
      <c r="S36" s="421">
        <v>1</v>
      </c>
      <c r="T36" s="422" t="str">
        <f ca="1">+MID(INDEX(WORLDCUP!$AL$6:$AL$97,MATCH(X36,WORLDCUP!$AI$6:$AI$97,0)),1,3)</f>
        <v>Por</v>
      </c>
      <c r="U36" s="423">
        <f ca="1">+INDEX(WORLDCUP!$AM$6:$AM$97,MATCH(X36,WORLDCUP!$AI$6:$AI$97,0))</f>
        <v>7</v>
      </c>
      <c r="V36" s="424">
        <f ca="1">+INDEX(WORLDCUP!$AT$6:$AT$97,MATCH(X36,WORLDCUP!$AI$6:$AI$97,0))</f>
        <v>4</v>
      </c>
      <c r="W36" s="425" t="str">
        <f ca="1">+INDEX(WORLDCUP!$AR$6:$AR$97,MATCH(X36,WORLDCUP!$AI$6:$AI$97,0))&amp;"-"&amp;INDEX(WORLDCUP!$AS$6:$AS$97,MATCH(X36,WORLDCUP!$AI$6:$AI$97,0))</f>
        <v>6-2</v>
      </c>
      <c r="X36" s="169" t="s">
        <v>691</v>
      </c>
      <c r="Y36" s="169">
        <v>80</v>
      </c>
      <c r="Z36" s="399" t="s">
        <v>694</v>
      </c>
      <c r="AA36" s="400" t="str">
        <f ca="1">+MID(INDEX(WORLDCUP!$AA$101:$AA$147,MATCH(Y36,WORLDCUP!$Z$101:$Z$147,0)),1,3)</f>
        <v>Ing</v>
      </c>
      <c r="AB36" s="446">
        <f>+IF(ISBLANK(INDEX(WORLDCUP!$AC$101:$AC$147,MATCH(Y36,WORLDCUP!$Z$101:$Z$147,0))),"",INDEX(WORLDCUP!$AC$101:$AC$147,MATCH(Y36,WORLDCUP!$Z$101:$Z$147,0)))</f>
        <v>2</v>
      </c>
      <c r="AC36" s="480" t="str">
        <f>+IF(ISBLANK(INDEX(WORLDCUP!$AB$101:$AB$147,MATCH(Y36,WORLDCUP!$Z$101:$Z$147,0))),"","( "&amp;INDEX(WORLDCUP!$AB$101:$AB$147,MATCH(Y36,WORLDCUP!$Z$101:$Z$147,0))&amp;" )")</f>
        <v/>
      </c>
      <c r="AD36" s="169"/>
      <c r="AE36" s="403"/>
      <c r="AF36" s="403"/>
      <c r="AG36" s="403"/>
      <c r="AH36" s="169"/>
      <c r="AI36" s="433"/>
      <c r="AJ36" s="433"/>
      <c r="AK36" s="473"/>
      <c r="AL36" s="389"/>
      <c r="AM36" s="405"/>
      <c r="AN36" s="405"/>
      <c r="AO36" s="486"/>
      <c r="AP36" s="389"/>
      <c r="AQ36" s="434"/>
      <c r="AR36" s="434"/>
      <c r="AS36" s="434"/>
      <c r="AT36" s="169"/>
      <c r="AU36" s="407"/>
      <c r="AV36" s="407"/>
      <c r="AW36" s="407"/>
      <c r="AX36" s="169"/>
      <c r="AY36" s="141"/>
      <c r="AZ36" s="141"/>
      <c r="BA36" s="141"/>
      <c r="BB36" s="141"/>
      <c r="BC36" s="141"/>
      <c r="BD36" s="141"/>
      <c r="BE36" s="141"/>
      <c r="BG36" s="436" t="str">
        <f ca="1">Horarios!Q35</f>
        <v>Noruega</v>
      </c>
      <c r="BH36" s="437">
        <f t="shared" ca="1" si="0"/>
        <v>0</v>
      </c>
      <c r="BI36" s="437">
        <f ca="1">COUNTIF(Pool!$C$130:$C$161,Fixture!BG36)-BJ36-BK36-BL36-BM36-BN36-BO36</f>
        <v>1</v>
      </c>
      <c r="BJ36" s="438">
        <f ca="1">COUNTIF(Pool!$C$182:$C$197,Fixture!BG36)-BK36-BL36-BM36-BN36-BO36</f>
        <v>0</v>
      </c>
      <c r="BK36" s="439">
        <f ca="1">COUNTIF(Pool!$C$210:$C$217,Fixture!BG36)-BL36-BM36-BN36-BO36</f>
        <v>0</v>
      </c>
      <c r="BL36" s="439">
        <f ca="1">COUNTIF(Pool!$C$226:$C$229,Fixture!BG36)-BM36-BN36-BO36</f>
        <v>0</v>
      </c>
      <c r="BM36" s="437">
        <f ca="1">COUNTIF(Pool!$C$252,Fixture!BG36)</f>
        <v>0</v>
      </c>
      <c r="BN36" s="437">
        <f ca="1">COUNTIF(Pool!$C$251,Fixture!BG36)</f>
        <v>0</v>
      </c>
      <c r="BO36" s="440">
        <f ca="1">COUNTIF(Pool!$C$250,Fixture!BG36)</f>
        <v>0</v>
      </c>
    </row>
    <row r="37" spans="1:67" ht="15" thickBot="1">
      <c r="A37" s="169">
        <v>33</v>
      </c>
      <c r="B37" s="534"/>
      <c r="C37" s="418" t="str">
        <f ca="1">+MID(INDEX(WORLDCUP!$AA$4:$AA$147,MATCH(A37,WORLDCUP!$AH$4:$AH$147,0)),1,3)</f>
        <v>Ale</v>
      </c>
      <c r="D37" s="419">
        <f>IF(ISBLANK(INDEX(WORLDCUP!$AC$4:$AC$147,MATCH(A37,WORLDCUP!$AH$4:$AH$147,0))),"",INDEX(WORLDCUP!$AC$4:$AC$147,MATCH(A37,WORLDCUP!$AH$4:$AH$147,0)))</f>
        <v>3</v>
      </c>
      <c r="E37" s="419">
        <f>IF(ISBLANK(INDEX(WORLDCUP!$AD$4:$AD$147,MATCH(A37,WORLDCUP!$AH$4:$AH$147,0))),"",INDEX(WORLDCUP!$AD$4:$AD$147,MATCH(A37,WORLDCUP!$AH$4:$AH$147,0)))</f>
        <v>1</v>
      </c>
      <c r="F37" s="420" t="str">
        <f ca="1">+MID(INDEX(WORLDCUP!$AF$4:$AF$147,MATCH(A37,WORLDCUP!$AH$4:$AH$147,0)),1,3)</f>
        <v>Cos</v>
      </c>
      <c r="G37" s="441">
        <v>2</v>
      </c>
      <c r="H37" s="442" t="str">
        <f ca="1">+MID(INDEX(WORLDCUP!$AL$6:$AL$97,MATCH(L37,WORLDCUP!$AI$6:$AI$97,0)),1,3)</f>
        <v>Cos</v>
      </c>
      <c r="I37" s="38">
        <f ca="1">+INDEX(WORLDCUP!$AM$6:$AM$97,MATCH(L37,WORLDCUP!$AI$6:$AI$97,0))</f>
        <v>4</v>
      </c>
      <c r="J37" s="39">
        <f ca="1">+INDEX(WORLDCUP!$AT$6:$AT$97,MATCH(L37,WORLDCUP!$AI$6:$AI$97,0))</f>
        <v>0</v>
      </c>
      <c r="K37" s="43" t="str">
        <f ca="1">+INDEX(WORLDCUP!$AR$6:$AR$97,MATCH(L37,WORLDCUP!$AI$6:$AI$97,0))&amp;"-"&amp;INDEX(WORLDCUP!$AS$6:$AS$97,MATCH(L37,WORLDCUP!$AI$6:$AI$97,0))</f>
        <v>4-4</v>
      </c>
      <c r="L37" s="169" t="s">
        <v>674</v>
      </c>
      <c r="M37" s="169">
        <v>47</v>
      </c>
      <c r="N37" s="535"/>
      <c r="O37" s="418" t="str">
        <f ca="1">+MID(INDEX(WORLDCUP!$AA$4:$AA$147,MATCH(M37,WORLDCUP!$AH$4:$AH$147,0)),1,3)</f>
        <v>Por</v>
      </c>
      <c r="P37" s="419">
        <f>IF(ISBLANK(INDEX(WORLDCUP!$AC$4:$AC$147,MATCH(M37,WORLDCUP!$AH$4:$AH$147,0))),"",INDEX(WORLDCUP!$AC$4:$AC$147,MATCH(M37,WORLDCUP!$AH$4:$AH$147,0)))</f>
        <v>3</v>
      </c>
      <c r="Q37" s="419">
        <f>IF(ISBLANK(INDEX(WORLDCUP!$AD$4:$AD$147,MATCH(M37,WORLDCUP!$AH$4:$AH$147,0))),"",INDEX(WORLDCUP!$AD$4:$AD$147,MATCH(M37,WORLDCUP!$AH$4:$AH$147,0)))</f>
        <v>1</v>
      </c>
      <c r="R37" s="420" t="str">
        <f ca="1">+MID(INDEX(WORLDCUP!$AF$4:$AF$147,MATCH(M37,WORLDCUP!$AH$4:$AH$147,0)),1,3)</f>
        <v>Uzb</v>
      </c>
      <c r="S37" s="441">
        <v>2</v>
      </c>
      <c r="T37" s="442" t="str">
        <f ca="1">+MID(INDEX(WORLDCUP!$AL$6:$AL$97,MATCH(X37,WORLDCUP!$AI$6:$AI$97,0)),1,3)</f>
        <v>Col</v>
      </c>
      <c r="U37" s="38">
        <f ca="1">+INDEX(WORLDCUP!$AM$6:$AM$97,MATCH(X37,WORLDCUP!$AI$6:$AI$97,0))</f>
        <v>7</v>
      </c>
      <c r="V37" s="39">
        <f ca="1">+INDEX(WORLDCUP!$AT$6:$AT$97,MATCH(X37,WORLDCUP!$AI$6:$AI$97,0))</f>
        <v>4</v>
      </c>
      <c r="W37" s="43" t="str">
        <f ca="1">+INDEX(WORLDCUP!$AR$6:$AR$97,MATCH(X37,WORLDCUP!$AI$6:$AI$97,0))&amp;"-"&amp;INDEX(WORLDCUP!$AS$6:$AS$97,MATCH(X37,WORLDCUP!$AI$6:$AI$97,0))</f>
        <v>6-2</v>
      </c>
      <c r="X37" s="169" t="s">
        <v>692</v>
      </c>
      <c r="Y37" s="169">
        <v>80</v>
      </c>
      <c r="Z37" s="399" t="s">
        <v>737</v>
      </c>
      <c r="AA37" s="454" t="str">
        <f ca="1">+MID(INDEX(WORLDCUP!$AF$101:$AF$147,MATCH(Y37,WORLDCUP!$Z$101:$Z$147,0)),1,IF(WORLDCUP!$H$113&lt;144,6,3))</f>
        <v xml:space="preserve">RD </v>
      </c>
      <c r="AB37" s="455">
        <f>+IF(ISBLANK(INDEX(WORLDCUP!$AD$101:$AD$147,MATCH(Y37,WORLDCUP!$Z$101:$Z$147,0))),"",INDEX(WORLDCUP!$AD$101:$AD$147,MATCH(Y37,WORLDCUP!$Z$101:$Z$147,0)))</f>
        <v>0</v>
      </c>
      <c r="AC37" s="481" t="str">
        <f>+IF(ISBLANK(INDEX(WORLDCUP!$AE$101:$AE$147,MATCH(Y37,WORLDCUP!$Z$101:$Z$147,0))),"","( "&amp;INDEX(WORLDCUP!$AE$101:$AE$147,MATCH(Y37,WORLDCUP!$Z$101:$Z$147,0))&amp;" )")</f>
        <v/>
      </c>
      <c r="AD37" s="169"/>
      <c r="AE37" s="403"/>
      <c r="AF37" s="403"/>
      <c r="AG37" s="403"/>
      <c r="AH37" s="169"/>
      <c r="AI37" s="433"/>
      <c r="AJ37" s="433"/>
      <c r="AK37" s="473"/>
      <c r="AL37" s="474">
        <v>102</v>
      </c>
      <c r="AM37" s="482" t="str">
        <f ca="1">+MID(INDEX(WORLDCUP!$AA$101:$AA$147,MATCH(AL37,WORLDCUP!$Z$101:$Z$147,0)),1,3)</f>
        <v>Ing</v>
      </c>
      <c r="AN37" s="483">
        <f>+IF(ISBLANK(INDEX(WORLDCUP!$AC$101:$AC$147,MATCH(AL37,WORLDCUP!$Z$101:$Z$147,0))),"",INDEX(WORLDCUP!$AC$101:$AC$147,MATCH(AL37,WORLDCUP!$Z$101:$Z$147,0)))</f>
        <v>1</v>
      </c>
      <c r="AO37" s="536" t="str">
        <f>+IF(ISBLANK(INDEX(WORLDCUP!$AB$101:$AB$147,MATCH(AL37,WORLDCUP!$Z$101:$Z$147,0))),"","( "&amp;INDEX(WORLDCUP!$AB$101:$AB$147,MATCH(AL37,WORLDCUP!$Z$101:$Z$147,0))&amp;" )")</f>
        <v/>
      </c>
      <c r="AP37" s="169"/>
      <c r="AQ37" s="434"/>
      <c r="AR37" s="434"/>
      <c r="AS37" s="434"/>
      <c r="AT37" s="169"/>
      <c r="AU37" s="407"/>
      <c r="AV37" s="407"/>
      <c r="AW37" s="407"/>
      <c r="AX37" s="169"/>
      <c r="AY37" s="141"/>
      <c r="AZ37" s="141"/>
      <c r="BA37" s="141"/>
      <c r="BB37" s="141"/>
      <c r="BC37" s="141"/>
      <c r="BD37" s="141"/>
      <c r="BE37" s="141"/>
      <c r="BG37" s="436" t="str">
        <f ca="1">Horarios!Q36</f>
        <v>Nueva Zelanda</v>
      </c>
      <c r="BH37" s="437">
        <f t="shared" ca="1" si="0"/>
        <v>0</v>
      </c>
      <c r="BI37" s="437">
        <f ca="1">COUNTIF(Pool!$C$130:$C$161,Fixture!BG37)-BJ37-BK37-BL37-BM37-BN37-BO37</f>
        <v>1</v>
      </c>
      <c r="BJ37" s="438">
        <f ca="1">COUNTIF(Pool!$C$182:$C$197,Fixture!BG37)-BK37-BL37-BM37-BN37-BO37</f>
        <v>0</v>
      </c>
      <c r="BK37" s="439">
        <f ca="1">COUNTIF(Pool!$C$210:$C$217,Fixture!BG37)-BL37-BM37-BN37-BO37</f>
        <v>0</v>
      </c>
      <c r="BL37" s="439">
        <f ca="1">COUNTIF(Pool!$C$226:$C$229,Fixture!BG37)-BM37-BN37-BO37</f>
        <v>0</v>
      </c>
      <c r="BM37" s="437">
        <f ca="1">COUNTIF(Pool!$C$252,Fixture!BG37)</f>
        <v>0</v>
      </c>
      <c r="BN37" s="437">
        <f ca="1">COUNTIF(Pool!$C$251,Fixture!BG37)</f>
        <v>0</v>
      </c>
      <c r="BO37" s="440">
        <f ca="1">COUNTIF(Pool!$C$250,Fixture!BG37)</f>
        <v>0</v>
      </c>
    </row>
    <row r="38" spans="1:67">
      <c r="A38" s="169">
        <v>34</v>
      </c>
      <c r="B38" s="534"/>
      <c r="C38" s="418" t="str">
        <f ca="1">+MID(INDEX(WORLDCUP!$AA$4:$AA$147,MATCH(A38,WORLDCUP!$AH$4:$AH$147,0)),1,3)</f>
        <v>Ecu</v>
      </c>
      <c r="D38" s="419">
        <f>IF(ISBLANK(INDEX(WORLDCUP!$AC$4:$AC$147,MATCH(A38,WORLDCUP!$AH$4:$AH$147,0))),"",INDEX(WORLDCUP!$AC$4:$AC$147,MATCH(A38,WORLDCUP!$AH$4:$AH$147,0)))</f>
        <v>2</v>
      </c>
      <c r="E38" s="419">
        <f>IF(ISBLANK(INDEX(WORLDCUP!$AD$4:$AD$147,MATCH(A38,WORLDCUP!$AH$4:$AH$147,0))),"",INDEX(WORLDCUP!$AD$4:$AD$147,MATCH(A38,WORLDCUP!$AH$4:$AH$147,0)))</f>
        <v>0</v>
      </c>
      <c r="F38" s="420" t="str">
        <f ca="1">+MID(INDEX(WORLDCUP!$AF$4:$AF$147,MATCH(A38,WORLDCUP!$AH$4:$AH$147,0)),1,3)</f>
        <v>Cur</v>
      </c>
      <c r="G38" s="441">
        <v>3</v>
      </c>
      <c r="H38" s="442"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3-3</v>
      </c>
      <c r="L38" s="169" t="s">
        <v>94</v>
      </c>
      <c r="M38" s="169">
        <v>48</v>
      </c>
      <c r="N38" s="535"/>
      <c r="O38" s="418" t="str">
        <f ca="1">+MID(INDEX(WORLDCUP!$AA$4:$AA$147,MATCH(M38,WORLDCUP!$AH$4:$AH$147,0)),1,3)</f>
        <v>Col</v>
      </c>
      <c r="P38" s="419">
        <f>IF(ISBLANK(INDEX(WORLDCUP!$AC$4:$AC$147,MATCH(M38,WORLDCUP!$AH$4:$AH$147,0))),"",INDEX(WORLDCUP!$AC$4:$AC$147,MATCH(M38,WORLDCUP!$AH$4:$AH$147,0)))</f>
        <v>2</v>
      </c>
      <c r="Q38" s="419">
        <f>IF(ISBLANK(INDEX(WORLDCUP!$AD$4:$AD$147,MATCH(M38,WORLDCUP!$AH$4:$AH$147,0))),"",INDEX(WORLDCUP!$AD$4:$AD$147,MATCH(M38,WORLDCUP!$AH$4:$AH$147,0)))</f>
        <v>1</v>
      </c>
      <c r="R38" s="420" t="str">
        <f ca="1">+MID(INDEX(WORLDCUP!$AF$4:$AF$147,MATCH(M38,WORLDCUP!$AH$4:$AH$147,0)),1,3)</f>
        <v xml:space="preserve">RD </v>
      </c>
      <c r="S38" s="441">
        <v>3</v>
      </c>
      <c r="T38" s="442" t="str">
        <f ca="1">+MID(INDEX(WORLDCUP!$AL$6:$AL$97,MATCH(X38,WORLDCUP!$AI$6:$AI$97,0)),1,3)</f>
        <v xml:space="preserve">RD </v>
      </c>
      <c r="U38" s="38">
        <f ca="1">+INDEX(WORLDCUP!$AM$6:$AM$97,MATCH(X38,WORLDCUP!$AI$6:$AI$97,0))</f>
        <v>3</v>
      </c>
      <c r="V38" s="39">
        <f ca="1">+INDEX(WORLDCUP!$AT$6:$AT$97,MATCH(X38,WORLDCUP!$AI$6:$AI$97,0))</f>
        <v>-2</v>
      </c>
      <c r="W38" s="43" t="str">
        <f ca="1">+INDEX(WORLDCUP!$AR$6:$AR$97,MATCH(X38,WORLDCUP!$AI$6:$AI$97,0))&amp;"-"&amp;INDEX(WORLDCUP!$AS$6:$AS$97,MATCH(X38,WORLDCUP!$AI$6:$AI$97,0))</f>
        <v>2-4</v>
      </c>
      <c r="X38" s="169" t="s">
        <v>452</v>
      </c>
      <c r="Y38" s="169"/>
      <c r="Z38" s="399"/>
      <c r="AA38" s="468"/>
      <c r="AB38" s="468"/>
      <c r="AC38" s="468"/>
      <c r="AD38" s="169"/>
      <c r="AE38" s="403"/>
      <c r="AF38" s="403"/>
      <c r="AG38" s="403"/>
      <c r="AH38" s="169"/>
      <c r="AI38" s="433"/>
      <c r="AJ38" s="433"/>
      <c r="AK38" s="473"/>
      <c r="AL38" s="169">
        <v>102</v>
      </c>
      <c r="AM38" s="482" t="str" cm="1">
        <f t="array" aca="1" ref="AM38" ca="1">+MID(INDEX(WORLDCUP!$AF$101:$AF$147,MATCH(AL38,WORLDCUP!$Z$101:$Z$147,0)),1,IF(OR(ISBLANK(AC134:AD134)),4,3))</f>
        <v>Port</v>
      </c>
      <c r="AN38" s="483">
        <f>+IF(ISBLANK(INDEX(WORLDCUP!$AD$101:$AD$147,MATCH(AL38,WORLDCUP!$Z$101:$Z$147,0))),"",INDEX(WORLDCUP!$AD$101:$AD$147,MATCH(AL38,WORLDCUP!$Z$101:$Z$147,0)))</f>
        <v>2</v>
      </c>
      <c r="AO38" s="405" t="str">
        <f>+IF(ISBLANK(INDEX(WORLDCUP!$AE$101:$AE$147,MATCH(AL38,WORLDCUP!$Z$101:$Z$147,0))),"","( "&amp;INDEX(WORLDCUP!$AE$101:$AE$147,MATCH(AL38,WORLDCUP!$Z$101:$Z$147,0))&amp;" )")</f>
        <v/>
      </c>
      <c r="AP38" s="169"/>
      <c r="AQ38" s="434"/>
      <c r="AR38" s="434"/>
      <c r="AS38" s="434"/>
      <c r="AT38" s="169"/>
      <c r="AU38" s="407"/>
      <c r="AV38" s="407"/>
      <c r="AW38" s="407"/>
      <c r="AX38" s="169"/>
      <c r="AY38" s="141"/>
      <c r="AZ38" s="141"/>
      <c r="BA38" s="141"/>
      <c r="BB38" s="141"/>
      <c r="BC38" s="141"/>
      <c r="BD38" s="141"/>
      <c r="BE38" s="141"/>
      <c r="BG38" s="436" t="str">
        <f ca="1">Horarios!Q37</f>
        <v>Países Bajos</v>
      </c>
      <c r="BH38" s="437">
        <f t="shared" ca="1" si="0"/>
        <v>0</v>
      </c>
      <c r="BI38" s="437">
        <f ca="1">COUNTIF(Pool!$C$130:$C$161,Fixture!BG38)-BJ38-BK38-BL38-BM38-BN38-BO38</f>
        <v>1</v>
      </c>
      <c r="BJ38" s="438">
        <f ca="1">COUNTIF(Pool!$C$182:$C$197,Fixture!BG38)-BK38-BL38-BM38-BN38-BO38</f>
        <v>0</v>
      </c>
      <c r="BK38" s="439">
        <f ca="1">COUNTIF(Pool!$C$210:$C$217,Fixture!BG38)-BL38-BM38-BN38-BO38</f>
        <v>0</v>
      </c>
      <c r="BL38" s="439">
        <f ca="1">COUNTIF(Pool!$C$226:$C$229,Fixture!BG38)-BM38-BN38-BO38</f>
        <v>0</v>
      </c>
      <c r="BM38" s="437">
        <f ca="1">COUNTIF(Pool!$C$252,Fixture!BG38)</f>
        <v>0</v>
      </c>
      <c r="BN38" s="437">
        <f ca="1">COUNTIF(Pool!$C$251,Fixture!BG38)</f>
        <v>0</v>
      </c>
      <c r="BO38" s="440">
        <f ca="1">COUNTIF(Pool!$C$250,Fixture!BG38)</f>
        <v>0</v>
      </c>
    </row>
    <row r="39" spans="1:67" ht="15" thickBot="1">
      <c r="A39" s="169">
        <v>55</v>
      </c>
      <c r="B39" s="534"/>
      <c r="C39" s="418" t="str">
        <f ca="1">+MID(INDEX(WORLDCUP!$AA$4:$AA$147,MATCH(A39,WORLDCUP!$AH$4:$AH$147,0)),1,3)</f>
        <v>Cur</v>
      </c>
      <c r="D39" s="419">
        <f>IF(ISBLANK(INDEX(WORLDCUP!$AC$4:$AC$147,MATCH(A39,WORLDCUP!$AH$4:$AH$147,0))),"",INDEX(WORLDCUP!$AC$4:$AC$147,MATCH(A39,WORLDCUP!$AH$4:$AH$147,0)))</f>
        <v>0</v>
      </c>
      <c r="E39" s="419">
        <f>IF(ISBLANK(INDEX(WORLDCUP!$AD$4:$AD$147,MATCH(A39,WORLDCUP!$AH$4:$AH$147,0))),"",INDEX(WORLDCUP!$AD$4:$AD$147,MATCH(A39,WORLDCUP!$AH$4:$AH$147,0)))</f>
        <v>2</v>
      </c>
      <c r="F39" s="420" t="str">
        <f ca="1">+MID(INDEX(WORLDCUP!$AF$4:$AF$147,MATCH(A39,WORLDCUP!$AH$4:$AH$147,0)),1,3)</f>
        <v>Cos</v>
      </c>
      <c r="G39" s="441">
        <v>4</v>
      </c>
      <c r="H39" s="450" t="str">
        <f ca="1">+MID(INDEX(WORLDCUP!$AL$6:$AL$97,MATCH(L39,WORLDCUP!$AI$6:$AI$97,0)),1,3)</f>
        <v>Cur</v>
      </c>
      <c r="I39" s="451">
        <f ca="1">+INDEX(WORLDCUP!$AM$6:$AM$97,MATCH(L39,WORLDCUP!$AI$6:$AI$97,0))</f>
        <v>0</v>
      </c>
      <c r="J39" s="452">
        <f ca="1">+INDEX(WORLDCUP!$AT$6:$AT$97,MATCH(L39,WORLDCUP!$AI$6:$AI$97,0))</f>
        <v>-7</v>
      </c>
      <c r="K39" s="453" t="str">
        <f ca="1">+INDEX(WORLDCUP!$AR$6:$AR$97,MATCH(L39,WORLDCUP!$AI$6:$AI$97,0))&amp;"-"&amp;INDEX(WORLDCUP!$AS$6:$AS$97,MATCH(L39,WORLDCUP!$AI$6:$AI$97,0))</f>
        <v>0-7</v>
      </c>
      <c r="L39" s="169" t="s">
        <v>675</v>
      </c>
      <c r="M39" s="169">
        <v>71</v>
      </c>
      <c r="N39" s="535"/>
      <c r="O39" s="418" t="str">
        <f ca="1">+MID(INDEX(WORLDCUP!$AA$4:$AA$147,MATCH(M39,WORLDCUP!$AH$4:$AH$147,0)),1,3)</f>
        <v>Col</v>
      </c>
      <c r="P39" s="419">
        <f>IF(ISBLANK(INDEX(WORLDCUP!$AC$4:$AC$147,MATCH(M39,WORLDCUP!$AH$4:$AH$147,0))),"",INDEX(WORLDCUP!$AC$4:$AC$147,MATCH(M39,WORLDCUP!$AH$4:$AH$147,0)))</f>
        <v>1</v>
      </c>
      <c r="Q39" s="419">
        <f>IF(ISBLANK(INDEX(WORLDCUP!$AD$4:$AD$147,MATCH(M39,WORLDCUP!$AH$4:$AH$147,0))),"",INDEX(WORLDCUP!$AD$4:$AD$147,MATCH(M39,WORLDCUP!$AH$4:$AH$147,0)))</f>
        <v>1</v>
      </c>
      <c r="R39" s="420" t="str">
        <f ca="1">+MID(INDEX(WORLDCUP!$AF$4:$AF$147,MATCH(M39,WORLDCUP!$AH$4:$AH$147,0)),1,3)</f>
        <v>Por</v>
      </c>
      <c r="S39" s="441">
        <v>4</v>
      </c>
      <c r="T39" s="450" t="str">
        <f ca="1">+MID(INDEX(WORLDCUP!$AL$6:$AL$97,MATCH(X39,WORLDCUP!$AI$6:$AI$97,0)),1,3)</f>
        <v>Uzb</v>
      </c>
      <c r="U39" s="451">
        <f ca="1">+INDEX(WORLDCUP!$AM$6:$AM$97,MATCH(X39,WORLDCUP!$AI$6:$AI$97,0))</f>
        <v>0</v>
      </c>
      <c r="V39" s="452">
        <f ca="1">+INDEX(WORLDCUP!$AT$6:$AT$97,MATCH(X39,WORLDCUP!$AI$6:$AI$97,0))</f>
        <v>-6</v>
      </c>
      <c r="W39" s="453" t="str">
        <f ca="1">+INDEX(WORLDCUP!$AR$6:$AR$97,MATCH(X39,WORLDCUP!$AI$6:$AI$97,0))&amp;"-"&amp;INDEX(WORLDCUP!$AS$6:$AS$97,MATCH(X39,WORLDCUP!$AI$6:$AI$97,0))</f>
        <v>1-7</v>
      </c>
      <c r="X39" s="169" t="s">
        <v>693</v>
      </c>
      <c r="Y39" s="169">
        <v>86</v>
      </c>
      <c r="Z39" s="399" t="s">
        <v>688</v>
      </c>
      <c r="AA39" s="400" t="str">
        <f ca="1">+MID(INDEX(WORLDCUP!$AA$101:$AA$147,MATCH(Y39,WORLDCUP!$Z$101:$Z$147,0)),1,3)</f>
        <v>Arg</v>
      </c>
      <c r="AB39" s="401">
        <f>+IF(ISBLANK(INDEX(WORLDCUP!$AC$101:$AC$147,MATCH(Y39,WORLDCUP!$Z$101:$Z$147,0))),"",INDEX(WORLDCUP!$AC$101:$AC$147,MATCH(Y39,WORLDCUP!$Z$101:$Z$147,0)))</f>
        <v>2</v>
      </c>
      <c r="AC39" s="472" t="str">
        <f>+IF(ISBLANK(INDEX(WORLDCUP!$AB$101:$AB$147,MATCH(Y39,WORLDCUP!$Z$101:$Z$147,0))),"","( "&amp;INDEX(WORLDCUP!$AB$101:$AB$147,MATCH(Y39,WORLDCUP!$Z$101:$Z$147,0))&amp;" )")</f>
        <v/>
      </c>
      <c r="AD39" s="167"/>
      <c r="AE39" s="403"/>
      <c r="AF39" s="403"/>
      <c r="AG39" s="403"/>
      <c r="AH39" s="169"/>
      <c r="AI39" s="433"/>
      <c r="AJ39" s="433"/>
      <c r="AK39" s="473"/>
      <c r="AL39" s="389"/>
      <c r="AM39" s="405"/>
      <c r="AN39" s="405"/>
      <c r="AO39" s="405"/>
      <c r="AP39" s="169"/>
      <c r="AQ39" s="434"/>
      <c r="AR39" s="434"/>
      <c r="AS39" s="434"/>
      <c r="AT39" s="169"/>
      <c r="AU39" s="407"/>
      <c r="AV39" s="407"/>
      <c r="AW39" s="407"/>
      <c r="AX39" s="169"/>
      <c r="AY39" s="141"/>
      <c r="AZ39" s="141"/>
      <c r="BA39" s="141"/>
      <c r="BB39" s="141"/>
      <c r="BC39" s="141"/>
      <c r="BD39" s="141"/>
      <c r="BE39" s="141"/>
      <c r="BG39" s="436" t="str">
        <f ca="1">Horarios!Q38</f>
        <v>Panamá</v>
      </c>
      <c r="BH39" s="437">
        <f t="shared" ca="1" si="0"/>
        <v>1</v>
      </c>
      <c r="BI39" s="437">
        <f ca="1">COUNTIF(Pool!$C$130:$C$161,Fixture!BG39)-BJ39-BK39-BL39-BM39-BN39-BO39</f>
        <v>0</v>
      </c>
      <c r="BJ39" s="438">
        <f ca="1">COUNTIF(Pool!$C$182:$C$197,Fixture!BG39)-BK39-BL39-BM39-BN39-BO39</f>
        <v>0</v>
      </c>
      <c r="BK39" s="439">
        <f ca="1">COUNTIF(Pool!$C$210:$C$217,Fixture!BG39)-BL39-BM39-BN39-BO39</f>
        <v>0</v>
      </c>
      <c r="BL39" s="439">
        <f ca="1">COUNTIF(Pool!$C$226:$C$229,Fixture!BG39)-BM39-BN39-BO39</f>
        <v>0</v>
      </c>
      <c r="BM39" s="437">
        <f ca="1">COUNTIF(Pool!$C$252,Fixture!BG39)</f>
        <v>0</v>
      </c>
      <c r="BN39" s="437">
        <f ca="1">COUNTIF(Pool!$C$251,Fixture!BG39)</f>
        <v>0</v>
      </c>
      <c r="BO39" s="440">
        <f ca="1">COUNTIF(Pool!$C$250,Fixture!BG39)</f>
        <v>0</v>
      </c>
    </row>
    <row r="40" spans="1:67" ht="15" thickBot="1">
      <c r="A40" s="169">
        <v>56</v>
      </c>
      <c r="B40" s="537"/>
      <c r="C40" s="461" t="str">
        <f ca="1">+MID(INDEX(WORLDCUP!$AA$4:$AA$147,MATCH(A40,WORLDCUP!$AH$4:$AH$147,0)),1,3)</f>
        <v>Ecu</v>
      </c>
      <c r="D40" s="462">
        <f>IF(ISBLANK(INDEX(WORLDCUP!$AC$4:$AC$147,MATCH(A40,WORLDCUP!$AH$4:$AH$147,0))),"",INDEX(WORLDCUP!$AC$4:$AC$147,MATCH(A40,WORLDCUP!$AH$4:$AH$147,0)))</f>
        <v>0</v>
      </c>
      <c r="E40" s="462">
        <f>IF(ISBLANK(INDEX(WORLDCUP!$AD$4:$AD$147,MATCH(A40,WORLDCUP!$AH$4:$AH$147,0))),"",INDEX(WORLDCUP!$AD$4:$AD$147,MATCH(A40,WORLDCUP!$AH$4:$AH$147,0)))</f>
        <v>2</v>
      </c>
      <c r="F40" s="463" t="str">
        <f ca="1">+MID(INDEX(WORLDCUP!$AF$4:$AF$147,MATCH(A40,WORLDCUP!$AH$4:$AH$147,0)),1,3)</f>
        <v>Ale</v>
      </c>
      <c r="G40" s="464"/>
      <c r="H40" s="464"/>
      <c r="I40" s="465"/>
      <c r="J40" s="465"/>
      <c r="K40" s="466"/>
      <c r="L40" s="169"/>
      <c r="M40" s="169">
        <v>72</v>
      </c>
      <c r="N40" s="538"/>
      <c r="O40" s="461" t="str">
        <f ca="1">+MID(INDEX(WORLDCUP!$AA$4:$AA$147,MATCH(M40,WORLDCUP!$AH$4:$AH$147,0)),1,3)</f>
        <v xml:space="preserve">RD </v>
      </c>
      <c r="P40" s="462">
        <f>IF(ISBLANK(INDEX(WORLDCUP!$AC$4:$AC$147,MATCH(M40,WORLDCUP!$AH$4:$AH$147,0))),"",INDEX(WORLDCUP!$AC$4:$AC$147,MATCH(M40,WORLDCUP!$AH$4:$AH$147,0)))</f>
        <v>1</v>
      </c>
      <c r="Q40" s="462">
        <f>IF(ISBLANK(INDEX(WORLDCUP!$AD$4:$AD$147,MATCH(M40,WORLDCUP!$AH$4:$AH$147,0))),"",INDEX(WORLDCUP!$AD$4:$AD$147,MATCH(M40,WORLDCUP!$AH$4:$AH$147,0)))</f>
        <v>0</v>
      </c>
      <c r="R40" s="463" t="str">
        <f ca="1">+MID(INDEX(WORLDCUP!$AF$4:$AF$147,MATCH(M40,WORLDCUP!$AH$4:$AH$147,0)),1,3)</f>
        <v>Uzb</v>
      </c>
      <c r="S40" s="464"/>
      <c r="T40" s="464"/>
      <c r="U40" s="465"/>
      <c r="V40" s="465"/>
      <c r="W40" s="466"/>
      <c r="X40" s="169"/>
      <c r="Y40" s="169">
        <v>86</v>
      </c>
      <c r="Z40" s="399" t="s">
        <v>683</v>
      </c>
      <c r="AA40" s="400" t="str">
        <f ca="1">+MID(INDEX(WORLDCUP!$AF$101:$AF$147,MATCH(Y40,WORLDCUP!$Z$101:$Z$147,0)),1,3)</f>
        <v>Uru</v>
      </c>
      <c r="AB40" s="427">
        <f>+IF(ISBLANK(INDEX(WORLDCUP!$AD$101:$AD$147,MATCH(Y40,WORLDCUP!$Z$101:$Z$147,0))),"",INDEX(WORLDCUP!$AD$101:$AD$147,MATCH(Y40,WORLDCUP!$Z$101:$Z$147,0)))</f>
        <v>1</v>
      </c>
      <c r="AC40" s="428" t="str">
        <f>+IF(ISBLANK(INDEX(WORLDCUP!$AE$101:$AE$147,MATCH(Y40,WORLDCUP!$Z$101:$Z$147,0))),"","( "&amp;INDEX(WORLDCUP!$AE$101:$AE$147,MATCH(Y40,WORLDCUP!$Z$101:$Z$147,0))&amp;" )")</f>
        <v/>
      </c>
      <c r="AD40" s="429">
        <v>95</v>
      </c>
      <c r="AE40" s="430" t="str">
        <f ca="1">+MID(INDEX(WORLDCUP!$AA$101:$AA$147,MATCH(AD40,WORLDCUP!$Z$101:$Z$147,0)),1,3)</f>
        <v>Arg</v>
      </c>
      <c r="AF40" s="431">
        <f>+IF(ISBLANK(INDEX(WORLDCUP!$AC$101:$AC$147,MATCH(AD40,WORLDCUP!$Z$101:$Z$147,0))),"",INDEX(WORLDCUP!$AC$101:$AC$147,MATCH(AD40,WORLDCUP!$Z$101:$Z$147,0)))</f>
        <v>2</v>
      </c>
      <c r="AG40" s="432" t="str">
        <f>+IF(ISBLANK(INDEX(WORLDCUP!$AB$101:$AB$147,MATCH(AD40,WORLDCUP!$Z$101:$Z$147,0))),"","( "&amp;INDEX(WORLDCUP!$AB$101:$AB$147,MATCH(AD40,WORLDCUP!$Z$101:$Z$147,0))&amp;" )")</f>
        <v/>
      </c>
      <c r="AH40" s="169"/>
      <c r="AI40" s="433"/>
      <c r="AJ40" s="433"/>
      <c r="AK40" s="473"/>
      <c r="AL40" s="389"/>
      <c r="AM40" s="405"/>
      <c r="AN40" s="405"/>
      <c r="AO40" s="405"/>
      <c r="AP40" s="169"/>
      <c r="AQ40" s="434"/>
      <c r="AR40" s="434"/>
      <c r="AS40" s="434"/>
      <c r="AT40" s="169"/>
      <c r="AU40" s="407"/>
      <c r="AV40" s="407"/>
      <c r="AW40" s="407"/>
      <c r="AX40" s="169"/>
      <c r="AY40" s="141"/>
      <c r="AZ40" s="141"/>
      <c r="BA40" s="141"/>
      <c r="BB40" s="141"/>
      <c r="BC40" s="141"/>
      <c r="BD40" s="141"/>
      <c r="BE40" s="141"/>
      <c r="BG40" s="436" t="str">
        <f ca="1">Horarios!Q39</f>
        <v>Paraguay</v>
      </c>
      <c r="BH40" s="437">
        <f t="shared" ca="1" si="0"/>
        <v>1</v>
      </c>
      <c r="BI40" s="437">
        <f ca="1">COUNTIF(Pool!$C$130:$C$161,Fixture!BG40)-BJ40-BK40-BL40-BM40-BN40-BO40</f>
        <v>0</v>
      </c>
      <c r="BJ40" s="438">
        <f ca="1">COUNTIF(Pool!$C$182:$C$197,Fixture!BG40)-BK40-BL40-BM40-BN40-BO40</f>
        <v>0</v>
      </c>
      <c r="BK40" s="439">
        <f ca="1">COUNTIF(Pool!$C$210:$C$217,Fixture!BG40)-BL40-BM40-BN40-BO40</f>
        <v>0</v>
      </c>
      <c r="BL40" s="439">
        <f ca="1">COUNTIF(Pool!$C$226:$C$229,Fixture!BG40)-BM40-BN40-BO40</f>
        <v>0</v>
      </c>
      <c r="BM40" s="437">
        <f ca="1">COUNTIF(Pool!$C$252,Fixture!BG40)</f>
        <v>0</v>
      </c>
      <c r="BN40" s="437">
        <f ca="1">COUNTIF(Pool!$C$251,Fixture!BG40)</f>
        <v>0</v>
      </c>
      <c r="BO40" s="440">
        <f ca="1">COUNTIF(Pool!$C$250,Fixture!BG40)</f>
        <v>0</v>
      </c>
    </row>
    <row r="41" spans="1:67">
      <c r="A41" s="169"/>
      <c r="B41" s="385"/>
      <c r="C41" s="470"/>
      <c r="D41" s="471"/>
      <c r="E41" s="471"/>
      <c r="F41" s="141"/>
      <c r="G41" s="141"/>
      <c r="H41" s="470"/>
      <c r="I41" s="141"/>
      <c r="J41" s="141"/>
      <c r="K41" s="141"/>
      <c r="L41" s="169"/>
      <c r="M41" s="169"/>
      <c r="N41" s="139"/>
      <c r="O41" s="470"/>
      <c r="P41" s="471"/>
      <c r="Q41" s="471"/>
      <c r="R41" s="141"/>
      <c r="S41" s="141"/>
      <c r="T41" s="470"/>
      <c r="U41" s="141"/>
      <c r="V41" s="141"/>
      <c r="W41" s="141"/>
      <c r="X41" s="169"/>
      <c r="Y41" s="169"/>
      <c r="Z41" s="399"/>
      <c r="AA41" s="443"/>
      <c r="AB41" s="443"/>
      <c r="AC41" s="444"/>
      <c r="AD41" s="169">
        <v>95</v>
      </c>
      <c r="AE41" s="430" t="str">
        <f ca="1">+MID(INDEX(WORLDCUP!$AF$101:$AF$147,MATCH(AD41,WORLDCUP!$Z$101:$Z$147,0)),1,3)</f>
        <v>Est</v>
      </c>
      <c r="AF41" s="431">
        <f>+IF(ISBLANK(INDEX(WORLDCUP!$AD$101:$AD$147,MATCH(AD41,WORLDCUP!$Z$101:$Z$147,0))),"",INDEX(WORLDCUP!$AD$101:$AD$147,MATCH(AD41,WORLDCUP!$Z$101:$Z$147,0)))</f>
        <v>0</v>
      </c>
      <c r="AG41" s="489" t="str">
        <f>+IF(ISBLANK(INDEX(WORLDCUP!$AE$101:$AE$147,MATCH(AD41,WORLDCUP!$Z$101:$Z$147,0))),"","( "&amp;INDEX(WORLDCUP!$AE$101:$AE$147,MATCH(AD41,WORLDCUP!$Z$101:$Z$147,0))&amp;" )")</f>
        <v/>
      </c>
      <c r="AH41" s="169"/>
      <c r="AI41" s="433"/>
      <c r="AJ41" s="433"/>
      <c r="AK41" s="473"/>
      <c r="AL41" s="389"/>
      <c r="AM41" s="405"/>
      <c r="AN41" s="405"/>
      <c r="AO41" s="405"/>
      <c r="AP41" s="169"/>
      <c r="AQ41" s="434"/>
      <c r="AR41" s="434"/>
      <c r="AS41" s="434"/>
      <c r="AT41" s="169"/>
      <c r="AU41" s="407"/>
      <c r="AV41" s="407"/>
      <c r="AW41" s="407"/>
      <c r="AX41" s="169"/>
      <c r="AY41" s="141"/>
      <c r="AZ41" s="141"/>
      <c r="BA41" s="141"/>
      <c r="BB41" s="141"/>
      <c r="BC41" s="141"/>
      <c r="BD41" s="141"/>
      <c r="BE41" s="141"/>
      <c r="BG41" s="436" t="str">
        <f ca="1">Horarios!Q40</f>
        <v>Portugal</v>
      </c>
      <c r="BH41" s="437">
        <f t="shared" ca="1" si="0"/>
        <v>0</v>
      </c>
      <c r="BI41" s="437">
        <f ca="1">COUNTIF(Pool!$C$130:$C$161,Fixture!BG41)-BJ41-BK41-BL41-BM41-BN41-BO41</f>
        <v>0</v>
      </c>
      <c r="BJ41" s="438">
        <f ca="1">COUNTIF(Pool!$C$182:$C$197,Fixture!BG41)-BK41-BL41-BM41-BN41-BO41</f>
        <v>0</v>
      </c>
      <c r="BK41" s="439">
        <f ca="1">COUNTIF(Pool!$C$210:$C$217,Fixture!BG41)-BL41-BM41-BN41-BO41</f>
        <v>0</v>
      </c>
      <c r="BL41" s="439">
        <f ca="1">COUNTIF(Pool!$C$226:$C$229,Fixture!BG41)-BM41-BN41-BO41</f>
        <v>0</v>
      </c>
      <c r="BM41" s="437">
        <f ca="1">COUNTIF(Pool!$C$252,Fixture!BG41)</f>
        <v>0</v>
      </c>
      <c r="BN41" s="437">
        <f ca="1">COUNTIF(Pool!$C$251,Fixture!BG41)</f>
        <v>1</v>
      </c>
      <c r="BO41" s="440">
        <f ca="1">COUNTIF(Pool!$C$250,Fixture!BG41)</f>
        <v>0</v>
      </c>
    </row>
    <row r="42" spans="1:67" ht="15" thickBot="1">
      <c r="A42" s="169"/>
      <c r="B42" s="385"/>
      <c r="C42" s="470"/>
      <c r="D42" s="471"/>
      <c r="E42" s="471"/>
      <c r="F42" s="141"/>
      <c r="G42" s="141"/>
      <c r="H42" s="470"/>
      <c r="I42" s="141"/>
      <c r="J42" s="141"/>
      <c r="K42" s="141"/>
      <c r="L42" s="169"/>
      <c r="M42" s="169"/>
      <c r="N42" s="139"/>
      <c r="O42" s="470"/>
      <c r="P42" s="471"/>
      <c r="Q42" s="471"/>
      <c r="R42" s="141"/>
      <c r="S42" s="141"/>
      <c r="T42" s="470"/>
      <c r="U42" s="141"/>
      <c r="V42" s="141"/>
      <c r="W42" s="141"/>
      <c r="X42" s="169"/>
      <c r="Y42" s="169">
        <v>88</v>
      </c>
      <c r="Z42" s="399" t="s">
        <v>671</v>
      </c>
      <c r="AA42" s="400" t="str">
        <f ca="1">+MID(INDEX(WORLDCUP!$AA$101:$AA$147,MATCH(Y42,WORLDCUP!$Z$101:$Z$147,0)),1,3)</f>
        <v>Est</v>
      </c>
      <c r="AB42" s="446">
        <f>+IF(ISBLANK(INDEX(WORLDCUP!$AC$101:$AC$147,MATCH(Y42,WORLDCUP!$Z$101:$Z$147,0))),"",INDEX(WORLDCUP!$AC$101:$AC$147,MATCH(Y42,WORLDCUP!$Z$101:$Z$147,0)))</f>
        <v>1</v>
      </c>
      <c r="AC42" s="480" t="str">
        <f>+IF(ISBLANK(INDEX(WORLDCUP!$AB$101:$AB$147,MATCH(Y42,WORLDCUP!$Z$101:$Z$147,0))),"","( "&amp;INDEX(WORLDCUP!$AB$101:$AB$147,MATCH(Y42,WORLDCUP!$Z$101:$Z$147,0))&amp;" )")</f>
        <v/>
      </c>
      <c r="AD42" s="169"/>
      <c r="AE42" s="448"/>
      <c r="AF42" s="448"/>
      <c r="AG42" s="449"/>
      <c r="AH42" s="169"/>
      <c r="AI42" s="433"/>
      <c r="AJ42" s="433"/>
      <c r="AK42" s="473"/>
      <c r="AL42" s="389"/>
      <c r="AM42" s="405"/>
      <c r="AN42" s="405"/>
      <c r="AO42" s="405"/>
      <c r="AP42" s="169"/>
      <c r="AQ42" s="434"/>
      <c r="AR42" s="434"/>
      <c r="AS42" s="434"/>
      <c r="AT42" s="169"/>
      <c r="AU42" s="407"/>
      <c r="AV42" s="407"/>
      <c r="AW42" s="407"/>
      <c r="AX42" s="169"/>
      <c r="AY42" s="141"/>
      <c r="AZ42" s="141"/>
      <c r="BA42" s="141"/>
      <c r="BB42" s="141"/>
      <c r="BC42" s="141"/>
      <c r="BD42" s="141"/>
      <c r="BE42" s="141"/>
      <c r="BG42" s="436" t="str">
        <f ca="1">Horarios!Q41</f>
        <v>RD Congo</v>
      </c>
      <c r="BH42" s="437">
        <f t="shared" ca="1" si="0"/>
        <v>0</v>
      </c>
      <c r="BI42" s="437">
        <f ca="1">COUNTIF(Pool!$C$130:$C$161,Fixture!BG42)-BJ42-BK42-BL42-BM42-BN42-BO42</f>
        <v>1</v>
      </c>
      <c r="BJ42" s="438">
        <f ca="1">COUNTIF(Pool!$C$182:$C$197,Fixture!BG42)-BK42-BL42-BM42-BN42-BO42</f>
        <v>0</v>
      </c>
      <c r="BK42" s="439">
        <f ca="1">COUNTIF(Pool!$C$210:$C$217,Fixture!BG42)-BL42-BM42-BN42-BO42</f>
        <v>0</v>
      </c>
      <c r="BL42" s="439">
        <f ca="1">COUNTIF(Pool!$C$226:$C$229,Fixture!BG42)-BM42-BN42-BO42</f>
        <v>0</v>
      </c>
      <c r="BM42" s="437">
        <f ca="1">COUNTIF(Pool!$C$252,Fixture!BG42)</f>
        <v>0</v>
      </c>
      <c r="BN42" s="437">
        <f ca="1">COUNTIF(Pool!$C$251,Fixture!BG42)</f>
        <v>0</v>
      </c>
      <c r="BO42" s="440">
        <f ca="1">COUNTIF(Pool!$C$250,Fixture!BG42)</f>
        <v>0</v>
      </c>
    </row>
    <row r="43" spans="1:67" ht="15" thickBot="1">
      <c r="A43" s="169">
        <v>11</v>
      </c>
      <c r="B43" s="539" t="s">
        <v>4</v>
      </c>
      <c r="C43" s="391" t="str">
        <f ca="1">+MID(INDEX(WORLDCUP!$AA$4:$AA$147,MATCH(A43,WORLDCUP!$AH$4:$AH$147,0)),1,3)</f>
        <v>Paí</v>
      </c>
      <c r="D43" s="392">
        <f>IF(ISBLANK(INDEX(WORLDCUP!$AC$4:$AC$147,MATCH(A43,WORLDCUP!$AH$4:$AH$147,0))),"",INDEX(WORLDCUP!$AC$4:$AC$147,MATCH(A43,WORLDCUP!$AH$4:$AH$147,0)))</f>
        <v>2</v>
      </c>
      <c r="E43" s="392">
        <f>IF(ISBLANK(INDEX(WORLDCUP!$AD$4:$AD$147,MATCH(A43,WORLDCUP!$AH$4:$AH$147,0))),"",INDEX(WORLDCUP!$AD$4:$AD$147,MATCH(A43,WORLDCUP!$AH$4:$AH$147,0)))</f>
        <v>3</v>
      </c>
      <c r="F43" s="393" t="str">
        <f ca="1">+MID(INDEX(WORLDCUP!$AF$4:$AF$147,MATCH(A43,WORLDCUP!$AH$4:$AH$147,0)),1,3)</f>
        <v>Jap</v>
      </c>
      <c r="G43" s="394"/>
      <c r="H43" s="395" t="str">
        <f>+H35</f>
        <v>Sel</v>
      </c>
      <c r="I43" s="396" t="str">
        <f>+I35</f>
        <v>Pts</v>
      </c>
      <c r="J43" s="396" t="str">
        <f>+J35</f>
        <v>DG</v>
      </c>
      <c r="K43" s="397" t="str">
        <f>+K35</f>
        <v>GF-GC</v>
      </c>
      <c r="L43" s="169"/>
      <c r="M43" s="169">
        <v>22</v>
      </c>
      <c r="N43" s="540" t="s">
        <v>247</v>
      </c>
      <c r="O43" s="391" t="str">
        <f ca="1">+MID(INDEX(WORLDCUP!$AA$4:$AA$147,MATCH(M43,WORLDCUP!$AH$4:$AH$147,0)),1,3)</f>
        <v>Ing</v>
      </c>
      <c r="P43" s="392">
        <f>IF(ISBLANK(INDEX(WORLDCUP!$AC$4:$AC$147,MATCH(M43,WORLDCUP!$AH$4:$AH$147,0))),"",INDEX(WORLDCUP!$AC$4:$AC$147,MATCH(M43,WORLDCUP!$AH$4:$AH$147,0)))</f>
        <v>1</v>
      </c>
      <c r="Q43" s="392">
        <f>IF(ISBLANK(INDEX(WORLDCUP!$AD$4:$AD$147,MATCH(M43,WORLDCUP!$AH$4:$AH$147,0))),"",INDEX(WORLDCUP!$AD$4:$AD$147,MATCH(M43,WORLDCUP!$AH$4:$AH$147,0)))</f>
        <v>1</v>
      </c>
      <c r="R43" s="393" t="str">
        <f ca="1">+MID(INDEX(WORLDCUP!$AF$4:$AF$147,MATCH(M43,WORLDCUP!$AH$4:$AH$147,0)),1,3)</f>
        <v>Cro</v>
      </c>
      <c r="S43" s="394"/>
      <c r="T43" s="395" t="str">
        <f>+T35</f>
        <v>Sel</v>
      </c>
      <c r="U43" s="396" t="str">
        <f>+U35</f>
        <v>Pts</v>
      </c>
      <c r="V43" s="396" t="str">
        <f>+V35</f>
        <v>DG</v>
      </c>
      <c r="W43" s="397" t="str">
        <f>+W35</f>
        <v>GF-GC</v>
      </c>
      <c r="X43" s="169"/>
      <c r="Y43" s="169">
        <v>88</v>
      </c>
      <c r="Z43" s="399" t="s">
        <v>680</v>
      </c>
      <c r="AA43" s="454" t="str">
        <f ca="1">+MID(INDEX(WORLDCUP!$AF$101:$AF$147,MATCH(Y43,WORLDCUP!$Z$101:$Z$147,0)),1,3)</f>
        <v>Irá</v>
      </c>
      <c r="AB43" s="455">
        <f>+IF(ISBLANK(INDEX(WORLDCUP!$AD$101:$AD$147,MATCH(Y43,WORLDCUP!$Z$101:$Z$147,0))),"",INDEX(WORLDCUP!$AD$101:$AD$147,MATCH(Y43,WORLDCUP!$Z$101:$Z$147,0)))</f>
        <v>0</v>
      </c>
      <c r="AC43" s="481" t="str">
        <f>+IF(ISBLANK(INDEX(WORLDCUP!$AE$101:$AE$147,MATCH(Y43,WORLDCUP!$Z$101:$Z$147,0))),"","( "&amp;INDEX(WORLDCUP!$AE$101:$AE$147,MATCH(Y43,WORLDCUP!$Z$101:$Z$147,0))&amp;" )")</f>
        <v/>
      </c>
      <c r="AD43" s="169"/>
      <c r="AE43" s="448"/>
      <c r="AF43" s="448"/>
      <c r="AG43" s="449"/>
      <c r="AH43" s="474">
        <v>100</v>
      </c>
      <c r="AI43" s="457" t="str">
        <f ca="1">+MID(INDEX(WORLDCUP!$AA$101:$AA$147,MATCH(AH43,WORLDCUP!$Z$101:$Z$147,0)),1,3)</f>
        <v>Arg</v>
      </c>
      <c r="AJ43" s="458">
        <f>+IF(ISBLANK(INDEX(WORLDCUP!$AC$101:$AC$147,MATCH(AH43,WORLDCUP!$Z$101:$Z$147,0))),"",INDEX(WORLDCUP!$AC$101:$AC$147,MATCH(AH43,WORLDCUP!$Z$101:$Z$147,0)))</f>
        <v>1</v>
      </c>
      <c r="AK43" s="494" t="str">
        <f>+IF(ISBLANK(INDEX(WORLDCUP!$AB$101:$AB$147,MATCH(AH43,WORLDCUP!$Z$101:$Z$147,0))),"","( "&amp;INDEX(WORLDCUP!$AB$101:$AB$147,MATCH(AH43,WORLDCUP!$Z$101:$Z$147,0))&amp;" )")</f>
        <v/>
      </c>
      <c r="AL43" s="389"/>
      <c r="AM43" s="405"/>
      <c r="AN43" s="405"/>
      <c r="AO43" s="405"/>
      <c r="AP43" s="169"/>
      <c r="AQ43" s="434"/>
      <c r="AR43" s="434"/>
      <c r="AS43" s="434"/>
      <c r="AT43" s="169"/>
      <c r="AU43" s="407"/>
      <c r="AV43" s="407"/>
      <c r="AW43" s="407"/>
      <c r="AX43" s="169"/>
      <c r="AY43" s="141"/>
      <c r="AZ43" s="141"/>
      <c r="BA43" s="141"/>
      <c r="BB43" s="141"/>
      <c r="BC43" s="141"/>
      <c r="BD43" s="141"/>
      <c r="BE43" s="141"/>
      <c r="BG43" s="436" t="str">
        <f ca="1">Horarios!Q42</f>
        <v>República Checa</v>
      </c>
      <c r="BH43" s="437">
        <f t="shared" ca="1" si="0"/>
        <v>0</v>
      </c>
      <c r="BI43" s="437">
        <f ca="1">COUNTIF(Pool!$C$130:$C$161,Fixture!BG43)-BJ43-BK43-BL43-BM43-BN43-BO43</f>
        <v>1</v>
      </c>
      <c r="BJ43" s="438">
        <f ca="1">COUNTIF(Pool!$C$182:$C$197,Fixture!BG43)-BK43-BL43-BM43-BN43-BO43</f>
        <v>0</v>
      </c>
      <c r="BK43" s="439">
        <f ca="1">COUNTIF(Pool!$C$210:$C$217,Fixture!BG43)-BL43-BM43-BN43-BO43</f>
        <v>0</v>
      </c>
      <c r="BL43" s="439">
        <f ca="1">COUNTIF(Pool!$C$226:$C$229,Fixture!BG43)-BM43-BN43-BO43</f>
        <v>0</v>
      </c>
      <c r="BM43" s="437">
        <f ca="1">COUNTIF(Pool!$C$252,Fixture!BG43)</f>
        <v>0</v>
      </c>
      <c r="BN43" s="437">
        <f ca="1">COUNTIF(Pool!$C$251,Fixture!BG43)</f>
        <v>0</v>
      </c>
      <c r="BO43" s="440">
        <f ca="1">COUNTIF(Pool!$C$250,Fixture!BG43)</f>
        <v>0</v>
      </c>
    </row>
    <row r="44" spans="1:67">
      <c r="A44" s="169">
        <v>12</v>
      </c>
      <c r="B44" s="541"/>
      <c r="C44" s="418" t="str">
        <f ca="1">+MID(INDEX(WORLDCUP!$AA$4:$AA$147,MATCH(A44,WORLDCUP!$AH$4:$AH$147,0)),1,3)</f>
        <v>Sue</v>
      </c>
      <c r="D44" s="419">
        <f>IF(ISBLANK(INDEX(WORLDCUP!$AC$4:$AC$147,MATCH(A44,WORLDCUP!$AH$4:$AH$147,0))),"",INDEX(WORLDCUP!$AC$4:$AC$147,MATCH(A44,WORLDCUP!$AH$4:$AH$147,0)))</f>
        <v>1</v>
      </c>
      <c r="E44" s="419">
        <f>IF(ISBLANK(INDEX(WORLDCUP!$AD$4:$AD$147,MATCH(A44,WORLDCUP!$AH$4:$AH$147,0))),"",INDEX(WORLDCUP!$AD$4:$AD$147,MATCH(A44,WORLDCUP!$AH$4:$AH$147,0)))</f>
        <v>1</v>
      </c>
      <c r="F44" s="420" t="str">
        <f ca="1">+MID(INDEX(WORLDCUP!$AF$4:$AF$147,MATCH(A44,WORLDCUP!$AH$4:$AH$147,0)),1,3)</f>
        <v>Tún</v>
      </c>
      <c r="G44" s="421">
        <v>1</v>
      </c>
      <c r="H44" s="422" t="str">
        <f ca="1">+MID(INDEX(WORLDCUP!$AL$6:$AL$97,MATCH(L44,WORLDCUP!$AI$6:$AI$97,0)),1,3)</f>
        <v>Jap</v>
      </c>
      <c r="I44" s="423">
        <f ca="1">+INDEX(WORLDCUP!$AM$6:$AM$97,MATCH(L44,WORLDCUP!$AI$6:$AI$97,0))</f>
        <v>9</v>
      </c>
      <c r="J44" s="424">
        <f ca="1">+INDEX(WORLDCUP!$AT$6:$AT$97,MATCH(L44,WORLDCUP!$AI$6:$AI$97,0))</f>
        <v>4</v>
      </c>
      <c r="K44" s="425" t="str">
        <f ca="1">+INDEX(WORLDCUP!$AR$6:$AR$97,MATCH(L44,WORLDCUP!$AI$6:$AI$97,0))&amp;"-"&amp;INDEX(WORLDCUP!$AS$6:$AS$97,MATCH(L44,WORLDCUP!$AI$6:$AI$97,0))</f>
        <v>7-3</v>
      </c>
      <c r="L44" s="169" t="s">
        <v>676</v>
      </c>
      <c r="M44" s="169">
        <v>21</v>
      </c>
      <c r="N44" s="542"/>
      <c r="O44" s="418" t="str">
        <f ca="1">+MID(INDEX(WORLDCUP!$AA$4:$AA$147,MATCH(M44,WORLDCUP!$AH$4:$AH$147,0)),1,3)</f>
        <v>Gha</v>
      </c>
      <c r="P44" s="419">
        <f>IF(ISBLANK(INDEX(WORLDCUP!$AC$4:$AC$147,MATCH(M44,WORLDCUP!$AH$4:$AH$147,0))),"",INDEX(WORLDCUP!$AC$4:$AC$147,MATCH(M44,WORLDCUP!$AH$4:$AH$147,0)))</f>
        <v>1</v>
      </c>
      <c r="Q44" s="419">
        <f>IF(ISBLANK(INDEX(WORLDCUP!$AD$4:$AD$147,MATCH(M44,WORLDCUP!$AH$4:$AH$147,0))),"",INDEX(WORLDCUP!$AD$4:$AD$147,MATCH(M44,WORLDCUP!$AH$4:$AH$147,0)))</f>
        <v>1</v>
      </c>
      <c r="R44" s="420" t="str">
        <f ca="1">+MID(INDEX(WORLDCUP!$AF$4:$AF$147,MATCH(M44,WORLDCUP!$AH$4:$AH$147,0)),1,3)</f>
        <v>Pan</v>
      </c>
      <c r="S44" s="421">
        <v>1</v>
      </c>
      <c r="T44" s="422" t="str">
        <f ca="1">+MID(INDEX(WORLDCUP!$AL$6:$AL$97,MATCH(X44,WORLDCUP!$AI$6:$AI$97,0)),1,3)</f>
        <v>Ing</v>
      </c>
      <c r="U44" s="423">
        <f ca="1">+INDEX(WORLDCUP!$AM$6:$AM$97,MATCH(X44,WORLDCUP!$AI$6:$AI$97,0))</f>
        <v>7</v>
      </c>
      <c r="V44" s="424">
        <f ca="1">+INDEX(WORLDCUP!$AT$6:$AT$97,MATCH(X44,WORLDCUP!$AI$6:$AI$97,0))</f>
        <v>4</v>
      </c>
      <c r="W44" s="425" t="str">
        <f ca="1">+INDEX(WORLDCUP!$AR$6:$AR$97,MATCH(X44,WORLDCUP!$AI$6:$AI$97,0))&amp;"-"&amp;INDEX(WORLDCUP!$AS$6:$AS$97,MATCH(X44,WORLDCUP!$AI$6:$AI$97,0))</f>
        <v>6-2</v>
      </c>
      <c r="X44" s="169" t="s">
        <v>694</v>
      </c>
      <c r="Y44" s="169"/>
      <c r="Z44" s="399"/>
      <c r="AA44" s="468"/>
      <c r="AB44" s="468"/>
      <c r="AC44" s="468"/>
      <c r="AD44" s="169"/>
      <c r="AE44" s="403"/>
      <c r="AF44" s="403"/>
      <c r="AG44" s="449"/>
      <c r="AH44" s="169">
        <v>100</v>
      </c>
      <c r="AI44" s="457" t="str">
        <f ca="1">+MID(INDEX(WORLDCUP!$AF$101:$AF$147,MATCH(AH44,WORLDCUP!$Z$101:$Z$147,0)),1,3)</f>
        <v>Por</v>
      </c>
      <c r="AJ44" s="458">
        <f>+IF(ISBLANK(INDEX(WORLDCUP!$AD$101:$AD$147,MATCH(AH44,WORLDCUP!$Z$101:$Z$147,0))),"",INDEX(WORLDCUP!$AD$101:$AD$147,MATCH(AH44,WORLDCUP!$Z$101:$Z$147,0)))</f>
        <v>2</v>
      </c>
      <c r="AK44" s="433" t="str">
        <f>+IF(ISBLANK(INDEX(WORLDCUP!$AE$101:$AE$147,MATCH(AH44,WORLDCUP!$Z$101:$Z$147,0))),"","( "&amp;INDEX(WORLDCUP!$AE$101:$AE$147,MATCH(AH44,WORLDCUP!$Z$101:$Z$147,0))&amp;" )")</f>
        <v/>
      </c>
      <c r="AL44" s="389"/>
      <c r="AM44" s="405"/>
      <c r="AN44" s="405"/>
      <c r="AO44" s="405"/>
      <c r="AP44" s="169"/>
      <c r="AQ44" s="434"/>
      <c r="AR44" s="434"/>
      <c r="AS44" s="434"/>
      <c r="AT44" s="169"/>
      <c r="AU44" s="407"/>
      <c r="AV44" s="407"/>
      <c r="AW44" s="407"/>
      <c r="AX44" s="169"/>
      <c r="AY44" s="141"/>
      <c r="AZ44" s="141"/>
      <c r="BA44" s="141"/>
      <c r="BB44" s="141"/>
      <c r="BC44" s="141"/>
      <c r="BD44" s="141"/>
      <c r="BE44" s="141"/>
      <c r="BG44" s="436" t="str">
        <f ca="1">Horarios!Q43</f>
        <v>Senegal</v>
      </c>
      <c r="BH44" s="437">
        <f t="shared" ca="1" si="0"/>
        <v>0</v>
      </c>
      <c r="BI44" s="437">
        <f ca="1">COUNTIF(Pool!$C$130:$C$161,Fixture!BG44)-BJ44-BK44-BL44-BM44-BN44-BO44</f>
        <v>0</v>
      </c>
      <c r="BJ44" s="438">
        <f ca="1">COUNTIF(Pool!$C$182:$C$197,Fixture!BG44)-BK44-BL44-BM44-BN44-BO44</f>
        <v>0</v>
      </c>
      <c r="BK44" s="439">
        <f ca="1">COUNTIF(Pool!$C$210:$C$217,Fixture!BG44)-BL44-BM44-BN44-BO44</f>
        <v>1</v>
      </c>
      <c r="BL44" s="439">
        <f ca="1">COUNTIF(Pool!$C$226:$C$229,Fixture!BG44)-BM44-BN44-BO44</f>
        <v>0</v>
      </c>
      <c r="BM44" s="437">
        <f ca="1">COUNTIF(Pool!$C$252,Fixture!BG44)</f>
        <v>0</v>
      </c>
      <c r="BN44" s="437">
        <f ca="1">COUNTIF(Pool!$C$251,Fixture!BG44)</f>
        <v>0</v>
      </c>
      <c r="BO44" s="440">
        <f ca="1">COUNTIF(Pool!$C$250,Fixture!BG44)</f>
        <v>0</v>
      </c>
    </row>
    <row r="45" spans="1:67" ht="15" thickBot="1">
      <c r="A45" s="169">
        <v>35</v>
      </c>
      <c r="B45" s="541"/>
      <c r="C45" s="418" t="str">
        <f ca="1">+MID(INDEX(WORLDCUP!$AA$4:$AA$147,MATCH(A45,WORLDCUP!$AH$4:$AH$147,0)),1,3)</f>
        <v>Paí</v>
      </c>
      <c r="D45" s="419">
        <f>IF(ISBLANK(INDEX(WORLDCUP!$AC$4:$AC$147,MATCH(A45,WORLDCUP!$AH$4:$AH$147,0))),"",INDEX(WORLDCUP!$AC$4:$AC$147,MATCH(A45,WORLDCUP!$AH$4:$AH$147,0)))</f>
        <v>1</v>
      </c>
      <c r="E45" s="419">
        <f>IF(ISBLANK(INDEX(WORLDCUP!$AD$4:$AD$147,MATCH(A45,WORLDCUP!$AH$4:$AH$147,0))),"",INDEX(WORLDCUP!$AD$4:$AD$147,MATCH(A45,WORLDCUP!$AH$4:$AH$147,0)))</f>
        <v>1</v>
      </c>
      <c r="F45" s="420" t="str">
        <f ca="1">+MID(INDEX(WORLDCUP!$AF$4:$AF$147,MATCH(A45,WORLDCUP!$AH$4:$AH$147,0)),1,3)</f>
        <v>Sue</v>
      </c>
      <c r="G45" s="441">
        <v>2</v>
      </c>
      <c r="H45" s="442" t="str">
        <f ca="1">+MID(INDEX(WORLDCUP!$AL$6:$AL$97,MATCH(L45,WORLDCUP!$AI$6:$AI$97,0)),1,3)</f>
        <v>Paí</v>
      </c>
      <c r="I45" s="38">
        <f ca="1">+INDEX(WORLDCUP!$AM$6:$AM$97,MATCH(L45,WORLDCUP!$AI$6:$AI$97,0))</f>
        <v>4</v>
      </c>
      <c r="J45" s="39">
        <f ca="1">+INDEX(WORLDCUP!$AT$6:$AT$97,MATCH(L45,WORLDCUP!$AI$6:$AI$97,0))</f>
        <v>1</v>
      </c>
      <c r="K45" s="43" t="str">
        <f ca="1">+INDEX(WORLDCUP!$AR$6:$AR$97,MATCH(L45,WORLDCUP!$AI$6:$AI$97,0))&amp;"-"&amp;INDEX(WORLDCUP!$AS$6:$AS$97,MATCH(L45,WORLDCUP!$AI$6:$AI$97,0))</f>
        <v>5-4</v>
      </c>
      <c r="L45" s="169" t="s">
        <v>677</v>
      </c>
      <c r="M45" s="169">
        <v>45</v>
      </c>
      <c r="N45" s="542"/>
      <c r="O45" s="418" t="str">
        <f ca="1">+MID(INDEX(WORLDCUP!$AA$4:$AA$147,MATCH(M45,WORLDCUP!$AH$4:$AH$147,0)),1,3)</f>
        <v>Ing</v>
      </c>
      <c r="P45" s="419">
        <f>IF(ISBLANK(INDEX(WORLDCUP!$AC$4:$AC$147,MATCH(M45,WORLDCUP!$AH$4:$AH$147,0))),"",INDEX(WORLDCUP!$AC$4:$AC$147,MATCH(M45,WORLDCUP!$AH$4:$AH$147,0)))</f>
        <v>3</v>
      </c>
      <c r="Q45" s="419">
        <f>IF(ISBLANK(INDEX(WORLDCUP!$AD$4:$AD$147,MATCH(M45,WORLDCUP!$AH$4:$AH$147,0))),"",INDEX(WORLDCUP!$AD$4:$AD$147,MATCH(M45,WORLDCUP!$AH$4:$AH$147,0)))</f>
        <v>1</v>
      </c>
      <c r="R45" s="420" t="str">
        <f ca="1">+MID(INDEX(WORLDCUP!$AF$4:$AF$147,MATCH(M45,WORLDCUP!$AH$4:$AH$147,0)),1,3)</f>
        <v>Gha</v>
      </c>
      <c r="S45" s="441">
        <v>2</v>
      </c>
      <c r="T45" s="442" t="str">
        <f ca="1">+MID(INDEX(WORLDCUP!$AL$6:$AL$97,MATCH(X45,WORLDCUP!$AI$6:$AI$97,0)),1,3)</f>
        <v>Cro</v>
      </c>
      <c r="U45" s="38">
        <f ca="1">+INDEX(WORLDCUP!$AM$6:$AM$97,MATCH(X45,WORLDCUP!$AI$6:$AI$97,0))</f>
        <v>7</v>
      </c>
      <c r="V45" s="39">
        <f ca="1">+INDEX(WORLDCUP!$AT$6:$AT$97,MATCH(X45,WORLDCUP!$AI$6:$AI$97,0))</f>
        <v>3</v>
      </c>
      <c r="W45" s="43" t="str">
        <f ca="1">+INDEX(WORLDCUP!$AR$6:$AR$97,MATCH(X45,WORLDCUP!$AI$6:$AI$97,0))&amp;"-"&amp;INDEX(WORLDCUP!$AS$6:$AS$97,MATCH(X45,WORLDCUP!$AI$6:$AI$97,0))</f>
        <v>5-2</v>
      </c>
      <c r="X45" s="169" t="s">
        <v>695</v>
      </c>
      <c r="Y45" s="169">
        <v>85</v>
      </c>
      <c r="Z45" s="399" t="s">
        <v>660</v>
      </c>
      <c r="AA45" s="400" t="str">
        <f ca="1">+MID(INDEX(WORLDCUP!$AA$101:$AA$147,MATCH(Y45,WORLDCUP!$Z$101:$Z$147,0)),1,3)</f>
        <v>Sui</v>
      </c>
      <c r="AB45" s="401">
        <f>+IF(ISBLANK(INDEX(WORLDCUP!$AC$101:$AC$147,MATCH(Y45,WORLDCUP!$Z$101:$Z$147,0))),"",INDEX(WORLDCUP!$AC$101:$AC$147,MATCH(Y45,WORLDCUP!$Z$101:$Z$147,0)))</f>
        <v>1</v>
      </c>
      <c r="AC45" s="472" t="str">
        <f>+IF(ISBLANK(INDEX(WORLDCUP!$AB$101:$AB$147,MATCH(Y45,WORLDCUP!$Z$101:$Z$147,0))),"","( "&amp;INDEX(WORLDCUP!$AB$101:$AB$147,MATCH(Y45,WORLDCUP!$Z$101:$Z$147,0))&amp;" )")</f>
        <v/>
      </c>
      <c r="AD45" s="167"/>
      <c r="AE45" s="403"/>
      <c r="AF45" s="403"/>
      <c r="AG45" s="449"/>
      <c r="AH45" s="169"/>
      <c r="AI45" s="433"/>
      <c r="AJ45" s="433"/>
      <c r="AK45" s="433"/>
      <c r="AL45" s="389"/>
      <c r="AM45" s="405"/>
      <c r="AN45" s="405"/>
      <c r="AO45" s="405"/>
      <c r="AP45" s="169"/>
      <c r="AQ45" s="434"/>
      <c r="AR45" s="434"/>
      <c r="AS45" s="434"/>
      <c r="AT45" s="169"/>
      <c r="AU45" s="407"/>
      <c r="AV45" s="407"/>
      <c r="AW45" s="407"/>
      <c r="AX45" s="169"/>
      <c r="AY45" s="141"/>
      <c r="AZ45" s="141"/>
      <c r="BA45" s="141"/>
      <c r="BB45" s="141"/>
      <c r="BC45" s="141"/>
      <c r="BD45" s="141"/>
      <c r="BE45" s="141"/>
      <c r="BG45" s="436" t="str">
        <f ca="1">Horarios!Q44</f>
        <v>Sudáfrica</v>
      </c>
      <c r="BH45" s="437">
        <f t="shared" ca="1" si="0"/>
        <v>1</v>
      </c>
      <c r="BI45" s="437">
        <f ca="1">COUNTIF(Pool!$C$130:$C$161,Fixture!BG45)-BJ45-BK45-BL45-BM45-BN45-BO45</f>
        <v>0</v>
      </c>
      <c r="BJ45" s="438">
        <f ca="1">COUNTIF(Pool!$C$182:$C$197,Fixture!BG45)-BK45-BL45-BM45-BN45-BO45</f>
        <v>0</v>
      </c>
      <c r="BK45" s="439">
        <f ca="1">COUNTIF(Pool!$C$210:$C$217,Fixture!BG45)-BL45-BM45-BN45-BO45</f>
        <v>0</v>
      </c>
      <c r="BL45" s="439">
        <f ca="1">COUNTIF(Pool!$C$226:$C$229,Fixture!BG45)-BM45-BN45-BO45</f>
        <v>0</v>
      </c>
      <c r="BM45" s="437">
        <f ca="1">COUNTIF(Pool!$C$252,Fixture!BG45)</f>
        <v>0</v>
      </c>
      <c r="BN45" s="437">
        <f ca="1">COUNTIF(Pool!$C$251,Fixture!BG45)</f>
        <v>0</v>
      </c>
      <c r="BO45" s="440">
        <f ca="1">COUNTIF(Pool!$C$250,Fixture!BG45)</f>
        <v>0</v>
      </c>
    </row>
    <row r="46" spans="1:67" ht="15" thickBot="1">
      <c r="A46" s="169">
        <v>36</v>
      </c>
      <c r="B46" s="541"/>
      <c r="C46" s="418" t="str">
        <f ca="1">+MID(INDEX(WORLDCUP!$AA$4:$AA$147,MATCH(A46,WORLDCUP!$AH$4:$AH$147,0)),1,3)</f>
        <v>Tún</v>
      </c>
      <c r="D46" s="419">
        <f>IF(ISBLANK(INDEX(WORLDCUP!$AC$4:$AC$147,MATCH(A46,WORLDCUP!$AH$4:$AH$147,0))),"",INDEX(WORLDCUP!$AC$4:$AC$147,MATCH(A46,WORLDCUP!$AH$4:$AH$147,0)))</f>
        <v>0</v>
      </c>
      <c r="E46" s="419">
        <f>IF(ISBLANK(INDEX(WORLDCUP!$AD$4:$AD$147,MATCH(A46,WORLDCUP!$AH$4:$AH$147,0))),"",INDEX(WORLDCUP!$AD$4:$AD$147,MATCH(A46,WORLDCUP!$AH$4:$AH$147,0)))</f>
        <v>2</v>
      </c>
      <c r="F46" s="420" t="str">
        <f ca="1">+MID(INDEX(WORLDCUP!$AF$4:$AF$147,MATCH(A46,WORLDCUP!$AH$4:$AH$147,0)),1,3)</f>
        <v>Jap</v>
      </c>
      <c r="G46" s="441">
        <v>3</v>
      </c>
      <c r="H46" s="442" t="str">
        <f ca="1">+MID(INDEX(WORLDCUP!$AL$6:$AL$97,MATCH(L46,WORLDCUP!$AI$6:$AI$97,0)),1,3)</f>
        <v>Sue</v>
      </c>
      <c r="I46" s="38">
        <f ca="1">+INDEX(WORLDCUP!$AM$6:$AM$97,MATCH(L46,WORLDCUP!$AI$6:$AI$97,0))</f>
        <v>2</v>
      </c>
      <c r="J46" s="39">
        <f ca="1">+INDEX(WORLDCUP!$AT$6:$AT$97,MATCH(L46,WORLDCUP!$AI$6:$AI$97,0))</f>
        <v>-1</v>
      </c>
      <c r="K46" s="43" t="str">
        <f ca="1">+INDEX(WORLDCUP!$AR$6:$AR$97,MATCH(L46,WORLDCUP!$AI$6:$AI$97,0))&amp;"-"&amp;INDEX(WORLDCUP!$AS$6:$AS$97,MATCH(L46,WORLDCUP!$AI$6:$AI$97,0))</f>
        <v>3-4</v>
      </c>
      <c r="L46" s="169" t="s">
        <v>95</v>
      </c>
      <c r="M46" s="169">
        <v>46</v>
      </c>
      <c r="N46" s="542"/>
      <c r="O46" s="418" t="str">
        <f ca="1">+MID(INDEX(WORLDCUP!$AA$4:$AA$147,MATCH(M46,WORLDCUP!$AH$4:$AH$147,0)),1,3)</f>
        <v>Pan</v>
      </c>
      <c r="P46" s="419">
        <f>IF(ISBLANK(INDEX(WORLDCUP!$AC$4:$AC$147,MATCH(M46,WORLDCUP!$AH$4:$AH$147,0))),"",INDEX(WORLDCUP!$AC$4:$AC$147,MATCH(M46,WORLDCUP!$AH$4:$AH$147,0)))</f>
        <v>0</v>
      </c>
      <c r="Q46" s="419">
        <f>IF(ISBLANK(INDEX(WORLDCUP!$AD$4:$AD$147,MATCH(M46,WORLDCUP!$AH$4:$AH$147,0))),"",INDEX(WORLDCUP!$AD$4:$AD$147,MATCH(M46,WORLDCUP!$AH$4:$AH$147,0)))</f>
        <v>2</v>
      </c>
      <c r="R46" s="420" t="str">
        <f ca="1">+MID(INDEX(WORLDCUP!$AF$4:$AF$147,MATCH(M46,WORLDCUP!$AH$4:$AH$147,0)),1,3)</f>
        <v>Cro</v>
      </c>
      <c r="S46" s="441">
        <v>3</v>
      </c>
      <c r="T46" s="442" t="str">
        <f ca="1">+MID(INDEX(WORLDCUP!$AL$6:$AL$97,MATCH(X46,WORLDCUP!$AI$6:$AI$97,0)),1,3)</f>
        <v>Gha</v>
      </c>
      <c r="U46" s="38">
        <f ca="1">+INDEX(WORLDCUP!$AM$6:$AM$97,MATCH(X46,WORLDCUP!$AI$6:$AI$97,0))</f>
        <v>1</v>
      </c>
      <c r="V46" s="39">
        <f ca="1">+INDEX(WORLDCUP!$AT$6:$AT$97,MATCH(X46,WORLDCUP!$AI$6:$AI$97,0))</f>
        <v>-3</v>
      </c>
      <c r="W46" s="43" t="str">
        <f ca="1">+INDEX(WORLDCUP!$AR$6:$AR$97,MATCH(X46,WORLDCUP!$AI$6:$AI$97,0))&amp;"-"&amp;INDEX(WORLDCUP!$AS$6:$AS$97,MATCH(X46,WORLDCUP!$AI$6:$AI$97,0))</f>
        <v>3-6</v>
      </c>
      <c r="X46" s="169" t="s">
        <v>453</v>
      </c>
      <c r="Y46" s="169">
        <v>85</v>
      </c>
      <c r="Z46" s="399" t="s">
        <v>740</v>
      </c>
      <c r="AA46" s="400" t="str">
        <f ca="1">+MID(INDEX(WORLDCUP!$AF$101:$AF$147,MATCH(Y46,WORLDCUP!$Z$101:$Z$147,0)),1,IF(WORLDCUP!$H$113&lt;144,6,3))</f>
        <v>Arg</v>
      </c>
      <c r="AB46" s="427">
        <f>+IF(ISBLANK(INDEX(WORLDCUP!$AD$101:$AD$147,MATCH(Y46,WORLDCUP!$Z$101:$Z$147,0))),"",INDEX(WORLDCUP!$AD$101:$AD$147,MATCH(Y46,WORLDCUP!$Z$101:$Z$147,0)))</f>
        <v>0</v>
      </c>
      <c r="AC46" s="428" t="str">
        <f>+IF(ISBLANK(INDEX(WORLDCUP!$AE$101:$AE$147,MATCH(Y46,WORLDCUP!$Z$101:$Z$147,0))),"","( "&amp;INDEX(WORLDCUP!$AE$101:$AE$147,MATCH(Y46,WORLDCUP!$Z$101:$Z$147,0))&amp;" )")</f>
        <v/>
      </c>
      <c r="AD46" s="429">
        <v>96</v>
      </c>
      <c r="AE46" s="430" t="str">
        <f ca="1">+MID(INDEX(WORLDCUP!$AA$101:$AA$147,MATCH(AD46,WORLDCUP!$Z$101:$Z$147,0)),1,3)</f>
        <v>Sui</v>
      </c>
      <c r="AF46" s="431">
        <f>+IF(ISBLANK(INDEX(WORLDCUP!$AC$101:$AC$147,MATCH(AD46,WORLDCUP!$Z$101:$Z$147,0))),"",INDEX(WORLDCUP!$AC$101:$AC$147,MATCH(AD46,WORLDCUP!$Z$101:$Z$147,0)))</f>
        <v>0</v>
      </c>
      <c r="AG46" s="475" t="str">
        <f>+IF(ISBLANK(INDEX(WORLDCUP!$AB$101:$AB$147,MATCH(AD46,WORLDCUP!$Z$101:$Z$147,0))),"","( "&amp;INDEX(WORLDCUP!$AB$101:$AB$147,MATCH(AD46,WORLDCUP!$Z$101:$Z$147,0))&amp;" )")</f>
        <v/>
      </c>
      <c r="AH46" s="169"/>
      <c r="AI46" s="433"/>
      <c r="AJ46" s="433"/>
      <c r="AK46" s="433"/>
      <c r="AL46" s="389"/>
      <c r="AM46" s="405"/>
      <c r="AN46" s="405"/>
      <c r="AO46" s="405"/>
      <c r="AP46" s="169"/>
      <c r="AQ46" s="434"/>
      <c r="AR46" s="434"/>
      <c r="AS46" s="434"/>
      <c r="AT46" s="169"/>
      <c r="AU46" s="407"/>
      <c r="AV46" s="407"/>
      <c r="AW46" s="407"/>
      <c r="AX46" s="169"/>
      <c r="AY46" s="141"/>
      <c r="AZ46" s="141"/>
      <c r="BA46" s="141"/>
      <c r="BB46" s="141"/>
      <c r="BC46" s="141"/>
      <c r="BD46" s="141"/>
      <c r="BE46" s="141"/>
      <c r="BG46" s="436" t="str">
        <f ca="1">Horarios!Q45</f>
        <v>Suecia</v>
      </c>
      <c r="BH46" s="437">
        <f t="shared" ca="1" si="0"/>
        <v>1</v>
      </c>
      <c r="BI46" s="437">
        <f ca="1">COUNTIF(Pool!$C$130:$C$161,Fixture!BG46)-BJ46-BK46-BL46-BM46-BN46-BO46</f>
        <v>0</v>
      </c>
      <c r="BJ46" s="438">
        <f ca="1">COUNTIF(Pool!$C$182:$C$197,Fixture!BG46)-BK46-BL46-BM46-BN46-BO46</f>
        <v>0</v>
      </c>
      <c r="BK46" s="439">
        <f ca="1">COUNTIF(Pool!$C$210:$C$217,Fixture!BG46)-BL46-BM46-BN46-BO46</f>
        <v>0</v>
      </c>
      <c r="BL46" s="439">
        <f ca="1">COUNTIF(Pool!$C$226:$C$229,Fixture!BG46)-BM46-BN46-BO46</f>
        <v>0</v>
      </c>
      <c r="BM46" s="437">
        <f ca="1">COUNTIF(Pool!$C$252,Fixture!BG46)</f>
        <v>0</v>
      </c>
      <c r="BN46" s="437">
        <f ca="1">COUNTIF(Pool!$C$251,Fixture!BG46)</f>
        <v>0</v>
      </c>
      <c r="BO46" s="440">
        <f ca="1">COUNTIF(Pool!$C$250,Fixture!BG46)</f>
        <v>0</v>
      </c>
    </row>
    <row r="47" spans="1:67">
      <c r="A47" s="169">
        <v>57</v>
      </c>
      <c r="B47" s="541"/>
      <c r="C47" s="418" t="str">
        <f ca="1">+MID(INDEX(WORLDCUP!$AA$4:$AA$147,MATCH(A47,WORLDCUP!$AH$4:$AH$147,0)),1,3)</f>
        <v>Jap</v>
      </c>
      <c r="D47" s="419">
        <f>IF(ISBLANK(INDEX(WORLDCUP!$AC$4:$AC$147,MATCH(A47,WORLDCUP!$AH$4:$AH$147,0))),"",INDEX(WORLDCUP!$AC$4:$AC$147,MATCH(A47,WORLDCUP!$AH$4:$AH$147,0)))</f>
        <v>2</v>
      </c>
      <c r="E47" s="419">
        <f>IF(ISBLANK(INDEX(WORLDCUP!$AD$4:$AD$147,MATCH(A47,WORLDCUP!$AH$4:$AH$147,0))),"",INDEX(WORLDCUP!$AD$4:$AD$147,MATCH(A47,WORLDCUP!$AH$4:$AH$147,0)))</f>
        <v>1</v>
      </c>
      <c r="F47" s="420" t="str">
        <f ca="1">+MID(INDEX(WORLDCUP!$AF$4:$AF$147,MATCH(A47,WORLDCUP!$AH$4:$AH$147,0)),1,3)</f>
        <v>Sue</v>
      </c>
      <c r="G47" s="441">
        <v>4</v>
      </c>
      <c r="H47" s="450" t="str">
        <f ca="1">+MID(INDEX(WORLDCUP!$AL$6:$AL$97,MATCH(L47,WORLDCUP!$AI$6:$AI$97,0)),1,3)</f>
        <v>Tún</v>
      </c>
      <c r="I47" s="451">
        <f ca="1">+INDEX(WORLDCUP!$AM$6:$AM$97,MATCH(L47,WORLDCUP!$AI$6:$AI$97,0))</f>
        <v>1</v>
      </c>
      <c r="J47" s="452">
        <f ca="1">+INDEX(WORLDCUP!$AT$6:$AT$97,MATCH(L47,WORLDCUP!$AI$6:$AI$97,0))</f>
        <v>-4</v>
      </c>
      <c r="K47" s="453" t="str">
        <f ca="1">+INDEX(WORLDCUP!$AR$6:$AR$97,MATCH(L47,WORLDCUP!$AI$6:$AI$97,0))&amp;"-"&amp;INDEX(WORLDCUP!$AS$6:$AS$97,MATCH(L47,WORLDCUP!$AI$6:$AI$97,0))</f>
        <v>1-5</v>
      </c>
      <c r="L47" s="169" t="s">
        <v>678</v>
      </c>
      <c r="M47" s="169">
        <v>67</v>
      </c>
      <c r="N47" s="542"/>
      <c r="O47" s="418" t="str">
        <f ca="1">+MID(INDEX(WORLDCUP!$AA$4:$AA$147,MATCH(M47,WORLDCUP!$AH$4:$AH$147,0)),1,3)</f>
        <v>Pan</v>
      </c>
      <c r="P47" s="419">
        <f>IF(ISBLANK(INDEX(WORLDCUP!$AC$4:$AC$147,MATCH(M47,WORLDCUP!$AH$4:$AH$147,0))),"",INDEX(WORLDCUP!$AC$4:$AC$147,MATCH(M47,WORLDCUP!$AH$4:$AH$147,0)))</f>
        <v>0</v>
      </c>
      <c r="Q47" s="419">
        <f>IF(ISBLANK(INDEX(WORLDCUP!$AD$4:$AD$147,MATCH(M47,WORLDCUP!$AH$4:$AH$147,0))),"",INDEX(WORLDCUP!$AD$4:$AD$147,MATCH(M47,WORLDCUP!$AH$4:$AH$147,0)))</f>
        <v>2</v>
      </c>
      <c r="R47" s="420" t="str">
        <f ca="1">+MID(INDEX(WORLDCUP!$AF$4:$AF$147,MATCH(M47,WORLDCUP!$AH$4:$AH$147,0)),1,3)</f>
        <v>Ing</v>
      </c>
      <c r="S47" s="441">
        <v>4</v>
      </c>
      <c r="T47" s="450" t="str">
        <f ca="1">+MID(INDEX(WORLDCUP!$AL$6:$AL$97,MATCH(X47,WORLDCUP!$AI$6:$AI$97,0)),1,3)</f>
        <v>Pan</v>
      </c>
      <c r="U47" s="451">
        <f ca="1">+INDEX(WORLDCUP!$AM$6:$AM$97,MATCH(X47,WORLDCUP!$AI$6:$AI$97,0))</f>
        <v>1</v>
      </c>
      <c r="V47" s="452">
        <f ca="1">+INDEX(WORLDCUP!$AT$6:$AT$97,MATCH(X47,WORLDCUP!$AI$6:$AI$97,0))</f>
        <v>-4</v>
      </c>
      <c r="W47" s="453" t="str">
        <f ca="1">+INDEX(WORLDCUP!$AR$6:$AR$97,MATCH(X47,WORLDCUP!$AI$6:$AI$97,0))&amp;"-"&amp;INDEX(WORLDCUP!$AS$6:$AS$97,MATCH(X47,WORLDCUP!$AI$6:$AI$97,0))</f>
        <v>1-5</v>
      </c>
      <c r="X47" s="169" t="s">
        <v>696</v>
      </c>
      <c r="Y47" s="169"/>
      <c r="Z47" s="399"/>
      <c r="AA47" s="443"/>
      <c r="AB47" s="443"/>
      <c r="AC47" s="444"/>
      <c r="AD47" s="169">
        <v>96</v>
      </c>
      <c r="AE47" s="430" t="str">
        <f ca="1">+MID(INDEX(WORLDCUP!$AF$101:$AF$147,MATCH(AD47,WORLDCUP!$Z$101:$Z$147,0)),1,3)</f>
        <v>Por</v>
      </c>
      <c r="AF47" s="431">
        <f>+IF(ISBLANK(INDEX(WORLDCUP!$AD$101:$AD$147,MATCH(AD47,WORLDCUP!$Z$101:$Z$147,0))),"",INDEX(WORLDCUP!$AD$101:$AD$147,MATCH(AD47,WORLDCUP!$Z$101:$Z$147,0)))</f>
        <v>2</v>
      </c>
      <c r="AG47" s="448" t="str">
        <f>+IF(ISBLANK(INDEX(WORLDCUP!$AE$101:$AE$147,MATCH(AD47,WORLDCUP!$Z$101:$Z$147,0))),"","( "&amp;INDEX(WORLDCUP!$AE$101:$AE$147,MATCH(AD47,WORLDCUP!$Z$101:$Z$147,0))&amp;" )")</f>
        <v/>
      </c>
      <c r="AH47" s="169"/>
      <c r="AI47" s="433"/>
      <c r="AJ47" s="433"/>
      <c r="AK47" s="433"/>
      <c r="AL47" s="389"/>
      <c r="AM47" s="405"/>
      <c r="AN47" s="405"/>
      <c r="AO47" s="405"/>
      <c r="AP47" s="169"/>
      <c r="AQ47" s="434"/>
      <c r="AR47" s="434"/>
      <c r="AS47" s="434"/>
      <c r="AT47" s="169"/>
      <c r="AU47" s="407"/>
      <c r="AV47" s="407"/>
      <c r="AW47" s="407"/>
      <c r="AX47" s="169"/>
      <c r="AY47" s="141"/>
      <c r="AZ47" s="141"/>
      <c r="BA47" s="141"/>
      <c r="BB47" s="141"/>
      <c r="BC47" s="141"/>
      <c r="BD47" s="141"/>
      <c r="BE47" s="141"/>
      <c r="BG47" s="436" t="str">
        <f ca="1">Horarios!Q46</f>
        <v>Suiza</v>
      </c>
      <c r="BH47" s="437">
        <f t="shared" ca="1" si="0"/>
        <v>0</v>
      </c>
      <c r="BI47" s="437">
        <f ca="1">COUNTIF(Pool!$C$130:$C$161,Fixture!BG47)-BJ47-BK47-BL47-BM47-BN47-BO47</f>
        <v>0</v>
      </c>
      <c r="BJ47" s="438">
        <f ca="1">COUNTIF(Pool!$C$182:$C$197,Fixture!BG47)-BK47-BL47-BM47-BN47-BO47</f>
        <v>1</v>
      </c>
      <c r="BK47" s="439">
        <f ca="1">COUNTIF(Pool!$C$210:$C$217,Fixture!BG47)-BL47-BM47-BN47-BO47</f>
        <v>0</v>
      </c>
      <c r="BL47" s="439">
        <f ca="1">COUNTIF(Pool!$C$226:$C$229,Fixture!BG47)-BM47-BN47-BO47</f>
        <v>0</v>
      </c>
      <c r="BM47" s="437">
        <f ca="1">COUNTIF(Pool!$C$252,Fixture!BG47)</f>
        <v>0</v>
      </c>
      <c r="BN47" s="437">
        <f ca="1">COUNTIF(Pool!$C$251,Fixture!BG47)</f>
        <v>0</v>
      </c>
      <c r="BO47" s="440">
        <f ca="1">COUNTIF(Pool!$C$250,Fixture!BG47)</f>
        <v>0</v>
      </c>
    </row>
    <row r="48" spans="1:67" ht="15" thickBot="1">
      <c r="A48" s="169">
        <v>58</v>
      </c>
      <c r="B48" s="543"/>
      <c r="C48" s="461" t="str">
        <f ca="1">+MID(INDEX(WORLDCUP!$AA$4:$AA$147,MATCH(A48,WORLDCUP!$AH$4:$AH$147,0)),1,3)</f>
        <v>Tún</v>
      </c>
      <c r="D48" s="462">
        <f>IF(ISBLANK(INDEX(WORLDCUP!$AC$4:$AC$147,MATCH(A48,WORLDCUP!$AH$4:$AH$147,0))),"",INDEX(WORLDCUP!$AC$4:$AC$147,MATCH(A48,WORLDCUP!$AH$4:$AH$147,0)))</f>
        <v>0</v>
      </c>
      <c r="E48" s="462">
        <f>IF(ISBLANK(INDEX(WORLDCUP!$AD$4:$AD$147,MATCH(A48,WORLDCUP!$AH$4:$AH$147,0))),"",INDEX(WORLDCUP!$AD$4:$AD$147,MATCH(A48,WORLDCUP!$AH$4:$AH$147,0)))</f>
        <v>2</v>
      </c>
      <c r="F48" s="463" t="str">
        <f ca="1">+MID(INDEX(WORLDCUP!$AF$4:$AF$147,MATCH(A48,WORLDCUP!$AH$4:$AH$147,0)),1,3)</f>
        <v>Paí</v>
      </c>
      <c r="G48" s="464"/>
      <c r="H48" s="464"/>
      <c r="I48" s="465"/>
      <c r="J48" s="465"/>
      <c r="K48" s="466"/>
      <c r="L48" s="169"/>
      <c r="M48" s="169">
        <v>68</v>
      </c>
      <c r="N48" s="544"/>
      <c r="O48" s="461" t="str">
        <f ca="1">+MID(INDEX(WORLDCUP!$AA$4:$AA$147,MATCH(M48,WORLDCUP!$AH$4:$AH$147,0)),1,3)</f>
        <v>Cro</v>
      </c>
      <c r="P48" s="462">
        <f>IF(ISBLANK(INDEX(WORLDCUP!$AC$4:$AC$147,MATCH(M48,WORLDCUP!$AH$4:$AH$147,0))),"",INDEX(WORLDCUP!$AC$4:$AC$147,MATCH(M48,WORLDCUP!$AH$4:$AH$147,0)))</f>
        <v>2</v>
      </c>
      <c r="Q48" s="462">
        <f>IF(ISBLANK(INDEX(WORLDCUP!$AD$4:$AD$147,MATCH(M48,WORLDCUP!$AH$4:$AH$147,0))),"",INDEX(WORLDCUP!$AD$4:$AD$147,MATCH(M48,WORLDCUP!$AH$4:$AH$147,0)))</f>
        <v>1</v>
      </c>
      <c r="R48" s="463" t="str">
        <f ca="1">+MID(INDEX(WORLDCUP!$AF$4:$AF$147,MATCH(M48,WORLDCUP!$AH$4:$AH$147,0)),1,3)</f>
        <v>Gha</v>
      </c>
      <c r="S48" s="464"/>
      <c r="T48" s="464"/>
      <c r="U48" s="465"/>
      <c r="V48" s="465"/>
      <c r="W48" s="466"/>
      <c r="X48" s="169"/>
      <c r="Y48" s="169">
        <v>87</v>
      </c>
      <c r="Z48" s="399" t="s">
        <v>691</v>
      </c>
      <c r="AA48" s="400" t="str">
        <f ca="1">+MID(INDEX(WORLDCUP!$AA$101:$AA$147,MATCH(Y48,WORLDCUP!$Z$101:$Z$147,0)),1,3)</f>
        <v>Por</v>
      </c>
      <c r="AB48" s="446">
        <f>+IF(ISBLANK(INDEX(WORLDCUP!$AC$101:$AC$147,MATCH(Y48,WORLDCUP!$Z$101:$Z$147,0))),"",INDEX(WORLDCUP!$AC$101:$AC$147,MATCH(Y48,WORLDCUP!$Z$101:$Z$147,0)))</f>
        <v>2</v>
      </c>
      <c r="AC48" s="480" t="str">
        <f>+IF(ISBLANK(INDEX(WORLDCUP!$AB$101:$AB$147,MATCH(Y48,WORLDCUP!$Z$101:$Z$147,0))),"","( "&amp;INDEX(WORLDCUP!$AB$101:$AB$147,MATCH(Y48,WORLDCUP!$Z$101:$Z$147,0))&amp;" )")</f>
        <v/>
      </c>
      <c r="AD48" s="169"/>
      <c r="AE48" s="403"/>
      <c r="AF48" s="403"/>
      <c r="AG48" s="403"/>
      <c r="AH48" s="169"/>
      <c r="AI48" s="433"/>
      <c r="AJ48" s="433"/>
      <c r="AK48" s="433"/>
      <c r="AL48" s="389"/>
      <c r="AM48" s="405"/>
      <c r="AN48" s="405"/>
      <c r="AO48" s="405"/>
      <c r="AP48" s="169"/>
      <c r="AQ48" s="434"/>
      <c r="AR48" s="434"/>
      <c r="AS48" s="434"/>
      <c r="AT48" s="169"/>
      <c r="AU48" s="407"/>
      <c r="AV48" s="407"/>
      <c r="AW48" s="407"/>
      <c r="AX48" s="169"/>
      <c r="AY48" s="141"/>
      <c r="AZ48" s="141"/>
      <c r="BA48" s="141"/>
      <c r="BB48" s="141"/>
      <c r="BC48" s="141"/>
      <c r="BD48" s="141"/>
      <c r="BE48" s="141"/>
      <c r="BG48" s="436" t="str">
        <f ca="1">Horarios!Q47</f>
        <v>Túnez</v>
      </c>
      <c r="BH48" s="437">
        <f t="shared" ca="1" si="0"/>
        <v>1</v>
      </c>
      <c r="BI48" s="437">
        <f ca="1">COUNTIF(Pool!$C$130:$C$161,Fixture!BG48)-BJ48-BK48-BL48-BM48-BN48-BO48</f>
        <v>0</v>
      </c>
      <c r="BJ48" s="438">
        <f ca="1">COUNTIF(Pool!$C$182:$C$197,Fixture!BG48)-BK48-BL48-BM48-BN48-BO48</f>
        <v>0</v>
      </c>
      <c r="BK48" s="439">
        <f ca="1">COUNTIF(Pool!$C$210:$C$217,Fixture!BG48)-BL48-BM48-BN48-BO48</f>
        <v>0</v>
      </c>
      <c r="BL48" s="439">
        <f ca="1">COUNTIF(Pool!$C$226:$C$229,Fixture!BG48)-BM48-BN48-BO48</f>
        <v>0</v>
      </c>
      <c r="BM48" s="437">
        <f ca="1">COUNTIF(Pool!$C$252,Fixture!BG48)</f>
        <v>0</v>
      </c>
      <c r="BN48" s="437">
        <f ca="1">COUNTIF(Pool!$C$251,Fixture!BG48)</f>
        <v>0</v>
      </c>
      <c r="BO48" s="440">
        <f ca="1">COUNTIF(Pool!$C$250,Fixture!BG48)</f>
        <v>0</v>
      </c>
    </row>
    <row r="49" spans="1:67">
      <c r="A49" s="169"/>
      <c r="B49" s="139"/>
      <c r="C49" s="141"/>
      <c r="D49" s="141"/>
      <c r="E49" s="141"/>
      <c r="F49" s="141"/>
      <c r="G49" s="141"/>
      <c r="H49" s="141"/>
      <c r="I49" s="141"/>
      <c r="J49" s="141"/>
      <c r="K49" s="141"/>
      <c r="L49" s="141"/>
      <c r="M49" s="169"/>
      <c r="N49" s="139"/>
      <c r="O49" s="141"/>
      <c r="P49" s="141"/>
      <c r="Q49" s="141"/>
      <c r="R49" s="141"/>
      <c r="S49" s="141"/>
      <c r="T49" s="141"/>
      <c r="U49" s="141"/>
      <c r="V49" s="141"/>
      <c r="W49" s="141"/>
      <c r="X49" s="169"/>
      <c r="Y49" s="169">
        <v>87</v>
      </c>
      <c r="Z49" s="399" t="s">
        <v>741</v>
      </c>
      <c r="AA49" s="454" t="str">
        <f ca="1">+MID(INDEX(WORLDCUP!$AF$101:$AF$147,MATCH(Y49,WORLDCUP!$Z$101:$Z$147,0)),1,IF(WORLDCUP!$H$113&lt;144,6,3))</f>
        <v>Nor</v>
      </c>
      <c r="AB49" s="455">
        <f>+IF(ISBLANK(INDEX(WORLDCUP!$AD$101:$AD$147,MATCH(Y49,WORLDCUP!$Z$101:$Z$147,0))),"",INDEX(WORLDCUP!$AD$101:$AD$147,MATCH(Y49,WORLDCUP!$Z$101:$Z$147,0)))</f>
        <v>1</v>
      </c>
      <c r="AC49" s="481" t="str">
        <f>+IF(ISBLANK(INDEX(WORLDCUP!$AE$101:$AE$147,MATCH(Y49,WORLDCUP!$Z$101:$Z$147,0))),"","( "&amp;INDEX(WORLDCUP!$AE$101:$AE$147,MATCH(Y49,WORLDCUP!$Z$101:$Z$147,0))&amp;" )")</f>
        <v/>
      </c>
      <c r="AD49" s="169"/>
      <c r="AE49" s="403"/>
      <c r="AF49" s="403"/>
      <c r="AG49" s="403"/>
      <c r="AH49" s="169"/>
      <c r="AI49" s="433"/>
      <c r="AJ49" s="433"/>
      <c r="AK49" s="433"/>
      <c r="AL49" s="389"/>
      <c r="AM49" s="405"/>
      <c r="AN49" s="405"/>
      <c r="AO49" s="405"/>
      <c r="AP49" s="169"/>
      <c r="AQ49" s="434"/>
      <c r="AR49" s="434"/>
      <c r="AS49" s="434"/>
      <c r="AT49" s="169"/>
      <c r="AU49" s="407"/>
      <c r="AV49" s="407"/>
      <c r="AW49" s="407"/>
      <c r="AX49" s="169"/>
      <c r="AY49" s="141"/>
      <c r="AZ49" s="141"/>
      <c r="BA49" s="141"/>
      <c r="BB49" s="141"/>
      <c r="BC49" s="141"/>
      <c r="BD49" s="141"/>
      <c r="BE49" s="141"/>
      <c r="BG49" s="436" t="str">
        <f ca="1">Horarios!Q48</f>
        <v>Turquía</v>
      </c>
      <c r="BH49" s="437">
        <f t="shared" ca="1" si="0"/>
        <v>0</v>
      </c>
      <c r="BI49" s="437">
        <f ca="1">COUNTIF(Pool!$C$130:$C$161,Fixture!BG49)-BJ49-BK49-BL49-BM49-BN49-BO49</f>
        <v>0</v>
      </c>
      <c r="BJ49" s="438">
        <f ca="1">COUNTIF(Pool!$C$182:$C$197,Fixture!BG49)-BK49-BL49-BM49-BN49-BO49</f>
        <v>1</v>
      </c>
      <c r="BK49" s="439">
        <f ca="1">COUNTIF(Pool!$C$210:$C$217,Fixture!BG49)-BL49-BM49-BN49-BO49</f>
        <v>0</v>
      </c>
      <c r="BL49" s="439">
        <f ca="1">COUNTIF(Pool!$C$226:$C$229,Fixture!BG49)-BM49-BN49-BO49</f>
        <v>0</v>
      </c>
      <c r="BM49" s="437">
        <f ca="1">COUNTIF(Pool!$C$252,Fixture!BG49)</f>
        <v>0</v>
      </c>
      <c r="BN49" s="437">
        <f ca="1">COUNTIF(Pool!$C$251,Fixture!BG49)</f>
        <v>0</v>
      </c>
      <c r="BO49" s="440">
        <f ca="1">COUNTIF(Pool!$C$250,Fixture!BG49)</f>
        <v>0</v>
      </c>
    </row>
    <row r="50" spans="1:67" ht="15" customHeight="1">
      <c r="A50" s="169"/>
      <c r="B50" s="139"/>
      <c r="C50" s="141"/>
      <c r="D50" s="141"/>
      <c r="E50" s="141"/>
      <c r="F50" s="141"/>
      <c r="G50" s="141"/>
      <c r="H50" s="141"/>
      <c r="I50" s="141"/>
      <c r="J50" s="141"/>
      <c r="K50" s="141"/>
      <c r="L50" s="141"/>
      <c r="M50" s="169"/>
      <c r="N50" s="139"/>
      <c r="O50" s="141"/>
      <c r="P50" s="141"/>
      <c r="Q50" s="141"/>
      <c r="R50" s="141"/>
      <c r="S50" s="141"/>
      <c r="T50" s="141"/>
      <c r="U50" s="141"/>
      <c r="V50" s="141"/>
      <c r="W50" s="141"/>
      <c r="X50" s="141"/>
      <c r="Y50" s="167"/>
      <c r="Z50" s="167"/>
      <c r="AA50" s="545"/>
      <c r="AB50" s="545"/>
      <c r="AC50" s="545"/>
      <c r="AD50" s="169"/>
      <c r="AE50" s="546"/>
      <c r="AF50" s="546"/>
      <c r="AG50" s="546"/>
      <c r="AH50" s="169"/>
      <c r="AI50" s="433"/>
      <c r="AJ50" s="433"/>
      <c r="AK50" s="433"/>
      <c r="AL50" s="389"/>
      <c r="AM50" s="405"/>
      <c r="AN50" s="405"/>
      <c r="AO50" s="405"/>
      <c r="AP50" s="169"/>
      <c r="AQ50" s="406"/>
      <c r="AR50" s="406"/>
      <c r="AS50" s="406"/>
      <c r="AT50" s="169"/>
      <c r="AU50" s="547"/>
      <c r="AV50" s="547"/>
      <c r="AW50" s="547"/>
      <c r="AX50" s="169"/>
      <c r="AY50" s="141"/>
      <c r="AZ50" s="141"/>
      <c r="BA50" s="141"/>
      <c r="BB50" s="141"/>
      <c r="BC50" s="141"/>
      <c r="BD50" s="141"/>
      <c r="BE50" s="141"/>
      <c r="BG50" s="436" t="str">
        <f ca="1">Horarios!Q49</f>
        <v>Uruguay</v>
      </c>
      <c r="BH50" s="437">
        <f t="shared" ca="1" si="0"/>
        <v>0</v>
      </c>
      <c r="BI50" s="437">
        <f ca="1">COUNTIF(Pool!$C$130:$C$161,Fixture!BG50)-BJ50-BK50-BL50-BM50-BN50-BO50</f>
        <v>1</v>
      </c>
      <c r="BJ50" s="438">
        <f ca="1">COUNTIF(Pool!$C$182:$C$197,Fixture!BG50)-BK50-BL50-BM50-BN50-BO50</f>
        <v>0</v>
      </c>
      <c r="BK50" s="439">
        <f ca="1">COUNTIF(Pool!$C$210:$C$217,Fixture!BG50)-BL50-BM50-BN50-BO50</f>
        <v>0</v>
      </c>
      <c r="BL50" s="439">
        <f ca="1">COUNTIF(Pool!$C$226:$C$229,Fixture!BG50)-BM50-BN50-BO50</f>
        <v>0</v>
      </c>
      <c r="BM50" s="437">
        <f ca="1">COUNTIF(Pool!$C$252,Fixture!BG50)</f>
        <v>0</v>
      </c>
      <c r="BN50" s="437">
        <f ca="1">COUNTIF(Pool!$C$251,Fixture!BG50)</f>
        <v>0</v>
      </c>
      <c r="BO50" s="440">
        <f ca="1">COUNTIF(Pool!$C$250,Fixture!BG50)</f>
        <v>0</v>
      </c>
    </row>
    <row r="51" spans="1:67">
      <c r="A51" s="169"/>
      <c r="B51" s="139"/>
      <c r="C51" s="141"/>
      <c r="D51" s="141"/>
      <c r="E51" s="141"/>
      <c r="F51" s="141"/>
      <c r="G51" s="141"/>
      <c r="H51" s="141"/>
      <c r="I51" s="141"/>
      <c r="J51" s="141"/>
      <c r="K51" s="141"/>
      <c r="L51" s="141"/>
      <c r="M51" s="169"/>
      <c r="N51" s="139"/>
      <c r="O51" s="141"/>
      <c r="P51" s="141"/>
      <c r="Q51" s="141"/>
      <c r="R51" s="141"/>
      <c r="S51" s="141"/>
      <c r="T51" s="141"/>
      <c r="U51" s="141"/>
      <c r="V51" s="141"/>
      <c r="W51" s="141"/>
      <c r="X51" s="141"/>
      <c r="Y51" s="139"/>
      <c r="Z51" s="139"/>
      <c r="AA51" s="141"/>
      <c r="AB51" s="141"/>
      <c r="AC51" s="141"/>
      <c r="AD51" s="139"/>
      <c r="AE51" s="141"/>
      <c r="AF51" s="141"/>
      <c r="AG51" s="141"/>
      <c r="AH51" s="139"/>
      <c r="AI51" s="141"/>
      <c r="AJ51" s="141"/>
      <c r="AK51" s="141"/>
      <c r="AL51" s="139"/>
      <c r="AM51" s="141"/>
      <c r="AN51" s="141"/>
      <c r="AO51" s="141"/>
      <c r="AP51" s="139"/>
      <c r="AQ51" s="141"/>
      <c r="AR51" s="141"/>
      <c r="AS51" s="141"/>
      <c r="AT51" s="139"/>
      <c r="AU51" s="141"/>
      <c r="AV51" s="141"/>
      <c r="AW51" s="141"/>
      <c r="AX51" s="141"/>
      <c r="AY51" s="141"/>
      <c r="AZ51" s="141"/>
      <c r="BA51" s="141"/>
      <c r="BB51" s="141"/>
      <c r="BC51" s="141"/>
      <c r="BD51" s="141"/>
      <c r="BE51" s="141"/>
      <c r="BG51" s="548" t="str">
        <f ca="1">Horarios!Q50</f>
        <v>Uzbekistán</v>
      </c>
      <c r="BH51" s="549">
        <f t="shared" ca="1" si="0"/>
        <v>1</v>
      </c>
      <c r="BI51" s="549">
        <f ca="1">COUNTIF(Pool!$C$130:$C$161,Fixture!BG51)-BJ51-BK51-BL51-BM51-BN51-BO51</f>
        <v>0</v>
      </c>
      <c r="BJ51" s="550">
        <f ca="1">COUNTIF(Pool!$C$182:$C$197,Fixture!BG51)-BK51-BL51-BM51-BN51-BO51</f>
        <v>0</v>
      </c>
      <c r="BK51" s="551">
        <f ca="1">COUNTIF(Pool!$C$210:$C$217,Fixture!BG51)-BL51-BM51-BN51-BO51</f>
        <v>0</v>
      </c>
      <c r="BL51" s="551">
        <f ca="1">COUNTIF(Pool!$C$226:$C$229,Fixture!BG51)-BM51-BN51-BO51</f>
        <v>0</v>
      </c>
      <c r="BM51" s="549">
        <f ca="1">COUNTIF(Pool!$C$252,Fixture!BG51)</f>
        <v>0</v>
      </c>
      <c r="BN51" s="549">
        <f ca="1">COUNTIF(Pool!$C$251,Fixture!BG51)</f>
        <v>0</v>
      </c>
      <c r="BO51" s="552">
        <f ca="1">COUNTIF(Pool!$C$250,Fixture!BG51)</f>
        <v>0</v>
      </c>
    </row>
    <row r="52" spans="1:67">
      <c r="A52" s="169"/>
      <c r="B52" s="139"/>
      <c r="C52" s="141"/>
      <c r="D52" s="141"/>
      <c r="E52" s="141"/>
      <c r="F52" s="141"/>
      <c r="G52" s="141"/>
      <c r="H52" s="141"/>
      <c r="I52" s="141"/>
      <c r="J52" s="141"/>
      <c r="K52" s="141"/>
      <c r="L52" s="141"/>
      <c r="M52" s="169"/>
      <c r="N52" s="139"/>
      <c r="O52" s="141"/>
      <c r="P52" s="141"/>
      <c r="Q52" s="141"/>
      <c r="R52" s="141"/>
      <c r="S52" s="141"/>
      <c r="T52" s="141"/>
      <c r="U52" s="141"/>
      <c r="V52" s="141"/>
      <c r="W52" s="141"/>
      <c r="X52" s="141"/>
      <c r="Y52" s="139"/>
      <c r="Z52" s="139"/>
      <c r="AA52" s="141"/>
      <c r="AB52" s="141"/>
      <c r="AC52" s="141"/>
      <c r="AD52" s="139"/>
      <c r="AE52" s="141"/>
      <c r="AF52" s="141"/>
      <c r="AG52" s="141"/>
      <c r="AH52" s="139"/>
      <c r="AI52" s="141"/>
      <c r="AJ52" s="141"/>
      <c r="AK52" s="141"/>
      <c r="AL52" s="139"/>
      <c r="AM52" s="141"/>
      <c r="AN52" s="141"/>
      <c r="AO52" s="141"/>
      <c r="AP52" s="139"/>
      <c r="AQ52" s="141"/>
      <c r="AR52" s="141"/>
      <c r="AS52" s="141"/>
      <c r="AT52" s="139"/>
      <c r="AU52" s="141"/>
      <c r="AV52" s="141"/>
      <c r="AW52" s="141"/>
      <c r="AX52" s="141"/>
      <c r="AY52" s="141"/>
      <c r="AZ52" s="141"/>
      <c r="BA52" s="141"/>
      <c r="BB52" s="141"/>
      <c r="BC52" s="141"/>
      <c r="BD52" s="141"/>
      <c r="BE52" s="141"/>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0"/>
      <c r="D5" s="16" t="str">
        <f t="shared" ref="D5:D12" si="0">IF($B$2,G5,H5)</f>
        <v>Si quieres organizar una porra (quiniela) con tu grupo puedes descargar el archivo de adminsitrador desde el enlace de abajo</v>
      </c>
      <c r="E5" s="16" t="s">
        <v>23</v>
      </c>
      <c r="F5" s="16" t="s">
        <v>180</v>
      </c>
      <c r="G5" s="16" t="s">
        <v>1352</v>
      </c>
      <c r="H5" s="16" t="s">
        <v>1353</v>
      </c>
      <c r="K5" s="556" t="s">
        <v>1305</v>
      </c>
      <c r="L5" s="556" t="s">
        <v>1306</v>
      </c>
    </row>
    <row r="6" spans="1:12">
      <c r="B6" s="580"/>
      <c r="D6" s="16" t="str">
        <f t="shared" si="0"/>
        <v>Predictor Equipos</v>
      </c>
      <c r="E6" s="16" t="s">
        <v>23</v>
      </c>
      <c r="G6" s="556" t="s">
        <v>1303</v>
      </c>
      <c r="H6" s="556"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0"/>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7"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6" t="s">
        <v>1238</v>
      </c>
      <c r="H67" s="556" t="s">
        <v>1239</v>
      </c>
    </row>
    <row r="68" spans="3:8">
      <c r="D68" s="16" t="str">
        <f t="shared" si="2"/>
        <v xml:space="preserve">Grupos mejores 3ºs: </v>
      </c>
      <c r="E68" s="16" t="s">
        <v>490</v>
      </c>
      <c r="G68" s="556" t="s">
        <v>1347</v>
      </c>
      <c r="H68" s="556"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1"/>
      <c r="K106" s="581"/>
      <c r="L106" s="581"/>
      <c r="M106" s="581"/>
      <c r="N106" s="581"/>
      <c r="O106" s="581"/>
      <c r="P106" s="581"/>
    </row>
    <row r="107" spans="4:16" ht="15" customHeight="1">
      <c r="D107" s="16" t="str">
        <f t="shared" si="4"/>
        <v>·Si haceis todo el Mundial de golpe, incluido el predictor, copiar de la C5 a la C258 y pegar valores en la plantilla de Administrador.</v>
      </c>
      <c r="E107" s="16" t="s">
        <v>443</v>
      </c>
      <c r="F107" s="16" t="s">
        <v>130</v>
      </c>
      <c r="G107" s="582" t="s">
        <v>1499</v>
      </c>
      <c r="H107" s="16" t="s">
        <v>1412</v>
      </c>
      <c r="I107" s="581"/>
      <c r="K107" s="581"/>
      <c r="L107" s="581"/>
      <c r="M107" s="581"/>
      <c r="N107" s="581"/>
      <c r="O107" s="581"/>
      <c r="P107" s="581"/>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3"/>
      <c r="K109" s="583"/>
      <c r="L109" s="583"/>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6" t="s">
        <v>1419</v>
      </c>
      <c r="H121" s="556" t="s">
        <v>1420</v>
      </c>
    </row>
    <row r="122" spans="4:9">
      <c r="D122" s="16" t="str">
        <f t="shared" si="4"/>
        <v>J1</v>
      </c>
      <c r="E122" s="16" t="s">
        <v>443</v>
      </c>
      <c r="F122" s="16" t="s">
        <v>264</v>
      </c>
      <c r="G122" s="16" t="s">
        <v>28</v>
      </c>
      <c r="H122" s="16" t="s">
        <v>285</v>
      </c>
      <c r="I122" s="556"/>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0"/>
      <c r="K197" s="568"/>
    </row>
    <row r="199" spans="2:11">
      <c r="J199" s="580"/>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6"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6" t="s">
        <v>227</v>
      </c>
    </row>
    <row r="259" spans="4:8">
      <c r="D259" s="16" t="str">
        <f t="shared" si="9"/>
        <v>Cuartos de final</v>
      </c>
      <c r="E259" s="16" t="s">
        <v>1248</v>
      </c>
      <c r="G259" s="16" t="s">
        <v>71</v>
      </c>
      <c r="H259" s="556" t="s">
        <v>226</v>
      </c>
    </row>
    <row r="260" spans="4:8">
      <c r="D260" s="16" t="str">
        <f t="shared" si="9"/>
        <v>Octavos de final</v>
      </c>
      <c r="E260" s="16" t="s">
        <v>1248</v>
      </c>
      <c r="G260" s="16" t="s">
        <v>88</v>
      </c>
      <c r="H260" s="556"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6" t="s">
        <v>1250</v>
      </c>
    </row>
    <row r="263" spans="4:8">
      <c r="D263" s="16" t="str">
        <f t="shared" si="9"/>
        <v>Pronóstica la ronda</v>
      </c>
      <c r="E263" s="16" t="s">
        <v>1248</v>
      </c>
      <c r="G263" s="556" t="s">
        <v>1242</v>
      </c>
      <c r="H263" s="556" t="s">
        <v>1243</v>
      </c>
    </row>
    <row r="264" spans="4:8">
      <c r="D264" s="16" t="str">
        <f t="shared" si="9"/>
        <v>Predice la selección</v>
      </c>
      <c r="E264" s="16" t="s">
        <v>1248</v>
      </c>
      <c r="G264" s="556" t="s">
        <v>1251</v>
      </c>
      <c r="H264" s="556" t="s">
        <v>1252</v>
      </c>
    </row>
    <row r="265" spans="4:8">
      <c r="D265" s="16" t="str">
        <f t="shared" si="9"/>
        <v>Ronda</v>
      </c>
      <c r="E265" s="16" t="s">
        <v>1248</v>
      </c>
      <c r="G265" s="556" t="s">
        <v>1244</v>
      </c>
      <c r="H265" s="556" t="s">
        <v>1245</v>
      </c>
    </row>
    <row r="266" spans="4:8">
      <c r="D266" s="16" t="str">
        <f t="shared" si="9"/>
        <v>·Selecciona para cada ronda el la selección o selecciones que crees que van a llegar hasta esa ronda.</v>
      </c>
      <c r="E266" s="16" t="s">
        <v>1248</v>
      </c>
      <c r="G266" s="16" t="s">
        <v>1253</v>
      </c>
      <c r="H266" s="556" t="s">
        <v>1259</v>
      </c>
    </row>
    <row r="267" spans="4:8">
      <c r="D267" s="16" t="str">
        <f t="shared" si="9"/>
        <v>·Una vez elijas una selección, dejará de aparecer en la lista</v>
      </c>
      <c r="E267" s="16" t="s">
        <v>1248</v>
      </c>
      <c r="G267" s="16" t="s">
        <v>1260</v>
      </c>
      <c r="H267" s="556" t="s">
        <v>1258</v>
      </c>
    </row>
    <row r="268" spans="4:8">
      <c r="D268" s="16" t="str">
        <f t="shared" si="9"/>
        <v xml:space="preserve">·Si has rellenado todos y quieres hacer un cambio, </v>
      </c>
      <c r="E268" s="16" t="s">
        <v>1248</v>
      </c>
      <c r="G268" s="16" t="s">
        <v>1246</v>
      </c>
      <c r="H268" s="556" t="s">
        <v>1247</v>
      </c>
    </row>
    <row r="269" spans="4:8">
      <c r="D269" s="16" t="str">
        <f t="shared" si="9"/>
        <v xml:space="preserve"> borra las selecciones que quieras cambiar y podrás volver a elegirlas</v>
      </c>
      <c r="E269" s="16" t="s">
        <v>1248</v>
      </c>
      <c r="G269" s="16" t="s">
        <v>1254</v>
      </c>
      <c r="H269" s="556" t="s">
        <v>1257</v>
      </c>
    </row>
    <row r="270" spans="4:8">
      <c r="D270" s="16" t="str">
        <f t="shared" si="9"/>
        <v>Rellenar antes del comienzo del Mundial</v>
      </c>
      <c r="E270" s="16" t="s">
        <v>1248</v>
      </c>
      <c r="G270" s="16" t="s">
        <v>1255</v>
      </c>
      <c r="H270" s="556"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382" t="s">
        <v>84</v>
      </c>
      <c r="B1" s="382" t="s">
        <v>85</v>
      </c>
      <c r="C1" s="380" t="s">
        <v>0</v>
      </c>
      <c r="D1" s="380" t="s">
        <v>1</v>
      </c>
      <c r="E1" s="380" t="s">
        <v>74</v>
      </c>
      <c r="F1" s="380" t="s">
        <v>3</v>
      </c>
      <c r="G1" s="380" t="s">
        <v>6</v>
      </c>
      <c r="H1" s="380" t="s">
        <v>448</v>
      </c>
      <c r="I1" s="380" t="s">
        <v>449</v>
      </c>
      <c r="J1" s="380" t="s">
        <v>247</v>
      </c>
      <c r="N1" s="16" t="s">
        <v>776</v>
      </c>
      <c r="O1" s="384" t="s">
        <v>1372</v>
      </c>
      <c r="P1" s="384" t="s">
        <v>657</v>
      </c>
      <c r="Q1" s="384" t="s">
        <v>660</v>
      </c>
      <c r="R1" s="384" t="s">
        <v>670</v>
      </c>
      <c r="S1" s="384" t="s">
        <v>673</v>
      </c>
      <c r="T1" s="384" t="s">
        <v>679</v>
      </c>
      <c r="U1" s="384" t="s">
        <v>685</v>
      </c>
      <c r="V1" s="384" t="s">
        <v>691</v>
      </c>
      <c r="W1" s="384" t="s">
        <v>694</v>
      </c>
    </row>
    <row r="2" spans="1:23">
      <c r="A2" s="9" t="s">
        <v>489</v>
      </c>
      <c r="B2" s="9">
        <f ca="1">+IF(A2=WORLDCUP!$BI$112,1,0)</f>
        <v>0</v>
      </c>
      <c r="C2" s="9" t="str">
        <f ca="1">+WORLDCUP!BD62</f>
        <v>Ecuador</v>
      </c>
      <c r="D2" s="9" t="str">
        <f ca="1">+WORLDCUP!BD67</f>
        <v>Argelia</v>
      </c>
      <c r="E2" s="9" t="str">
        <f ca="1">+WORLDCUP!BD66</f>
        <v>Noruega</v>
      </c>
      <c r="F2" s="9" t="str">
        <f ca="1">+WORLDCUP!BD63</f>
        <v>Suecia</v>
      </c>
      <c r="G2" s="9" t="str">
        <f ca="1">+WORLDCUP!BD65</f>
        <v>Arabia Saudita</v>
      </c>
      <c r="H2" s="9" t="str">
        <f ca="1">+WORLDCUP!BD64</f>
        <v>Nueva Zelanda</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Nueva Zelanda</v>
      </c>
      <c r="E3" s="9" t="str">
        <f ca="1">+WORLDCUP!BD66</f>
        <v>Noruega</v>
      </c>
      <c r="F3" s="9" t="str">
        <f ca="1">+WORLDCUP!BD61</f>
        <v>Paraguay</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Ecuador</v>
      </c>
      <c r="D4" s="9" t="str">
        <f ca="1">+WORLDCUP!BD67</f>
        <v>Argelia</v>
      </c>
      <c r="E4" s="9" t="str">
        <f ca="1">+WORLDCUP!BD66</f>
        <v>Noruega</v>
      </c>
      <c r="F4" s="9" t="str">
        <f ca="1">+WORLDCUP!BD61</f>
        <v>Paraguay</v>
      </c>
      <c r="G4" s="9" t="str">
        <f ca="1">+WORLDCUP!BD65</f>
        <v>Arabia Saudita</v>
      </c>
      <c r="H4" s="9" t="str">
        <f ca="1">+WORLDCUP!BD64</f>
        <v>Nueva Zelanda</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Ecuador</v>
      </c>
      <c r="D5" s="9" t="str">
        <f ca="1">+WORLDCUP!BD67</f>
        <v>Argelia</v>
      </c>
      <c r="E5" s="9" t="str">
        <f ca="1">+WORLDCUP!BD66</f>
        <v>Noruega</v>
      </c>
      <c r="F5" s="9" t="str">
        <f ca="1">+WORLDCUP!BD61</f>
        <v>Paraguay</v>
      </c>
      <c r="G5" s="9" t="str">
        <f ca="1">+WORLDCUP!BD65</f>
        <v>Arabia Saudita</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Ecuador</v>
      </c>
      <c r="D6" s="9" t="str">
        <f ca="1">+WORLDCUP!BD64</f>
        <v>Nueva Zelanda</v>
      </c>
      <c r="E6" s="9" t="str">
        <f ca="1">+WORLDCUP!BD66</f>
        <v>Noruega</v>
      </c>
      <c r="F6" s="9" t="str">
        <f ca="1">+WORLDCUP!BD61</f>
        <v>Paraguay</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Ecuador</v>
      </c>
      <c r="D7" s="9" t="str">
        <f ca="1">+WORLDCUP!BD64</f>
        <v>Nueva Zelanda</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Nueva Zelanda</v>
      </c>
      <c r="E8" s="9" t="str">
        <f ca="1">+WORLDCUP!BD66</f>
        <v>Noruega</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Nueva Zelanda</v>
      </c>
      <c r="E9" s="9" t="str">
        <f ca="1">+WORLDCUP!BD67</f>
        <v>Argelia</v>
      </c>
      <c r="F9" s="9" t="str">
        <f ca="1">+WORLDCUP!BD61</f>
        <v>Paraguay</v>
      </c>
      <c r="G9" s="9" t="str">
        <f ca="1">+WORLDCUP!BD65</f>
        <v>Arabia Saudita</v>
      </c>
      <c r="H9" s="9" t="str">
        <f ca="1">+WORLDCUP!BD63</f>
        <v>Suecia</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Nueva Zelanda</v>
      </c>
      <c r="E10" s="9" t="str">
        <f ca="1">+WORLDCUP!BD67</f>
        <v>Argelia</v>
      </c>
      <c r="F10" s="9" t="str">
        <f ca="1">+WORLDCUP!BD61</f>
        <v>Paraguay</v>
      </c>
      <c r="G10" s="9" t="str">
        <f ca="1">+WORLDCUP!BD65</f>
        <v>Arabia Saudita</v>
      </c>
      <c r="H10" s="9" t="str">
        <f ca="1">+WORLDCUP!BD63</f>
        <v>Suecia</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Nueva Zelanda</v>
      </c>
      <c r="E11" s="9" t="str">
        <f ca="1">+WORLDCUP!BD66</f>
        <v>Noruega</v>
      </c>
      <c r="F11" s="9" t="str">
        <f ca="1">+WORLDCUP!BD60</f>
        <v>Brasil</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Ecuador</v>
      </c>
      <c r="D12" s="9" t="str">
        <f ca="1">+WORLDCUP!BD67</f>
        <v>Argelia</v>
      </c>
      <c r="E12" s="9" t="str">
        <f ca="1">+WORLDCUP!BD66</f>
        <v>Noruega</v>
      </c>
      <c r="F12" s="9" t="str">
        <f ca="1">+WORLDCUP!BD60</f>
        <v>Brasil</v>
      </c>
      <c r="G12" s="9" t="str">
        <f ca="1">+WORLDCUP!BD65</f>
        <v>Arabia Saudita</v>
      </c>
      <c r="H12" s="9" t="str">
        <f ca="1">+WORLDCUP!BD64</f>
        <v>Nueva Zelanda</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Ecuador</v>
      </c>
      <c r="D13" s="9" t="str">
        <f ca="1">+WORLDCUP!BD67</f>
        <v>Argelia</v>
      </c>
      <c r="E13" s="9" t="str">
        <f ca="1">+WORLDCUP!BD66</f>
        <v>Noruega</v>
      </c>
      <c r="F13" s="9" t="str">
        <f ca="1">+WORLDCUP!BD60</f>
        <v>Brasil</v>
      </c>
      <c r="G13" s="9" t="str">
        <f ca="1">+WORLDCUP!BD65</f>
        <v>Arabia Saudita</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Ecuador</v>
      </c>
      <c r="D14" s="9" t="str">
        <f ca="1">+WORLDCUP!BD64</f>
        <v>Nueva Zelanda</v>
      </c>
      <c r="E14" s="9" t="str">
        <f ca="1">+WORLDCUP!BD66</f>
        <v>Noruega</v>
      </c>
      <c r="F14" s="9" t="str">
        <f ca="1">+WORLDCUP!BD60</f>
        <v>Brasil</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Ecuador</v>
      </c>
      <c r="D15" s="9" t="str">
        <f ca="1">+WORLDCUP!BD64</f>
        <v>Nueva Zelanda</v>
      </c>
      <c r="E15" s="9" t="str">
        <f ca="1">+WORLDCUP!BD67</f>
        <v>Argelia</v>
      </c>
      <c r="F15" s="9" t="str">
        <f ca="1">+WORLDCUP!BD60</f>
        <v>Brasil</v>
      </c>
      <c r="G15" s="9" t="str">
        <f ca="1">+WORLDCUP!BD65</f>
        <v>Arabia Saudita</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Ecuador</v>
      </c>
      <c r="D16" s="9" t="str">
        <f ca="1">+WORLDCUP!BD64</f>
        <v>Nueva Zelanda</v>
      </c>
      <c r="E16" s="9" t="str">
        <f ca="1">+WORLDCUP!BD66</f>
        <v>Noruega</v>
      </c>
      <c r="F16" s="9" t="str">
        <f ca="1">+WORLDCUP!BD60</f>
        <v>Brasil</v>
      </c>
      <c r="G16" s="9" t="str">
        <f ca="1">+WORLDCUP!BD65</f>
        <v>Arabia Saudita</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Ecuador</v>
      </c>
      <c r="D17" s="9" t="str">
        <f ca="1">+WORLDCUP!BD64</f>
        <v>Nueva Zelanda</v>
      </c>
      <c r="E17" s="9" t="str">
        <f ca="1">+WORLDCUP!BD67</f>
        <v>Argelia</v>
      </c>
      <c r="F17" s="9" t="str">
        <f ca="1">+WORLDCUP!BD60</f>
        <v>Brasil</v>
      </c>
      <c r="G17" s="9" t="str">
        <f ca="1">+WORLDCUP!BD65</f>
        <v>Arabia Saudita</v>
      </c>
      <c r="H17" s="9" t="str">
        <f ca="1">+WORLDCUP!BD63</f>
        <v>Suecia</v>
      </c>
      <c r="I17" s="9" t="str">
        <f ca="1">+WORLDCUP!BD69</f>
        <v>Ghana</v>
      </c>
      <c r="J17" s="9" t="str">
        <f ca="1">+WORLDCUP!BD66</f>
        <v>Noruega</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Ecuador</v>
      </c>
      <c r="D18" s="9" t="str">
        <f ca="1">+WORLDCUP!BD64</f>
        <v>Nueva Zelanda</v>
      </c>
      <c r="E18" s="9" t="str">
        <f ca="1">+WORLDCUP!BD67</f>
        <v>Argelia</v>
      </c>
      <c r="F18" s="9" t="str">
        <f ca="1">+WORLDCUP!BD60</f>
        <v>Brasil</v>
      </c>
      <c r="G18" s="9" t="str">
        <f ca="1">+WORLDCUP!BD65</f>
        <v>Arabia Saudita</v>
      </c>
      <c r="H18" s="9" t="str">
        <f ca="1">+WORLDCUP!BD63</f>
        <v>Suecia</v>
      </c>
      <c r="I18" s="9" t="str">
        <f ca="1">+WORLDCUP!BD66</f>
        <v>Noruega</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Nueva Zelanda</v>
      </c>
      <c r="E19" s="9" t="str">
        <f ca="1">+WORLDCUP!BD66</f>
        <v>Noruega</v>
      </c>
      <c r="F19" s="9" t="str">
        <f ca="1">+WORLDCUP!BD60</f>
        <v>Brasil</v>
      </c>
      <c r="G19" s="9" t="str">
        <f ca="1">+WORLDCUP!BD67</f>
        <v>Argelia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Brasil</v>
      </c>
      <c r="D20" s="9" t="str">
        <f ca="1">+WORLDCUP!BD67</f>
        <v>Argelia</v>
      </c>
      <c r="E20" s="9" t="str">
        <f ca="1">+WORLDCUP!BD66</f>
        <v>Noruega</v>
      </c>
      <c r="F20" s="9" t="str">
        <f ca="1">+WORLDCUP!BD61</f>
        <v>Paraguay</v>
      </c>
      <c r="G20" s="9" t="str">
        <f ca="1">+WORLDCUP!BD65</f>
        <v>Arabia Saudita</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Brasil</v>
      </c>
      <c r="D21" s="9" t="str">
        <f ca="1">+WORLDCUP!BD64</f>
        <v>Nueva Zelanda</v>
      </c>
      <c r="E21" s="9" t="str">
        <f ca="1">+WORLDCUP!BD66</f>
        <v>Noruega</v>
      </c>
      <c r="F21" s="9" t="str">
        <f ca="1">+WORLDCUP!BD61</f>
        <v>Paraguay</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Brasil</v>
      </c>
      <c r="D22" s="9" t="str">
        <f ca="1">+WORLDCUP!BD64</f>
        <v>Nueva Zelanda</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Brasil</v>
      </c>
      <c r="D23" s="9" t="str">
        <f ca="1">+WORLDCUP!BD64</f>
        <v>Nueva Zelanda</v>
      </c>
      <c r="E23" s="9" t="str">
        <f ca="1">+WORLDCUP!BD66</f>
        <v>Noruega</v>
      </c>
      <c r="F23" s="9" t="str">
        <f ca="1">+WORLDCUP!BD61</f>
        <v>Paraguay</v>
      </c>
      <c r="G23" s="9" t="str">
        <f ca="1">+WORLDCUP!BD65</f>
        <v>Arabia Saudita</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Brasil</v>
      </c>
      <c r="D24" s="9" t="str">
        <f ca="1">+WORLDCUP!BD64</f>
        <v>Nueva Zelanda</v>
      </c>
      <c r="E24" s="9" t="str">
        <f ca="1">+WORLDCUP!BD67</f>
        <v>Argelia</v>
      </c>
      <c r="F24" s="9" t="str">
        <f ca="1">+WORLDCUP!BD61</f>
        <v>Paraguay</v>
      </c>
      <c r="G24" s="9" t="str">
        <f ca="1">+WORLDCUP!BD65</f>
        <v>Arabia Saudita</v>
      </c>
      <c r="H24" s="9" t="str">
        <f ca="1">+WORLDCUP!BD63</f>
        <v>Suecia</v>
      </c>
      <c r="I24" s="9" t="str">
        <f ca="1">+WORLDCUP!BD69</f>
        <v>Ghana</v>
      </c>
      <c r="J24" s="9" t="str">
        <f ca="1">+WORLDCUP!BD66</f>
        <v>Noruega</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Brasil</v>
      </c>
      <c r="D25" s="9" t="str">
        <f ca="1">+WORLDCUP!BD64</f>
        <v>Nueva Zelanda</v>
      </c>
      <c r="E25" s="9" t="str">
        <f ca="1">+WORLDCUP!BD67</f>
        <v>Argelia</v>
      </c>
      <c r="F25" s="9" t="str">
        <f ca="1">+WORLDCUP!BD61</f>
        <v>Paraguay</v>
      </c>
      <c r="G25" s="9" t="str">
        <f ca="1">+WORLDCUP!BD65</f>
        <v>Arabia Saudita</v>
      </c>
      <c r="H25" s="9" t="str">
        <f ca="1">+WORLDCUP!BD63</f>
        <v>Suecia</v>
      </c>
      <c r="I25" s="9" t="str">
        <f ca="1">+WORLDCUP!BD66</f>
        <v>Noruega</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Ecuador</v>
      </c>
      <c r="D26" s="9" t="str">
        <f ca="1">+WORLDCUP!BD67</f>
        <v>Argelia</v>
      </c>
      <c r="E26" s="9" t="str">
        <f ca="1">+WORLDCUP!BD66</f>
        <v>Noruega</v>
      </c>
      <c r="F26" s="9" t="str">
        <f ca="1">+WORLDCUP!BD60</f>
        <v>Brasil</v>
      </c>
      <c r="G26" s="9" t="str">
        <f ca="1">+WORLDCUP!BD65</f>
        <v>Arabia Saudita</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Ecuador</v>
      </c>
      <c r="D27" s="9" t="str">
        <f ca="1">+WORLDCUP!BD64</f>
        <v>Nueva Zelanda</v>
      </c>
      <c r="E27" s="9" t="str">
        <f ca="1">+WORLDCUP!BD66</f>
        <v>Noruega</v>
      </c>
      <c r="F27" s="9" t="str">
        <f ca="1">+WORLDCUP!BD60</f>
        <v>Brasil</v>
      </c>
      <c r="G27" s="9" t="str">
        <f ca="1">+WORLDCUP!BD67</f>
        <v>Argelia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Ecuador</v>
      </c>
      <c r="D28" s="9" t="str">
        <f ca="1">+WORLDCUP!BD64</f>
        <v>Nueva Zelanda</v>
      </c>
      <c r="E28" s="9" t="str">
        <f ca="1">+WORLDCUP!BD67</f>
        <v>Argelia</v>
      </c>
      <c r="F28" s="9" t="str">
        <f ca="1">+WORLDCUP!BD60</f>
        <v>Brasil</v>
      </c>
      <c r="G28" s="9" t="str">
        <f ca="1">+WORLDCUP!BD65</f>
        <v>Arabia Saudita</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Ecuador</v>
      </c>
      <c r="D29" s="9" t="str">
        <f ca="1">+WORLDCUP!BD64</f>
        <v>Nueva Zelanda</v>
      </c>
      <c r="E29" s="9" t="str">
        <f ca="1">+WORLDCUP!BD66</f>
        <v>Noruega</v>
      </c>
      <c r="F29" s="9" t="str">
        <f ca="1">+WORLDCUP!BD60</f>
        <v>Brasil</v>
      </c>
      <c r="G29" s="9" t="str">
        <f ca="1">+WORLDCUP!BD65</f>
        <v>Arabia Saudita</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Ecuador</v>
      </c>
      <c r="D30" s="9" t="str">
        <f ca="1">+WORLDCUP!BD64</f>
        <v>Nueva Zelanda</v>
      </c>
      <c r="E30" s="9" t="str">
        <f ca="1">+WORLDCUP!BD67</f>
        <v>Argelia</v>
      </c>
      <c r="F30" s="9" t="str">
        <f ca="1">+WORLDCUP!BD60</f>
        <v>Brasil</v>
      </c>
      <c r="G30" s="9" t="str">
        <f ca="1">+WORLDCUP!BD65</f>
        <v>Arabia Saudita</v>
      </c>
      <c r="H30" s="9" t="str">
        <f ca="1">+WORLDCUP!BD61</f>
        <v>Paraguay</v>
      </c>
      <c r="I30" s="9" t="str">
        <f ca="1">+WORLDCUP!BD69</f>
        <v>Ghana</v>
      </c>
      <c r="J30" s="9" t="str">
        <f ca="1">+WORLDCUP!BD66</f>
        <v>Noruega</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Ecuador</v>
      </c>
      <c r="D31" s="9" t="str">
        <f ca="1">+WORLDCUP!BD64</f>
        <v>Nueva Zelanda</v>
      </c>
      <c r="E31" s="9" t="str">
        <f ca="1">+WORLDCUP!BD67</f>
        <v>Argelia</v>
      </c>
      <c r="F31" s="9" t="str">
        <f ca="1">+WORLDCUP!BD60</f>
        <v>Brasil</v>
      </c>
      <c r="G31" s="9" t="str">
        <f ca="1">+WORLDCUP!BD65</f>
        <v>Arabia Saudita</v>
      </c>
      <c r="H31" s="9" t="str">
        <f ca="1">+WORLDCUP!BD61</f>
        <v>Paraguay</v>
      </c>
      <c r="I31" s="9" t="str">
        <f ca="1">+WORLDCUP!BD66</f>
        <v>Noruega</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Brasil</v>
      </c>
      <c r="D32" s="9" t="str">
        <f ca="1">+WORLDCUP!BD67</f>
        <v>Argelia</v>
      </c>
      <c r="E32" s="9" t="str">
        <f ca="1">+WORLDCUP!BD62</f>
        <v>Ecuador</v>
      </c>
      <c r="F32" s="9" t="str">
        <f ca="1">+WORLDCUP!BD61</f>
        <v>Paraguay</v>
      </c>
      <c r="G32" s="9" t="str">
        <f ca="1">+WORLDCUP!BD66</f>
        <v>Noruega</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Brasil</v>
      </c>
      <c r="D33" s="9" t="str">
        <f ca="1">+WORLDCUP!BD67</f>
        <v>Argelia</v>
      </c>
      <c r="E33" s="9" t="str">
        <f ca="1">+WORLDCUP!BD62</f>
        <v>Ecuador</v>
      </c>
      <c r="F33" s="9" t="str">
        <f ca="1">+WORLDCUP!BD61</f>
        <v>Paraguay</v>
      </c>
      <c r="G33" s="9" t="str">
        <f ca="1">+WORLDCUP!BD65</f>
        <v>Arabia Saudita</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Brasil</v>
      </c>
      <c r="D34" s="9" t="str">
        <f ca="1">+WORLDCUP!BD62</f>
        <v>Ecuador</v>
      </c>
      <c r="E34" s="9" t="str">
        <f ca="1">+WORLDCUP!BD66</f>
        <v>Noruega</v>
      </c>
      <c r="F34" s="9" t="str">
        <f ca="1">+WORLDCUP!BD61</f>
        <v>Paraguay</v>
      </c>
      <c r="G34" s="9" t="str">
        <f ca="1">+WORLDCUP!BD65</f>
        <v>Arabia Saudita</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Brasil</v>
      </c>
      <c r="D35" s="9" t="str">
        <f ca="1">+WORLDCUP!BD67</f>
        <v>Argelia</v>
      </c>
      <c r="E35" s="9" t="str">
        <f ca="1">+WORLDCUP!BD62</f>
        <v>Ecuador</v>
      </c>
      <c r="F35" s="9" t="str">
        <f ca="1">+WORLDCUP!BD61</f>
        <v>Paraguay</v>
      </c>
      <c r="G35" s="9" t="str">
        <f ca="1">+WORLDCUP!BD65</f>
        <v>Arabia Saudita</v>
      </c>
      <c r="H35" s="9" t="str">
        <f ca="1">+WORLDCUP!BD63</f>
        <v>Suecia</v>
      </c>
      <c r="I35" s="9" t="str">
        <f ca="1">+WORLDCUP!BD69</f>
        <v>Ghana</v>
      </c>
      <c r="J35" s="9" t="str">
        <f ca="1">+WORLDCUP!BD66</f>
        <v>Noruega</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Brasil</v>
      </c>
      <c r="D36" s="9" t="str">
        <f ca="1">+WORLDCUP!BD67</f>
        <v>Argelia</v>
      </c>
      <c r="E36" s="9" t="str">
        <f ca="1">+WORLDCUP!BD62</f>
        <v>Ecuador</v>
      </c>
      <c r="F36" s="9" t="str">
        <f ca="1">+WORLDCUP!BD61</f>
        <v>Paraguay</v>
      </c>
      <c r="G36" s="9" t="str">
        <f ca="1">+WORLDCUP!BD65</f>
        <v>Arabia Saudita</v>
      </c>
      <c r="H36" s="9" t="str">
        <f ca="1">+WORLDCUP!BD63</f>
        <v>Suecia</v>
      </c>
      <c r="I36" s="9" t="str">
        <f ca="1">+WORLDCUP!BD66</f>
        <v>Noruega</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Brasil</v>
      </c>
      <c r="D37" s="9" t="str">
        <f ca="1">+WORLDCUP!BD64</f>
        <v>Nueva Zelanda</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Brasil</v>
      </c>
      <c r="D38" s="9" t="str">
        <f ca="1">+WORLDCUP!BD64</f>
        <v>Nueva Zelanda</v>
      </c>
      <c r="E38" s="9" t="str">
        <f ca="1">+WORLDCUP!BD62</f>
        <v>Ecuador</v>
      </c>
      <c r="F38" s="9" t="str">
        <f ca="1">+WORLDCUP!BD61</f>
        <v>Paraguay</v>
      </c>
      <c r="G38" s="9" t="str">
        <f ca="1">+WORLDCUP!BD66</f>
        <v>Noruega</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Brasil</v>
      </c>
      <c r="D39" s="9" t="str">
        <f ca="1">+WORLDCUP!BD64</f>
        <v>Nueva Zelanda</v>
      </c>
      <c r="E39" s="9" t="str">
        <f ca="1">+WORLDCUP!BD62</f>
        <v>Ecuador</v>
      </c>
      <c r="F39" s="9" t="str">
        <f ca="1">+WORLDCUP!BD61</f>
        <v>Paraguay</v>
      </c>
      <c r="G39" s="9" t="str">
        <f ca="1">+WORLDCUP!BD67</f>
        <v>Argelia</v>
      </c>
      <c r="H39" s="9" t="str">
        <f ca="1">+WORLDCUP!BD63</f>
        <v>Suecia</v>
      </c>
      <c r="I39" s="9" t="str">
        <f ca="1">+WORLDCUP!BD69</f>
        <v>Ghana</v>
      </c>
      <c r="J39" s="9" t="str">
        <f ca="1">+WORLDCUP!BD66</f>
        <v>Noruega</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Brasil</v>
      </c>
      <c r="D40" s="9" t="str">
        <f ca="1">+WORLDCUP!BD64</f>
        <v>Nueva Zelanda</v>
      </c>
      <c r="E40" s="9" t="str">
        <f ca="1">+WORLDCUP!BD62</f>
        <v>Ecuador</v>
      </c>
      <c r="F40" s="9" t="str">
        <f ca="1">+WORLDCUP!BD61</f>
        <v>Paraguay</v>
      </c>
      <c r="G40" s="9" t="str">
        <f ca="1">+WORLDCUP!BD67</f>
        <v>Argelia</v>
      </c>
      <c r="H40" s="9" t="str">
        <f ca="1">+WORLDCUP!BD63</f>
        <v>Suecia</v>
      </c>
      <c r="I40" s="9" t="str">
        <f ca="1">+WORLDCUP!BD66</f>
        <v>Noruega</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Brasil</v>
      </c>
      <c r="D41" s="9" t="str">
        <f ca="1">+WORLDCUP!BD64</f>
        <v>Nueva Zelanda</v>
      </c>
      <c r="E41" s="9" t="str">
        <f ca="1">+WORLDCUP!BD62</f>
        <v>Ecuador</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Brasil</v>
      </c>
      <c r="D42" s="9" t="str">
        <f ca="1">+WORLDCUP!BD64</f>
        <v>Nueva Zelanda</v>
      </c>
      <c r="E42" s="9" t="str">
        <f ca="1">+WORLDCUP!BD67</f>
        <v>Argelia</v>
      </c>
      <c r="F42" s="9" t="str">
        <f ca="1">+WORLDCUP!BD61</f>
        <v>Paraguay</v>
      </c>
      <c r="G42" s="9" t="str">
        <f ca="1">+WORLDCUP!BD65</f>
        <v>Arabia Saudita</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Brasil</v>
      </c>
      <c r="D43" s="9" t="str">
        <f ca="1">+WORLDCUP!BD64</f>
        <v>Nueva Zelanda</v>
      </c>
      <c r="E43" s="9" t="str">
        <f ca="1">+WORLDCUP!BD67</f>
        <v>Argelia</v>
      </c>
      <c r="F43" s="9" t="str">
        <f ca="1">+WORLDCUP!BD61</f>
        <v>Paraguay</v>
      </c>
      <c r="G43" s="9" t="str">
        <f ca="1">+WORLDCUP!BD65</f>
        <v>Arabia Saudita</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Brasil</v>
      </c>
      <c r="D44" s="9" t="str">
        <f ca="1">+WORLDCUP!BD64</f>
        <v>Nueva Zelanda</v>
      </c>
      <c r="E44" s="9" t="str">
        <f ca="1">+WORLDCUP!BD62</f>
        <v>Ecuador</v>
      </c>
      <c r="F44" s="9" t="str">
        <f ca="1">+WORLDCUP!BD61</f>
        <v>Paraguay</v>
      </c>
      <c r="G44" s="9" t="str">
        <f ca="1">+WORLDCUP!BD65</f>
        <v>Arabia Saudita</v>
      </c>
      <c r="H44" s="9" t="str">
        <f ca="1">+WORLDCUP!BD63</f>
        <v>Suecia</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Brasil</v>
      </c>
      <c r="D45" s="9" t="str">
        <f ca="1">+WORLDCUP!BD64</f>
        <v>Nueva Zelanda</v>
      </c>
      <c r="E45" s="9" t="str">
        <f ca="1">+WORLDCUP!BD62</f>
        <v>Ecuador</v>
      </c>
      <c r="F45" s="9" t="str">
        <f ca="1">+WORLDCUP!BD61</f>
        <v>Paraguay</v>
      </c>
      <c r="G45" s="9" t="str">
        <f ca="1">+WORLDCUP!BD65</f>
        <v>Arabia Saudita</v>
      </c>
      <c r="H45" s="9" t="str">
        <f ca="1">+WORLDCUP!BD63</f>
        <v>Suecia</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Brasil</v>
      </c>
      <c r="D46" s="9" t="str">
        <f ca="1">+WORLDCUP!BD64</f>
        <v>Nueva Zelanda</v>
      </c>
      <c r="E46" s="9" t="str">
        <f ca="1">+WORLDCUP!BD67</f>
        <v>Argelia</v>
      </c>
      <c r="F46" s="9" t="str">
        <f ca="1">+WORLDCUP!BD61</f>
        <v>Paraguay</v>
      </c>
      <c r="G46" s="9" t="str">
        <f ca="1">+WORLDCUP!BD65</f>
        <v>Arabia Saudita</v>
      </c>
      <c r="H46" s="9" t="str">
        <f ca="1">+WORLDCUP!BD63</f>
        <v>Suecia</v>
      </c>
      <c r="I46" s="9" t="str">
        <f ca="1">+WORLDCUP!BD62</f>
        <v>Ecuador</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Noruega</v>
      </c>
      <c r="H47" s="9" t="str">
        <f ca="1">+WORLDCUP!BD64</f>
        <v>Nueva Zelanda</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Ecuador</v>
      </c>
      <c r="D48" s="9" t="str">
        <f ca="1">+WORLDCUP!BD67</f>
        <v>Argelia</v>
      </c>
      <c r="E48" s="9" t="str">
        <f ca="1">+WORLDCUP!BD66</f>
        <v>Noruega</v>
      </c>
      <c r="F48" s="9" t="str">
        <f ca="1">+WORLDCUP!BD59</f>
        <v>Bosnia y Herzegovina</v>
      </c>
      <c r="G48" s="9" t="str">
        <f ca="1">+WORLDCUP!BD65</f>
        <v>Arabia Saudita</v>
      </c>
      <c r="H48" s="9" t="str">
        <f ca="1">+WORLDCUP!BD64</f>
        <v>Nueva Zelanda</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Ecuador</v>
      </c>
      <c r="D49" s="9" t="str">
        <f ca="1">+WORLDCUP!BD67</f>
        <v>Argelia</v>
      </c>
      <c r="E49" s="9" t="str">
        <f ca="1">+WORLDCUP!BD59</f>
        <v>Bosnia y Herzegovina</v>
      </c>
      <c r="F49" s="9" t="str">
        <f ca="1">+WORLDCUP!BD63</f>
        <v>Suecia</v>
      </c>
      <c r="G49" s="9" t="str">
        <f ca="1">+WORLDCUP!BD66</f>
        <v>Noruega</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Ecuador</v>
      </c>
      <c r="D50" s="9" t="str">
        <f ca="1">+WORLDCUP!BD67</f>
        <v>Argelia</v>
      </c>
      <c r="E50" s="9" t="str">
        <f ca="1">+WORLDCUP!BD59</f>
        <v>Bosnia y Herzegovina</v>
      </c>
      <c r="F50" s="9" t="str">
        <f ca="1">+WORLDCUP!BD63</f>
        <v>Suecia</v>
      </c>
      <c r="G50" s="9" t="str">
        <f ca="1">+WORLDCUP!BD66</f>
        <v>Noruega</v>
      </c>
      <c r="H50" s="9" t="str">
        <f ca="1">+WORLDCUP!BD64</f>
        <v>Nueva Zelanda</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Ecuador</v>
      </c>
      <c r="D51" s="9" t="str">
        <f ca="1">+WORLDCUP!BD67</f>
        <v>Argelia</v>
      </c>
      <c r="E51" s="9" t="str">
        <f ca="1">+WORLDCUP!BD59</f>
        <v>Bosnia y Herzegovina</v>
      </c>
      <c r="F51" s="9" t="str">
        <f ca="1">+WORLDCUP!BD63</f>
        <v>Suecia</v>
      </c>
      <c r="G51" s="9" t="str">
        <f ca="1">+WORLDCUP!BD65</f>
        <v>Arabia Saudita</v>
      </c>
      <c r="H51" s="9" t="str">
        <f ca="1">+WORLDCUP!BD64</f>
        <v>Nueva Zelanda</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Ecuador</v>
      </c>
      <c r="D52" s="9" t="str">
        <f ca="1">+WORLDCUP!BD64</f>
        <v>Nueva Zelanda</v>
      </c>
      <c r="E52" s="9" t="str">
        <f ca="1">+WORLDCUP!BD59</f>
        <v>Bosnia y Herzegovina</v>
      </c>
      <c r="F52" s="9" t="str">
        <f ca="1">+WORLDCUP!BD63</f>
        <v>Suecia</v>
      </c>
      <c r="G52" s="9" t="str">
        <f ca="1">+WORLDCUP!BD66</f>
        <v>Noruega</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Ecuador</v>
      </c>
      <c r="D53" s="9" t="str">
        <f ca="1">+WORLDCUP!BD67</f>
        <v>Argelia</v>
      </c>
      <c r="E53" s="9" t="str">
        <f ca="1">+WORLDCUP!BD59</f>
        <v>Bosnia y Herzegovina</v>
      </c>
      <c r="F53" s="9" t="str">
        <f ca="1">+WORLDCUP!BD63</f>
        <v>Suecia</v>
      </c>
      <c r="G53" s="9" t="str">
        <f ca="1">+WORLDCUP!BD65</f>
        <v>Arabia Saudita</v>
      </c>
      <c r="H53" s="9" t="str">
        <f ca="1">+WORLDCUP!BD64</f>
        <v>Nueva Zelanda</v>
      </c>
      <c r="I53" s="9" t="str">
        <f ca="1">+WORLDCUP!BD69</f>
        <v>Ghana</v>
      </c>
      <c r="J53" s="9" t="str">
        <f ca="1">+WORLDCUP!BD66</f>
        <v>Noruega</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Ecuador</v>
      </c>
      <c r="D54" s="9" t="str">
        <f ca="1">+WORLDCUP!BD67</f>
        <v>Argelia</v>
      </c>
      <c r="E54" s="9" t="str">
        <f ca="1">+WORLDCUP!BD59</f>
        <v>Bosnia y Herzegovina</v>
      </c>
      <c r="F54" s="9" t="str">
        <f ca="1">+WORLDCUP!BD63</f>
        <v>Suecia</v>
      </c>
      <c r="G54" s="9" t="str">
        <f ca="1">+WORLDCUP!BD65</f>
        <v>Arabia Saudita</v>
      </c>
      <c r="H54" s="9" t="str">
        <f ca="1">+WORLDCUP!BD64</f>
        <v>Nueva Zelanda</v>
      </c>
      <c r="I54" s="9" t="str">
        <f ca="1">+WORLDCUP!BD66</f>
        <v>Noruega</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Noruega</v>
      </c>
      <c r="H55" s="9" t="str">
        <f ca="1">+WORLDCUP!BD64</f>
        <v>Nueva Zelanda</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Noruega</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Noruega</v>
      </c>
      <c r="D57" s="9" t="str">
        <f ca="1">+WORLDCUP!BD64</f>
        <v>Nueva Zelanda</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Nueva Zelanda</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Nueva Zelanda</v>
      </c>
      <c r="E59" s="9" t="str">
        <f ca="1">+WORLDCUP!BD59</f>
        <v>Bosnia y Herzegovina</v>
      </c>
      <c r="F59" s="9" t="str">
        <f ca="1">+WORLDCUP!BD61</f>
        <v>Paraguay</v>
      </c>
      <c r="G59" s="9" t="str">
        <f ca="1">+WORLDCUP!BD66</f>
        <v>Noruega</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Nueva Zelanda</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Noruega</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Nueva Zelanda</v>
      </c>
      <c r="E61" s="9" t="str">
        <f ca="1">+WORLDCUP!BD59</f>
        <v>Bosnia y Herzegovina</v>
      </c>
      <c r="F61" s="9" t="str">
        <f ca="1">+WORLDCUP!BD61</f>
        <v>Paraguay</v>
      </c>
      <c r="G61" s="9" t="str">
        <f ca="1">+WORLDCUP!BD67</f>
        <v>Argelia</v>
      </c>
      <c r="H61" s="9" t="str">
        <f ca="1">+WORLDCUP!BD63</f>
        <v>Suecia</v>
      </c>
      <c r="I61" s="9" t="str">
        <f ca="1">+WORLDCUP!BD66</f>
        <v>Noruega</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Noruega</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Noruega</v>
      </c>
      <c r="H63" s="9" t="str">
        <f ca="1">+WORLDCUP!BD64</f>
        <v>Nueva Zelanda</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Arabia Saudita</v>
      </c>
      <c r="H64" s="9" t="str">
        <f ca="1">+WORLDCUP!BD64</f>
        <v>Nueva Zelanda</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Ecuador</v>
      </c>
      <c r="D65" s="9" t="str">
        <f ca="1">+WORLDCUP!BD64</f>
        <v>Nueva Zelanda</v>
      </c>
      <c r="E65" s="9" t="str">
        <f ca="1">+WORLDCUP!BD59</f>
        <v>Bosnia y Herzegovina</v>
      </c>
      <c r="F65" s="9" t="str">
        <f ca="1">+WORLDCUP!BD61</f>
        <v>Paraguay</v>
      </c>
      <c r="G65" s="9" t="str">
        <f ca="1">+WORLDCUP!BD66</f>
        <v>Noruega</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Arabia Saudita</v>
      </c>
      <c r="H66" s="9" t="str">
        <f ca="1">+WORLDCUP!BD64</f>
        <v>Nueva Zelanda</v>
      </c>
      <c r="I66" s="9" t="str">
        <f ca="1">+WORLDCUP!BD69</f>
        <v>Ghana</v>
      </c>
      <c r="J66" s="9" t="str">
        <f ca="1">+WORLDCUP!BD66</f>
        <v>Noruega</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Arabia Saudita</v>
      </c>
      <c r="H67" s="9" t="str">
        <f ca="1">+WORLDCUP!BD64</f>
        <v>Nueva Zelanda</v>
      </c>
      <c r="I67" s="9" t="str">
        <f ca="1">+WORLDCUP!BD66</f>
        <v>Noruega</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Ecuador</v>
      </c>
      <c r="D68" s="9" t="str">
        <f ca="1">+WORLDCUP!BD67</f>
        <v>Argelia</v>
      </c>
      <c r="E68" s="9" t="str">
        <f ca="1">+WORLDCUP!BD59</f>
        <v>Bosnia y Herzegovina</v>
      </c>
      <c r="F68" s="9" t="str">
        <f ca="1">+WORLDCUP!BD61</f>
        <v>Paraguay</v>
      </c>
      <c r="G68" s="9" t="str">
        <f ca="1">+WORLDCUP!BD66</f>
        <v>Noruega</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Ecuador</v>
      </c>
      <c r="D70" s="9" t="str">
        <f ca="1">+WORLDCUP!BD66</f>
        <v>Noruega</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Noruega</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Noruega</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Ecuador</v>
      </c>
      <c r="D73" s="9" t="str">
        <f ca="1">+WORLDCUP!BD64</f>
        <v>Nueva Zelanda</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Ecuador</v>
      </c>
      <c r="D74" s="9" t="str">
        <f ca="1">+WORLDCUP!BD64</f>
        <v>Nueva Zelanda</v>
      </c>
      <c r="E74" s="9" t="str">
        <f ca="1">+WORLDCUP!BD59</f>
        <v>Bosnia y Herzegovina</v>
      </c>
      <c r="F74" s="9" t="str">
        <f ca="1">+WORLDCUP!BD61</f>
        <v>Paraguay</v>
      </c>
      <c r="G74" s="9" t="str">
        <f ca="1">+WORLDCUP!BD66</f>
        <v>Noruega</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Ecuador</v>
      </c>
      <c r="D75" s="9" t="str">
        <f ca="1">+WORLDCUP!BD64</f>
        <v>Nueva Zelanda</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Noruega</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Ecuador</v>
      </c>
      <c r="D76" s="9" t="str">
        <f ca="1">+WORLDCUP!BD64</f>
        <v>Nueva Zelanda</v>
      </c>
      <c r="E76" s="9" t="str">
        <f ca="1">+WORLDCUP!BD59</f>
        <v>Bosnia y Herzegovina</v>
      </c>
      <c r="F76" s="9" t="str">
        <f ca="1">+WORLDCUP!BD61</f>
        <v>Paraguay</v>
      </c>
      <c r="G76" s="9" t="str">
        <f ca="1">+WORLDCUP!BD67</f>
        <v>Argelia</v>
      </c>
      <c r="H76" s="9" t="str">
        <f ca="1">+WORLDCUP!BD63</f>
        <v>Suecia</v>
      </c>
      <c r="I76" s="9" t="str">
        <f ca="1">+WORLDCUP!BD66</f>
        <v>Noruega</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Ecuador</v>
      </c>
      <c r="D77" s="9" t="str">
        <f ca="1">+WORLDCUP!BD64</f>
        <v>Nueva Zelanda</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Nueva Zelanda</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Nueva Zelanda</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Ecuador</v>
      </c>
      <c r="D80" s="9" t="str">
        <f ca="1">+WORLDCUP!BD64</f>
        <v>Nueva Zelanda</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Noruega</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Ecuador</v>
      </c>
      <c r="D81" s="9" t="str">
        <f ca="1">+WORLDCUP!BD64</f>
        <v>Nueva Zelanda</v>
      </c>
      <c r="E81" s="9" t="str">
        <f ca="1">+WORLDCUP!BD59</f>
        <v>Bosnia y Herzegovina</v>
      </c>
      <c r="F81" s="9" t="str">
        <f ca="1">+WORLDCUP!BD61</f>
        <v>Paraguay</v>
      </c>
      <c r="G81" s="9" t="str">
        <f ca="1">+WORLDCUP!BD65</f>
        <v>Arabia Saudita</v>
      </c>
      <c r="H81" s="9" t="str">
        <f ca="1">+WORLDCUP!BD63</f>
        <v>Suecia</v>
      </c>
      <c r="I81" s="9" t="str">
        <f ca="1">+WORLDCUP!BD66</f>
        <v>Noruega</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Nueva Zelanda</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Noruega</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Brasil</v>
      </c>
      <c r="G83" s="9" t="str">
        <f ca="1">+WORLDCUP!BD66</f>
        <v>Noruega</v>
      </c>
      <c r="H83" s="9" t="str">
        <f ca="1">+WORLDCUP!BD64</f>
        <v>Nueva Zelanda</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Brasil</v>
      </c>
      <c r="G84" s="9" t="str">
        <f ca="1">+WORLDCUP!BD66</f>
        <v>Noruega</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Noruega</v>
      </c>
      <c r="D85" s="9" t="str">
        <f ca="1">+WORLDCUP!BD64</f>
        <v>Nueva Zelanda</v>
      </c>
      <c r="E85" s="9" t="str">
        <f ca="1">+WORLDCUP!BD59</f>
        <v>Bosnia y Herzegovina</v>
      </c>
      <c r="F85" s="9" t="str">
        <f ca="1">+WORLDCUP!BD60</f>
        <v>Brasil</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Nueva Zelanda</v>
      </c>
      <c r="E86" s="9" t="str">
        <f ca="1">+WORLDCUP!BD59</f>
        <v>Bosnia y Herzegovina</v>
      </c>
      <c r="F86" s="9" t="str">
        <f ca="1">+WORLDCUP!BD60</f>
        <v>Brasil</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Nueva Zelanda</v>
      </c>
      <c r="E87" s="9" t="str">
        <f ca="1">+WORLDCUP!BD59</f>
        <v>Bosnia y Herzegovina</v>
      </c>
      <c r="F87" s="9" t="str">
        <f ca="1">+WORLDCUP!BD60</f>
        <v>Brasil</v>
      </c>
      <c r="G87" s="9" t="str">
        <f ca="1">+WORLDCUP!BD66</f>
        <v>Noruega</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Nueva Zelanda</v>
      </c>
      <c r="E88" s="9" t="str">
        <f ca="1">+WORLDCUP!BD59</f>
        <v>Bosnia y Herzegovina</v>
      </c>
      <c r="F88" s="9" t="str">
        <f ca="1">+WORLDCUP!BD60</f>
        <v>Brasil</v>
      </c>
      <c r="G88" s="9" t="str">
        <f ca="1">+WORLDCUP!BD67</f>
        <v>Argelia</v>
      </c>
      <c r="H88" s="9" t="str">
        <f ca="1">+WORLDCUP!BD63</f>
        <v>Suecia</v>
      </c>
      <c r="I88" s="9" t="str">
        <f ca="1">+WORLDCUP!BD69</f>
        <v>Ghana</v>
      </c>
      <c r="J88" s="9" t="str">
        <f ca="1">+WORLDCUP!BD66</f>
        <v>Noruega</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Nueva Zelanda</v>
      </c>
      <c r="E89" s="9" t="str">
        <f ca="1">+WORLDCUP!BD59</f>
        <v>Bosnia y Herzegovina</v>
      </c>
      <c r="F89" s="9" t="str">
        <f ca="1">+WORLDCUP!BD60</f>
        <v>Brasil</v>
      </c>
      <c r="G89" s="9" t="str">
        <f ca="1">+WORLDCUP!BD67</f>
        <v>Argelia</v>
      </c>
      <c r="H89" s="9" t="str">
        <f ca="1">+WORLDCUP!BD63</f>
        <v>Suecia</v>
      </c>
      <c r="I89" s="9" t="str">
        <f ca="1">+WORLDCUP!BD66</f>
        <v>Noruega</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Ecuador</v>
      </c>
      <c r="D90" s="9" t="str">
        <f ca="1">+WORLDCUP!BD67</f>
        <v>Argelia</v>
      </c>
      <c r="E90" s="9" t="str">
        <f ca="1">+WORLDCUP!BD59</f>
        <v>Bosnia y Herzegovina</v>
      </c>
      <c r="F90" s="9" t="str">
        <f ca="1">+WORLDCUP!BD60</f>
        <v>Brasil</v>
      </c>
      <c r="G90" s="9" t="str">
        <f ca="1">+WORLDCUP!BD66</f>
        <v>Noruega</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Ecuador</v>
      </c>
      <c r="D91" s="9" t="str">
        <f ca="1">+WORLDCUP!BD67</f>
        <v>Argelia</v>
      </c>
      <c r="E91" s="9" t="str">
        <f ca="1">+WORLDCUP!BD59</f>
        <v>Bosnia y Herzegovina</v>
      </c>
      <c r="F91" s="9" t="str">
        <f ca="1">+WORLDCUP!BD60</f>
        <v>Brasil</v>
      </c>
      <c r="G91" s="9" t="str">
        <f ca="1">+WORLDCUP!BD66</f>
        <v>Noruega</v>
      </c>
      <c r="H91" s="9" t="str">
        <f ca="1">+WORLDCUP!BD64</f>
        <v>Nueva Zelanda</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Ecuador</v>
      </c>
      <c r="D92" s="9" t="str">
        <f ca="1">+WORLDCUP!BD67</f>
        <v>Argelia</v>
      </c>
      <c r="E92" s="9" t="str">
        <f ca="1">+WORLDCUP!BD59</f>
        <v>Bosnia y Herzegovina</v>
      </c>
      <c r="F92" s="9" t="str">
        <f ca="1">+WORLDCUP!BD60</f>
        <v>Brasil</v>
      </c>
      <c r="G92" s="9" t="str">
        <f ca="1">+WORLDCUP!BD65</f>
        <v>Arabia Saudita</v>
      </c>
      <c r="H92" s="9" t="str">
        <f ca="1">+WORLDCUP!BD64</f>
        <v>Nueva Zelanda</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Ecuador</v>
      </c>
      <c r="D93" s="9" t="str">
        <f ca="1">+WORLDCUP!BD64</f>
        <v>Nueva Zelanda</v>
      </c>
      <c r="E93" s="9" t="str">
        <f ca="1">+WORLDCUP!BD59</f>
        <v>Bosnia y Herzegovina</v>
      </c>
      <c r="F93" s="9" t="str">
        <f ca="1">+WORLDCUP!BD60</f>
        <v>Brasil</v>
      </c>
      <c r="G93" s="9" t="str">
        <f ca="1">+WORLDCUP!BD66</f>
        <v>Noruega</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Ecuador</v>
      </c>
      <c r="D94" s="9" t="str">
        <f ca="1">+WORLDCUP!BD67</f>
        <v>Argelia</v>
      </c>
      <c r="E94" s="9" t="str">
        <f ca="1">+WORLDCUP!BD59</f>
        <v>Bosnia y Herzegovina</v>
      </c>
      <c r="F94" s="9" t="str">
        <f ca="1">+WORLDCUP!BD60</f>
        <v>Brasil</v>
      </c>
      <c r="G94" s="9" t="str">
        <f ca="1">+WORLDCUP!BD65</f>
        <v>Arabia Saudita</v>
      </c>
      <c r="H94" s="9" t="str">
        <f ca="1">+WORLDCUP!BD64</f>
        <v>Nueva Zelanda</v>
      </c>
      <c r="I94" s="9" t="str">
        <f ca="1">+WORLDCUP!BD69</f>
        <v>Ghana</v>
      </c>
      <c r="J94" s="9" t="str">
        <f ca="1">+WORLDCUP!BD66</f>
        <v>Noruega</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Ecuador</v>
      </c>
      <c r="D95" s="9" t="str">
        <f ca="1">+WORLDCUP!BD67</f>
        <v>Argelia</v>
      </c>
      <c r="E95" s="9" t="str">
        <f ca="1">+WORLDCUP!BD59</f>
        <v>Bosnia y Herzegovina</v>
      </c>
      <c r="F95" s="9" t="str">
        <f ca="1">+WORLDCUP!BD60</f>
        <v>Brasil</v>
      </c>
      <c r="G95" s="9" t="str">
        <f ca="1">+WORLDCUP!BD65</f>
        <v>Arabia Saudita</v>
      </c>
      <c r="H95" s="9" t="str">
        <f ca="1">+WORLDCUP!BD64</f>
        <v>Nueva Zelanda</v>
      </c>
      <c r="I95" s="9" t="str">
        <f ca="1">+WORLDCUP!BD66</f>
        <v>Noruega</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Ecuador</v>
      </c>
      <c r="D96" s="9" t="str">
        <f ca="1">+WORLDCUP!BD67</f>
        <v>Argelia</v>
      </c>
      <c r="E96" s="9" t="str">
        <f ca="1">+WORLDCUP!BD59</f>
        <v>Bosnia y Herzegovina</v>
      </c>
      <c r="F96" s="9" t="str">
        <f ca="1">+WORLDCUP!BD60</f>
        <v>Brasil</v>
      </c>
      <c r="G96" s="9" t="str">
        <f ca="1">+WORLDCUP!BD66</f>
        <v>Noruega</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Ecuador</v>
      </c>
      <c r="D97" s="9" t="str">
        <f ca="1">+WORLDCUP!BD67</f>
        <v>Argelia</v>
      </c>
      <c r="E97" s="9" t="str">
        <f ca="1">+WORLDCUP!BD59</f>
        <v>Bosnia y Herzegovina</v>
      </c>
      <c r="F97" s="9" t="str">
        <f ca="1">+WORLDCUP!BD60</f>
        <v>Brasil</v>
      </c>
      <c r="G97" s="9" t="str">
        <f ca="1">+WORLDCUP!BD65</f>
        <v>Arabia Saudita</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Ecuador</v>
      </c>
      <c r="D98" s="9" t="str">
        <f ca="1">+WORLDCUP!BD66</f>
        <v>Noruega</v>
      </c>
      <c r="E98" s="9" t="str">
        <f ca="1">+WORLDCUP!BD59</f>
        <v>Bosnia y Herzegovina</v>
      </c>
      <c r="F98" s="9" t="str">
        <f ca="1">+WORLDCUP!BD60</f>
        <v>Brasil</v>
      </c>
      <c r="G98" s="9" t="str">
        <f ca="1">+WORLDCUP!BD65</f>
        <v>Arabia Saudita</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Ecuador</v>
      </c>
      <c r="D99" s="9" t="str">
        <f ca="1">+WORLDCUP!BD67</f>
        <v>Argelia</v>
      </c>
      <c r="E99" s="9" t="str">
        <f ca="1">+WORLDCUP!BD59</f>
        <v>Bosnia y Herzegovina</v>
      </c>
      <c r="F99" s="9" t="str">
        <f ca="1">+WORLDCUP!BD60</f>
        <v>Brasil</v>
      </c>
      <c r="G99" s="9" t="str">
        <f ca="1">+WORLDCUP!BD65</f>
        <v>Arabia Saudita</v>
      </c>
      <c r="H99" s="9" t="str">
        <f ca="1">+WORLDCUP!BD63</f>
        <v>Suecia</v>
      </c>
      <c r="I99" s="9" t="str">
        <f ca="1">+WORLDCUP!BD69</f>
        <v>Ghana</v>
      </c>
      <c r="J99" s="9" t="str">
        <f ca="1">+WORLDCUP!BD66</f>
        <v>Noruega</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Ecuador</v>
      </c>
      <c r="D100" s="9" t="str">
        <f ca="1">+WORLDCUP!BD67</f>
        <v>Argelia</v>
      </c>
      <c r="E100" s="9" t="str">
        <f ca="1">+WORLDCUP!BD59</f>
        <v>Bosnia y Herzegovina</v>
      </c>
      <c r="F100" s="9" t="str">
        <f ca="1">+WORLDCUP!BD60</f>
        <v>Brasil</v>
      </c>
      <c r="G100" s="9" t="str">
        <f ca="1">+WORLDCUP!BD65</f>
        <v>Arabia Saudita</v>
      </c>
      <c r="H100" s="9" t="str">
        <f ca="1">+WORLDCUP!BD63</f>
        <v>Suecia</v>
      </c>
      <c r="I100" s="9" t="str">
        <f ca="1">+WORLDCUP!BD66</f>
        <v>Noruega</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Ecuador</v>
      </c>
      <c r="D101" s="9" t="str">
        <f ca="1">+WORLDCUP!BD64</f>
        <v>Nueva Zelanda</v>
      </c>
      <c r="E101" s="9" t="str">
        <f ca="1">+WORLDCUP!BD59</f>
        <v>Bosnia y Herzegovina</v>
      </c>
      <c r="F101" s="9" t="str">
        <f ca="1">+WORLDCUP!BD60</f>
        <v>Brasil</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Ecuador</v>
      </c>
      <c r="D102" s="9" t="str">
        <f ca="1">+WORLDCUP!BD64</f>
        <v>Nueva Zelanda</v>
      </c>
      <c r="E102" s="9" t="str">
        <f ca="1">+WORLDCUP!BD59</f>
        <v>Bosnia y Herzegovina</v>
      </c>
      <c r="F102" s="9" t="str">
        <f ca="1">+WORLDCUP!BD60</f>
        <v>Brasil</v>
      </c>
      <c r="G102" s="9" t="str">
        <f ca="1">+WORLDCUP!BD66</f>
        <v>Noruega</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Ecuador</v>
      </c>
      <c r="D103" s="9" t="str">
        <f ca="1">+WORLDCUP!BD64</f>
        <v>Nueva Zelanda</v>
      </c>
      <c r="E103" s="9" t="str">
        <f ca="1">+WORLDCUP!BD59</f>
        <v>Bosnia y Herzegovina</v>
      </c>
      <c r="F103" s="9" t="str">
        <f ca="1">+WORLDCUP!BD60</f>
        <v>Brasil</v>
      </c>
      <c r="G103" s="9" t="str">
        <f ca="1">+WORLDCUP!BD67</f>
        <v>Argelia</v>
      </c>
      <c r="H103" s="9" t="str">
        <f ca="1">+WORLDCUP!BD63</f>
        <v>Suecia</v>
      </c>
      <c r="I103" s="9" t="str">
        <f ca="1">+WORLDCUP!BD69</f>
        <v>Ghana</v>
      </c>
      <c r="J103" s="9" t="str">
        <f ca="1">+WORLDCUP!BD66</f>
        <v>Noruega</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Ecuador</v>
      </c>
      <c r="D104" s="9" t="str">
        <f ca="1">+WORLDCUP!BD64</f>
        <v>Nueva Zelanda</v>
      </c>
      <c r="E104" s="9" t="str">
        <f ca="1">+WORLDCUP!BD59</f>
        <v>Bosnia y Herzegovina</v>
      </c>
      <c r="F104" s="9" t="str">
        <f ca="1">+WORLDCUP!BD60</f>
        <v>Brasil</v>
      </c>
      <c r="G104" s="9" t="str">
        <f ca="1">+WORLDCUP!BD67</f>
        <v>Argelia</v>
      </c>
      <c r="H104" s="9" t="str">
        <f ca="1">+WORLDCUP!BD63</f>
        <v>Suecia</v>
      </c>
      <c r="I104" s="9" t="str">
        <f ca="1">+WORLDCUP!BD66</f>
        <v>Noruega</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Ecuador</v>
      </c>
      <c r="D105" s="9" t="str">
        <f ca="1">+WORLDCUP!BD64</f>
        <v>Nueva Zelanda</v>
      </c>
      <c r="E105" s="9" t="str">
        <f ca="1">+WORLDCUP!BD59</f>
        <v>Bosnia y Herzegovina</v>
      </c>
      <c r="F105" s="9" t="str">
        <f ca="1">+WORLDCUP!BD60</f>
        <v>Brasil</v>
      </c>
      <c r="G105" s="9" t="str">
        <f ca="1">+WORLDCUP!BD65</f>
        <v>Arabia Saudita</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Nueva Zelanda</v>
      </c>
      <c r="E106" s="9" t="str">
        <f ca="1">+WORLDCUP!BD59</f>
        <v>Bosnia y Herzegovina</v>
      </c>
      <c r="F106" s="9" t="str">
        <f ca="1">+WORLDCUP!BD60</f>
        <v>Brasil</v>
      </c>
      <c r="G106" s="9" t="str">
        <f ca="1">+WORLDCUP!BD67</f>
        <v>Argelia</v>
      </c>
      <c r="H106" s="9" t="str">
        <f ca="1">+WORLDCUP!BD63</f>
        <v>Suecia</v>
      </c>
      <c r="I106" s="9" t="str">
        <f ca="1">+WORLDCUP!BD69</f>
        <v>Ghana</v>
      </c>
      <c r="J106" s="9" t="str">
        <f ca="1">+WORLDCUP!BD62</f>
        <v>Ecuador</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Nueva Zelanda</v>
      </c>
      <c r="E107" s="9" t="str">
        <f ca="1">+WORLDCUP!BD59</f>
        <v>Bosnia y Herzegovina</v>
      </c>
      <c r="F107" s="9" t="str">
        <f ca="1">+WORLDCUP!BD60</f>
        <v>Brasil</v>
      </c>
      <c r="G107" s="9" t="str">
        <f ca="1">+WORLDCUP!BD67</f>
        <v>Argelia</v>
      </c>
      <c r="H107" s="9" t="str">
        <f ca="1">+WORLDCUP!BD63</f>
        <v>Suecia</v>
      </c>
      <c r="I107" s="9" t="str">
        <f ca="1">+WORLDCUP!BD62</f>
        <v>Ecuador</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Ecuador</v>
      </c>
      <c r="D108" s="9" t="str">
        <f ca="1">+WORLDCUP!BD64</f>
        <v>Nueva Zelanda</v>
      </c>
      <c r="E108" s="9" t="str">
        <f ca="1">+WORLDCUP!BD59</f>
        <v>Bosnia y Herzegovina</v>
      </c>
      <c r="F108" s="9" t="str">
        <f ca="1">+WORLDCUP!BD60</f>
        <v>Brasil</v>
      </c>
      <c r="G108" s="9" t="str">
        <f ca="1">+WORLDCUP!BD65</f>
        <v>Arabia Saudita</v>
      </c>
      <c r="H108" s="9" t="str">
        <f ca="1">+WORLDCUP!BD63</f>
        <v>Suecia</v>
      </c>
      <c r="I108" s="9" t="str">
        <f ca="1">+WORLDCUP!BD69</f>
        <v>Ghana</v>
      </c>
      <c r="J108" s="9" t="str">
        <f ca="1">+WORLDCUP!BD66</f>
        <v>Noruega</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Ecuador</v>
      </c>
      <c r="D109" s="9" t="str">
        <f ca="1">+WORLDCUP!BD64</f>
        <v>Nueva Zelanda</v>
      </c>
      <c r="E109" s="9" t="str">
        <f ca="1">+WORLDCUP!BD59</f>
        <v>Bosnia y Herzegovina</v>
      </c>
      <c r="F109" s="9" t="str">
        <f ca="1">+WORLDCUP!BD60</f>
        <v>Brasil</v>
      </c>
      <c r="G109" s="9" t="str">
        <f ca="1">+WORLDCUP!BD65</f>
        <v>Arabia Saudita</v>
      </c>
      <c r="H109" s="9" t="str">
        <f ca="1">+WORLDCUP!BD63</f>
        <v>Suecia</v>
      </c>
      <c r="I109" s="9" t="str">
        <f ca="1">+WORLDCUP!BD66</f>
        <v>Noruega</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Nueva Zelanda</v>
      </c>
      <c r="E110" s="9" t="str">
        <f ca="1">+WORLDCUP!BD59</f>
        <v>Bosnia y Herzegovina</v>
      </c>
      <c r="F110" s="9" t="str">
        <f ca="1">+WORLDCUP!BD60</f>
        <v>Brasil</v>
      </c>
      <c r="G110" s="9" t="str">
        <f ca="1">+WORLDCUP!BD67</f>
        <v>Argelia</v>
      </c>
      <c r="H110" s="9" t="str">
        <f ca="1">+WORLDCUP!BD63</f>
        <v>Suecia</v>
      </c>
      <c r="I110" s="9" t="str">
        <f ca="1">+WORLDCUP!BD62</f>
        <v>Ecuador</v>
      </c>
      <c r="J110" s="9" t="str">
        <f ca="1">+WORLDCUP!BD66</f>
        <v>Noruega</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Brasil</v>
      </c>
      <c r="G111" s="9" t="str">
        <f ca="1">+WORLDCUP!BD66</f>
        <v>Noruega</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Noruega</v>
      </c>
      <c r="D112" s="9" t="str">
        <f ca="1">+WORLDCUP!BD64</f>
        <v>Nueva Zelanda</v>
      </c>
      <c r="E112" s="9" t="str">
        <f ca="1">+WORLDCUP!BD59</f>
        <v>Bosnia y Herzegovina</v>
      </c>
      <c r="F112" s="9" t="str">
        <f ca="1">+WORLDCUP!BD60</f>
        <v>Brasil</v>
      </c>
      <c r="G112" s="9" t="str">
        <f ca="1">+WORLDCUP!BD67</f>
        <v>Argelia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Nueva Zelanda</v>
      </c>
      <c r="E113" s="9" t="str">
        <f ca="1">+WORLDCUP!BD59</f>
        <v>Bosnia y Herzegovina</v>
      </c>
      <c r="F113" s="9" t="str">
        <f ca="1">+WORLDCUP!BD60</f>
        <v>Brasil</v>
      </c>
      <c r="G113" s="9" t="str">
        <f ca="1">+WORLDCUP!BD67</f>
        <v>Argelia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Nueva Zelanda</v>
      </c>
      <c r="E114" s="9" t="str">
        <f ca="1">+WORLDCUP!BD59</f>
        <v>Bosnia y Herzegovina</v>
      </c>
      <c r="F114" s="9" t="str">
        <f ca="1">+WORLDCUP!BD60</f>
        <v>Brasil</v>
      </c>
      <c r="G114" s="9" t="str">
        <f ca="1">+WORLDCUP!BD66</f>
        <v>Noruega</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Nueva Zelanda</v>
      </c>
      <c r="E115" s="9" t="str">
        <f ca="1">+WORLDCUP!BD59</f>
        <v>Bosnia y Herzegovina</v>
      </c>
      <c r="F115" s="9" t="str">
        <f ca="1">+WORLDCUP!BD60</f>
        <v>Brasil</v>
      </c>
      <c r="G115" s="9" t="str">
        <f ca="1">+WORLDCUP!BD67</f>
        <v>Argelia</v>
      </c>
      <c r="H115" s="9" t="str">
        <f ca="1">+WORLDCUP!BD61</f>
        <v>Paraguay</v>
      </c>
      <c r="I115" s="9" t="str">
        <f ca="1">+WORLDCUP!BD69</f>
        <v>Ghana</v>
      </c>
      <c r="J115" s="9" t="str">
        <f ca="1">+WORLDCUP!BD66</f>
        <v>Noruega</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Nueva Zelanda</v>
      </c>
      <c r="E116" s="9" t="str">
        <f ca="1">+WORLDCUP!BD59</f>
        <v>Bosnia y Herzegovina</v>
      </c>
      <c r="F116" s="9" t="str">
        <f ca="1">+WORLDCUP!BD60</f>
        <v>Brasil</v>
      </c>
      <c r="G116" s="9" t="str">
        <f ca="1">+WORLDCUP!BD67</f>
        <v>Argelia</v>
      </c>
      <c r="H116" s="9" t="str">
        <f ca="1">+WORLDCUP!BD61</f>
        <v>Paraguay</v>
      </c>
      <c r="I116" s="9" t="str">
        <f ca="1">+WORLDCUP!BD66</f>
        <v>Noruega</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Brasil</v>
      </c>
      <c r="D117" s="9" t="str">
        <f ca="1">+WORLDCUP!BD67</f>
        <v>Argelia</v>
      </c>
      <c r="E117" s="9" t="str">
        <f ca="1">+WORLDCUP!BD59</f>
        <v>Bosnia y Herzegovina</v>
      </c>
      <c r="F117" s="9" t="str">
        <f ca="1">+WORLDCUP!BD61</f>
        <v>Paraguay</v>
      </c>
      <c r="G117" s="9" t="str">
        <f ca="1">+WORLDCUP!BD66</f>
        <v>Noruega</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Brasil</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Brasil</v>
      </c>
      <c r="D119" s="9" t="str">
        <f ca="1">+WORLDCUP!BD66</f>
        <v>Noruega</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Brasil</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Noruega</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Brasil</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Noruega</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Brasil</v>
      </c>
      <c r="D122" s="9" t="str">
        <f ca="1">+WORLDCUP!BD64</f>
        <v>Nueva Zelanda</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Brasil</v>
      </c>
      <c r="D123" s="9" t="str">
        <f ca="1">+WORLDCUP!BD64</f>
        <v>Nueva Zelanda</v>
      </c>
      <c r="E123" s="9" t="str">
        <f ca="1">+WORLDCUP!BD59</f>
        <v>Bosnia y Herzegovina</v>
      </c>
      <c r="F123" s="9" t="str">
        <f ca="1">+WORLDCUP!BD61</f>
        <v>Paraguay</v>
      </c>
      <c r="G123" s="9" t="str">
        <f ca="1">+WORLDCUP!BD66</f>
        <v>Noruega</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Brasil</v>
      </c>
      <c r="D124" s="9" t="str">
        <f ca="1">+WORLDCUP!BD64</f>
        <v>Nueva Zelanda</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Noruega</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Brasil</v>
      </c>
      <c r="D125" s="9" t="str">
        <f ca="1">+WORLDCUP!BD64</f>
        <v>Nueva Zelanda</v>
      </c>
      <c r="E125" s="9" t="str">
        <f ca="1">+WORLDCUP!BD59</f>
        <v>Bosnia y Herzegovina</v>
      </c>
      <c r="F125" s="9" t="str">
        <f ca="1">+WORLDCUP!BD61</f>
        <v>Paraguay</v>
      </c>
      <c r="G125" s="9" t="str">
        <f ca="1">+WORLDCUP!BD67</f>
        <v>Argelia</v>
      </c>
      <c r="H125" s="9" t="str">
        <f ca="1">+WORLDCUP!BD63</f>
        <v>Suecia</v>
      </c>
      <c r="I125" s="9" t="str">
        <f ca="1">+WORLDCUP!BD66</f>
        <v>Noruega</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Brasil</v>
      </c>
      <c r="D126" s="9" t="str">
        <f ca="1">+WORLDCUP!BD64</f>
        <v>Nueva Zelanda</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Brasil</v>
      </c>
      <c r="D127" s="9" t="str">
        <f ca="1">+WORLDCUP!BD64</f>
        <v>Nueva Zelanda</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Nueva Zelanda</v>
      </c>
      <c r="E128" s="9" t="str">
        <f ca="1">+WORLDCUP!BD59</f>
        <v>Bosnia y Herzegovina</v>
      </c>
      <c r="F128" s="9" t="str">
        <f ca="1">+WORLDCUP!BD60</f>
        <v>Brasil</v>
      </c>
      <c r="G128" s="9" t="str">
        <f ca="1">+WORLDCUP!BD67</f>
        <v>Argelia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Brasil</v>
      </c>
      <c r="D129" s="9" t="str">
        <f ca="1">+WORLDCUP!BD64</f>
        <v>Nueva Zelanda</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Noruega</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Brasil</v>
      </c>
      <c r="D130" s="9" t="str">
        <f ca="1">+WORLDCUP!BD64</f>
        <v>Nueva Zelanda</v>
      </c>
      <c r="E130" s="9" t="str">
        <f ca="1">+WORLDCUP!BD59</f>
        <v>Bosnia y Herzegovina</v>
      </c>
      <c r="F130" s="9" t="str">
        <f ca="1">+WORLDCUP!BD61</f>
        <v>Paraguay</v>
      </c>
      <c r="G130" s="9" t="str">
        <f ca="1">+WORLDCUP!BD65</f>
        <v>Arabia Saudita</v>
      </c>
      <c r="H130" s="9" t="str">
        <f ca="1">+WORLDCUP!BD63</f>
        <v>Suecia</v>
      </c>
      <c r="I130" s="9" t="str">
        <f ca="1">+WORLDCUP!BD66</f>
        <v>Noruega</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Nueva Zelanda</v>
      </c>
      <c r="E131" s="9" t="str">
        <f ca="1">+WORLDCUP!BD59</f>
        <v>Bosnia y Herzegovina</v>
      </c>
      <c r="F131" s="9" t="str">
        <f ca="1">+WORLDCUP!BD60</f>
        <v>Brasil</v>
      </c>
      <c r="G131" s="9" t="str">
        <f ca="1">+WORLDCUP!BD67</f>
        <v>Argelia</v>
      </c>
      <c r="H131" s="9" t="str">
        <f ca="1">+WORLDCUP!BD63</f>
        <v>Suecia</v>
      </c>
      <c r="I131" s="9" t="str">
        <f ca="1">+WORLDCUP!BD61</f>
        <v>Paraguay</v>
      </c>
      <c r="J131" s="9" t="str">
        <f ca="1">+WORLDCUP!BD66</f>
        <v>Noruega</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Ecuador</v>
      </c>
      <c r="D132" s="9" t="str">
        <f ca="1">+WORLDCUP!BD67</f>
        <v>Argelia</v>
      </c>
      <c r="E132" s="9" t="str">
        <f ca="1">+WORLDCUP!BD59</f>
        <v>Bosnia y Herzegovina</v>
      </c>
      <c r="F132" s="9" t="str">
        <f ca="1">+WORLDCUP!BD60</f>
        <v>Brasil</v>
      </c>
      <c r="G132" s="9" t="str">
        <f ca="1">+WORLDCUP!BD66</f>
        <v>Noruega</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Ecuador</v>
      </c>
      <c r="D133" s="9" t="str">
        <f ca="1">+WORLDCUP!BD67</f>
        <v>Argelia</v>
      </c>
      <c r="E133" s="9" t="str">
        <f ca="1">+WORLDCUP!BD59</f>
        <v>Bosnia y Herzegovina</v>
      </c>
      <c r="F133" s="9" t="str">
        <f ca="1">+WORLDCUP!BD60</f>
        <v>Brasil</v>
      </c>
      <c r="G133" s="9" t="str">
        <f ca="1">+WORLDCUP!BD65</f>
        <v>Arabia Saudita</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Ecuador</v>
      </c>
      <c r="D134" s="9" t="str">
        <f ca="1">+WORLDCUP!BD66</f>
        <v>Noruega</v>
      </c>
      <c r="E134" s="9" t="str">
        <f ca="1">+WORLDCUP!BD59</f>
        <v>Bosnia y Herzegovina</v>
      </c>
      <c r="F134" s="9" t="str">
        <f ca="1">+WORLDCUP!BD60</f>
        <v>Brasil</v>
      </c>
      <c r="G134" s="9" t="str">
        <f ca="1">+WORLDCUP!BD65</f>
        <v>Arabia Saudita</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Ecuador</v>
      </c>
      <c r="D135" s="9" t="str">
        <f ca="1">+WORLDCUP!BD67</f>
        <v>Argelia</v>
      </c>
      <c r="E135" s="9" t="str">
        <f ca="1">+WORLDCUP!BD59</f>
        <v>Bosnia y Herzegovina</v>
      </c>
      <c r="F135" s="9" t="str">
        <f ca="1">+WORLDCUP!BD60</f>
        <v>Brasil</v>
      </c>
      <c r="G135" s="9" t="str">
        <f ca="1">+WORLDCUP!BD65</f>
        <v>Arabia Saudita</v>
      </c>
      <c r="H135" s="9" t="str">
        <f ca="1">+WORLDCUP!BD61</f>
        <v>Paraguay</v>
      </c>
      <c r="I135" s="9" t="str">
        <f ca="1">+WORLDCUP!BD69</f>
        <v>Ghana</v>
      </c>
      <c r="J135" s="9" t="str">
        <f ca="1">+WORLDCUP!BD66</f>
        <v>Noruega</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Ecuador</v>
      </c>
      <c r="D136" s="9" t="str">
        <f ca="1">+WORLDCUP!BD67</f>
        <v>Argelia</v>
      </c>
      <c r="E136" s="9" t="str">
        <f ca="1">+WORLDCUP!BD59</f>
        <v>Bosnia y Herzegovina</v>
      </c>
      <c r="F136" s="9" t="str">
        <f ca="1">+WORLDCUP!BD60</f>
        <v>Brasil</v>
      </c>
      <c r="G136" s="9" t="str">
        <f ca="1">+WORLDCUP!BD65</f>
        <v>Arabia Saudita</v>
      </c>
      <c r="H136" s="9" t="str">
        <f ca="1">+WORLDCUP!BD61</f>
        <v>Paraguay</v>
      </c>
      <c r="I136" s="9" t="str">
        <f ca="1">+WORLDCUP!BD66</f>
        <v>Noruega</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Ecuador</v>
      </c>
      <c r="D137" s="9" t="str">
        <f ca="1">+WORLDCUP!BD64</f>
        <v>Nueva Zelanda</v>
      </c>
      <c r="E137" s="9" t="str">
        <f ca="1">+WORLDCUP!BD59</f>
        <v>Bosnia y Herzegovina</v>
      </c>
      <c r="F137" s="9" t="str">
        <f ca="1">+WORLDCUP!BD60</f>
        <v>Brasil</v>
      </c>
      <c r="G137" s="9" t="str">
        <f ca="1">+WORLDCUP!BD67</f>
        <v>Argelia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Ecuador</v>
      </c>
      <c r="D138" s="9" t="str">
        <f ca="1">+WORLDCUP!BD64</f>
        <v>Nueva Zelanda</v>
      </c>
      <c r="E138" s="9" t="str">
        <f ca="1">+WORLDCUP!BD59</f>
        <v>Bosnia y Herzegovina</v>
      </c>
      <c r="F138" s="9" t="str">
        <f ca="1">+WORLDCUP!BD60</f>
        <v>Brasil</v>
      </c>
      <c r="G138" s="9" t="str">
        <f ca="1">+WORLDCUP!BD66</f>
        <v>Noruega</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Ecuador</v>
      </c>
      <c r="D139" s="9" t="str">
        <f ca="1">+WORLDCUP!BD64</f>
        <v>Nueva Zelanda</v>
      </c>
      <c r="E139" s="9" t="str">
        <f ca="1">+WORLDCUP!BD59</f>
        <v>Bosnia y Herzegovina</v>
      </c>
      <c r="F139" s="9" t="str">
        <f ca="1">+WORLDCUP!BD60</f>
        <v>Brasil</v>
      </c>
      <c r="G139" s="9" t="str">
        <f ca="1">+WORLDCUP!BD67</f>
        <v>Argelia</v>
      </c>
      <c r="H139" s="9" t="str">
        <f ca="1">+WORLDCUP!BD61</f>
        <v>Paraguay</v>
      </c>
      <c r="I139" s="9" t="str">
        <f ca="1">+WORLDCUP!BD69</f>
        <v>Ghana</v>
      </c>
      <c r="J139" s="9" t="str">
        <f ca="1">+WORLDCUP!BD66</f>
        <v>Noruega</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Ecuador</v>
      </c>
      <c r="D140" s="9" t="str">
        <f ca="1">+WORLDCUP!BD64</f>
        <v>Nueva Zelanda</v>
      </c>
      <c r="E140" s="9" t="str">
        <f ca="1">+WORLDCUP!BD59</f>
        <v>Bosnia y Herzegovina</v>
      </c>
      <c r="F140" s="9" t="str">
        <f ca="1">+WORLDCUP!BD60</f>
        <v>Brasil</v>
      </c>
      <c r="G140" s="9" t="str">
        <f ca="1">+WORLDCUP!BD67</f>
        <v>Argelia</v>
      </c>
      <c r="H140" s="9" t="str">
        <f ca="1">+WORLDCUP!BD61</f>
        <v>Paraguay</v>
      </c>
      <c r="I140" s="9" t="str">
        <f ca="1">+WORLDCUP!BD66</f>
        <v>Noruega</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Ecuador</v>
      </c>
      <c r="D141" s="9" t="str">
        <f ca="1">+WORLDCUP!BD64</f>
        <v>Nueva Zelanda</v>
      </c>
      <c r="E141" s="9" t="str">
        <f ca="1">+WORLDCUP!BD59</f>
        <v>Bosnia y Herzegovina</v>
      </c>
      <c r="F141" s="9" t="str">
        <f ca="1">+WORLDCUP!BD60</f>
        <v>Brasil</v>
      </c>
      <c r="G141" s="9" t="str">
        <f ca="1">+WORLDCUP!BD65</f>
        <v>Arabia Saudita</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Nueva Zelanda</v>
      </c>
      <c r="E142" s="9" t="str">
        <f ca="1">+WORLDCUP!BD59</f>
        <v>Bosnia y Herzegovina</v>
      </c>
      <c r="F142" s="9" t="str">
        <f ca="1">+WORLDCUP!BD60</f>
        <v>Brasil</v>
      </c>
      <c r="G142" s="9" t="str">
        <f ca="1">+WORLDCUP!BD67</f>
        <v>Argelia</v>
      </c>
      <c r="H142" s="9" t="str">
        <f ca="1">+WORLDCUP!BD61</f>
        <v>Paraguay</v>
      </c>
      <c r="I142" s="9" t="str">
        <f ca="1">+WORLDCUP!BD69</f>
        <v>Ghana</v>
      </c>
      <c r="J142" s="9" t="str">
        <f ca="1">+WORLDCUP!BD62</f>
        <v>Ecuador</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Nueva Zelanda</v>
      </c>
      <c r="E143" s="9" t="str">
        <f ca="1">+WORLDCUP!BD59</f>
        <v>Bosnia y Herzegovina</v>
      </c>
      <c r="F143" s="9" t="str">
        <f ca="1">+WORLDCUP!BD60</f>
        <v>Brasil</v>
      </c>
      <c r="G143" s="9" t="str">
        <f ca="1">+WORLDCUP!BD67</f>
        <v>Argelia</v>
      </c>
      <c r="H143" s="9" t="str">
        <f ca="1">+WORLDCUP!BD61</f>
        <v>Paraguay</v>
      </c>
      <c r="I143" s="9" t="str">
        <f ca="1">+WORLDCUP!BD62</f>
        <v>Ecuador</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Ecuador</v>
      </c>
      <c r="D144" s="9" t="str">
        <f ca="1">+WORLDCUP!BD64</f>
        <v>Nueva Zelanda</v>
      </c>
      <c r="E144" s="9" t="str">
        <f ca="1">+WORLDCUP!BD59</f>
        <v>Bosnia y Herzegovina</v>
      </c>
      <c r="F144" s="9" t="str">
        <f ca="1">+WORLDCUP!BD60</f>
        <v>Brasil</v>
      </c>
      <c r="G144" s="9" t="str">
        <f ca="1">+WORLDCUP!BD65</f>
        <v>Arabia Saudita</v>
      </c>
      <c r="H144" s="9" t="str">
        <f ca="1">+WORLDCUP!BD61</f>
        <v>Paraguay</v>
      </c>
      <c r="I144" s="9" t="str">
        <f ca="1">+WORLDCUP!BD69</f>
        <v>Ghana</v>
      </c>
      <c r="J144" s="9" t="str">
        <f ca="1">+WORLDCUP!BD66</f>
        <v>Noruega</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Ecuador</v>
      </c>
      <c r="D145" s="9" t="str">
        <f ca="1">+WORLDCUP!BD64</f>
        <v>Nueva Zelanda</v>
      </c>
      <c r="E145" s="9" t="str">
        <f ca="1">+WORLDCUP!BD59</f>
        <v>Bosnia y Herzegovina</v>
      </c>
      <c r="F145" s="9" t="str">
        <f ca="1">+WORLDCUP!BD60</f>
        <v>Brasil</v>
      </c>
      <c r="G145" s="9" t="str">
        <f ca="1">+WORLDCUP!BD65</f>
        <v>Arabia Saudita</v>
      </c>
      <c r="H145" s="9" t="str">
        <f ca="1">+WORLDCUP!BD61</f>
        <v>Paraguay</v>
      </c>
      <c r="I145" s="9" t="str">
        <f ca="1">+WORLDCUP!BD66</f>
        <v>Noruega</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Nueva Zelanda</v>
      </c>
      <c r="E146" s="9" t="str">
        <f ca="1">+WORLDCUP!BD59</f>
        <v>Bosnia y Herzegovina</v>
      </c>
      <c r="F146" s="9" t="str">
        <f ca="1">+WORLDCUP!BD60</f>
        <v>Brasil</v>
      </c>
      <c r="G146" s="9" t="str">
        <f ca="1">+WORLDCUP!BD67</f>
        <v>Argelia</v>
      </c>
      <c r="H146" s="9" t="str">
        <f ca="1">+WORLDCUP!BD61</f>
        <v>Paraguay</v>
      </c>
      <c r="I146" s="9" t="str">
        <f ca="1">+WORLDCUP!BD62</f>
        <v>Ecuador</v>
      </c>
      <c r="J146" s="9" t="str">
        <f ca="1">+WORLDCUP!BD66</f>
        <v>Noruega</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Brasil</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Brasil</v>
      </c>
      <c r="D148" s="9" t="str">
        <f ca="1">+WORLDCUP!BD62</f>
        <v>Ecuador</v>
      </c>
      <c r="E148" s="9" t="str">
        <f ca="1">+WORLDCUP!BD59</f>
        <v>Bosnia y Herzegovina</v>
      </c>
      <c r="F148" s="9" t="str">
        <f ca="1">+WORLDCUP!BD61</f>
        <v>Paraguay</v>
      </c>
      <c r="G148" s="9" t="str">
        <f ca="1">+WORLDCUP!BD66</f>
        <v>Noruega</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Brasil</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Noruega</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Brasil</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Noruega</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Brasil</v>
      </c>
      <c r="D151" s="9" t="str">
        <f ca="1">+WORLDCUP!BD62</f>
        <v>Ecuador</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Brasil</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Ecuador</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Brasil</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Ecuador</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Brasil</v>
      </c>
      <c r="D154" s="9" t="str">
        <f ca="1">+WORLDCUP!BD62</f>
        <v>Ecuador</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Noruega</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Brasil</v>
      </c>
      <c r="D155" s="9" t="str">
        <f ca="1">+WORLDCUP!BD62</f>
        <v>Ecuador</v>
      </c>
      <c r="E155" s="9" t="str">
        <f ca="1">+WORLDCUP!BD59</f>
        <v>Bosnia y Herzegovina</v>
      </c>
      <c r="F155" s="9" t="str">
        <f ca="1">+WORLDCUP!BD61</f>
        <v>Paraguay</v>
      </c>
      <c r="G155" s="9" t="str">
        <f ca="1">+WORLDCUP!BD65</f>
        <v>Arabia Saudita</v>
      </c>
      <c r="H155" s="9" t="str">
        <f ca="1">+WORLDCUP!BD63</f>
        <v>Suecia</v>
      </c>
      <c r="I155" s="9" t="str">
        <f ca="1">+WORLDCUP!BD66</f>
        <v>Noruega</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Brasil</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Ecuador</v>
      </c>
      <c r="J156" s="9" t="str">
        <f ca="1">+WORLDCUP!BD66</f>
        <v>Noruega</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Brasil</v>
      </c>
      <c r="D157" s="9" t="str">
        <f ca="1">+WORLDCUP!BD64</f>
        <v>Nueva Zelanda</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Brasil</v>
      </c>
      <c r="D158" s="9" t="str">
        <f ca="1">+WORLDCUP!BD64</f>
        <v>Nueva Zelanda</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Brasil</v>
      </c>
      <c r="D159" s="9" t="str">
        <f ca="1">+WORLDCUP!BD64</f>
        <v>Nueva Zelanda</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Brasil</v>
      </c>
      <c r="D160" s="9" t="str">
        <f ca="1">+WORLDCUP!BD64</f>
        <v>Nueva Zelanda</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Brasil</v>
      </c>
      <c r="D161" s="9" t="str">
        <f ca="1">+WORLDCUP!BD64</f>
        <v>Nueva Zelanda</v>
      </c>
      <c r="E161" s="9" t="str">
        <f ca="1">+WORLDCUP!BD59</f>
        <v>Bosnia y Herzegovina</v>
      </c>
      <c r="F161" s="9" t="str">
        <f ca="1">+WORLDCUP!BD61</f>
        <v>Paraguay</v>
      </c>
      <c r="G161" s="9" t="str">
        <f ca="1">+WORLDCUP!BD62</f>
        <v>Ecuador</v>
      </c>
      <c r="H161" s="9" t="str">
        <f ca="1">+WORLDCUP!BD63</f>
        <v>Suecia</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Brasil</v>
      </c>
      <c r="D162" s="9" t="str">
        <f ca="1">+WORLDCUP!BD64</f>
        <v>Nueva Zelanda</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Brasil</v>
      </c>
      <c r="D163" s="9" t="str">
        <f ca="1">+WORLDCUP!BD64</f>
        <v>Nueva Zelanda</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Brasil</v>
      </c>
      <c r="D164" s="9" t="str">
        <f ca="1">+WORLDCUP!BD64</f>
        <v>Nueva Zelanda</v>
      </c>
      <c r="E164" s="9" t="str">
        <f ca="1">+WORLDCUP!BD59</f>
        <v>Bosnia y Herzegovina</v>
      </c>
      <c r="F164" s="9" t="str">
        <f ca="1">+WORLDCUP!BD61</f>
        <v>Paraguay</v>
      </c>
      <c r="G164" s="9" t="str">
        <f ca="1">+WORLDCUP!BD65</f>
        <v>Arabia Saudita</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Bosnia y Herzegovina</v>
      </c>
      <c r="F165" s="9" t="str">
        <f ca="1">+WORLDCUP!BD60</f>
        <v>Brasil</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Brasil</v>
      </c>
      <c r="D166" s="9" t="str">
        <f ca="1">+WORLDCUP!BD64</f>
        <v>Nueva Zelanda</v>
      </c>
      <c r="E166" s="9" t="str">
        <f ca="1">+WORLDCUP!BD59</f>
        <v>Bosnia y Herzegovina</v>
      </c>
      <c r="F166" s="9" t="str">
        <f ca="1">+WORLDCUP!BD61</f>
        <v>Paraguay</v>
      </c>
      <c r="G166" s="9" t="str">
        <f ca="1">+WORLDCUP!BD65</f>
        <v>Arabia Saudita</v>
      </c>
      <c r="H166" s="9" t="str">
        <f ca="1">+WORLDCUP!BD63</f>
        <v>Suecia</v>
      </c>
      <c r="I166" s="9" t="str">
        <f ca="1">+WORLDCUP!BD62</f>
        <v>Ecuador</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Noruega</v>
      </c>
      <c r="F167" s="9" t="str">
        <f ca="1">+WORLDCUP!BD63</f>
        <v>Suecia</v>
      </c>
      <c r="G167" s="9" t="str">
        <f ca="1">+WORLDCUP!BD58</f>
        <v>República Checa</v>
      </c>
      <c r="H167" s="9" t="str">
        <f ca="1">+WORLDCUP!BD64</f>
        <v>Nueva Zelanda</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Ecuador</v>
      </c>
      <c r="D168" s="9" t="str">
        <f ca="1">+WORLDCUP!BD67</f>
        <v>Argelia</v>
      </c>
      <c r="E168" s="9" t="str">
        <f ca="1">+WORLDCUP!BD66</f>
        <v>Noruega</v>
      </c>
      <c r="F168" s="9" t="str">
        <f ca="1">+WORLDCUP!BD58</f>
        <v>República Checa</v>
      </c>
      <c r="G168" s="9" t="str">
        <f ca="1">+WORLDCUP!BD65</f>
        <v>Arabia Saudita</v>
      </c>
      <c r="H168" s="9" t="str">
        <f ca="1">+WORLDCUP!BD64</f>
        <v>Nueva Zelanda</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Ecuador</v>
      </c>
      <c r="D169" s="9" t="str">
        <f ca="1">+WORLDCUP!BD67</f>
        <v>Argelia</v>
      </c>
      <c r="E169" s="9" t="str">
        <f ca="1">+WORLDCUP!BD66</f>
        <v>Noruega</v>
      </c>
      <c r="F169" s="9" t="str">
        <f ca="1">+WORLDCUP!BD63</f>
        <v>Suecia</v>
      </c>
      <c r="G169" s="9" t="str">
        <f ca="1">+WORLDCUP!BD58</f>
        <v>República Checa</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Ecuador</v>
      </c>
      <c r="D170" s="9" t="str">
        <f ca="1">+WORLDCUP!BD67</f>
        <v>Argelia</v>
      </c>
      <c r="E170" s="9" t="str">
        <f ca="1">+WORLDCUP!BD66</f>
        <v>Noruega</v>
      </c>
      <c r="F170" s="9" t="str">
        <f ca="1">+WORLDCUP!BD63</f>
        <v>Suecia</v>
      </c>
      <c r="G170" s="9" t="str">
        <f ca="1">+WORLDCUP!BD58</f>
        <v>República Checa</v>
      </c>
      <c r="H170" s="9" t="str">
        <f ca="1">+WORLDCUP!BD64</f>
        <v>Nueva Zelanda</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Ecuador</v>
      </c>
      <c r="D171" s="9" t="str">
        <f ca="1">+WORLDCUP!BD64</f>
        <v>Nueva Zelanda</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Ecuador</v>
      </c>
      <c r="D172" s="9" t="str">
        <f ca="1">+WORLDCUP!BD64</f>
        <v>Nueva Zelanda</v>
      </c>
      <c r="E172" s="9" t="str">
        <f ca="1">+WORLDCUP!BD66</f>
        <v>Noruega</v>
      </c>
      <c r="F172" s="9" t="str">
        <f ca="1">+WORLDCUP!BD63</f>
        <v>Suecia</v>
      </c>
      <c r="G172" s="9" t="str">
        <f ca="1">+WORLDCUP!BD58</f>
        <v>República Checa</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Ecuador</v>
      </c>
      <c r="D173" s="9" t="str">
        <f ca="1">+WORLDCUP!BD64</f>
        <v>Nueva Zelanda</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Noruega</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Ecuador</v>
      </c>
      <c r="D174" s="9" t="str">
        <f ca="1">+WORLDCUP!BD64</f>
        <v>Nueva Zelanda</v>
      </c>
      <c r="E174" s="9" t="str">
        <f ca="1">+WORLDCUP!BD67</f>
        <v>Argelia</v>
      </c>
      <c r="F174" s="9" t="str">
        <f ca="1">+WORLDCUP!BD63</f>
        <v>Suecia</v>
      </c>
      <c r="G174" s="9" t="str">
        <f ca="1">+WORLDCUP!BD58</f>
        <v>República Checa</v>
      </c>
      <c r="H174" s="9" t="str">
        <f ca="1">+WORLDCUP!BD65</f>
        <v>Arabia Saudita</v>
      </c>
      <c r="I174" s="9" t="str">
        <f ca="1">+WORLDCUP!BD66</f>
        <v>Noruega</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Noruega</v>
      </c>
      <c r="F175" s="9" t="str">
        <f ca="1">+WORLDCUP!BD61</f>
        <v>Paraguay</v>
      </c>
      <c r="G175" s="9" t="str">
        <f ca="1">+WORLDCUP!BD58</f>
        <v>República Checa</v>
      </c>
      <c r="H175" s="9" t="str">
        <f ca="1">+WORLDCUP!BD64</f>
        <v>Nueva Zelanda</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Noruega</v>
      </c>
      <c r="F176" s="9" t="str">
        <f ca="1">+WORLDCUP!BD61</f>
        <v>Paraguay</v>
      </c>
      <c r="G176" s="9" t="str">
        <f ca="1">+WORLDCUP!BD58</f>
        <v>República Checa</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Noruega</v>
      </c>
      <c r="D177" s="9" t="str">
        <f ca="1">+WORLDCUP!BD64</f>
        <v>Nueva Zelanda</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Nueva Zelanda</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Nueva Zelanda</v>
      </c>
      <c r="E179" s="9" t="str">
        <f ca="1">+WORLDCUP!BD66</f>
        <v>Noruega</v>
      </c>
      <c r="F179" s="9" t="str">
        <f ca="1">+WORLDCUP!BD61</f>
        <v>Paraguay</v>
      </c>
      <c r="G179" s="9" t="str">
        <f ca="1">+WORLDCUP!BD58</f>
        <v>República Checa</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Nueva Zelanda</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Noruega</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Nueva Zelanda</v>
      </c>
      <c r="E181" s="9" t="str">
        <f ca="1">+WORLDCUP!BD67</f>
        <v>Argelia</v>
      </c>
      <c r="F181" s="9" t="str">
        <f ca="1">+WORLDCUP!BD61</f>
        <v>Paraguay</v>
      </c>
      <c r="G181" s="9" t="str">
        <f ca="1">+WORLDCUP!BD58</f>
        <v>República Checa</v>
      </c>
      <c r="H181" s="9" t="str">
        <f ca="1">+WORLDCUP!BD63</f>
        <v>Suecia</v>
      </c>
      <c r="I181" s="9" t="str">
        <f ca="1">+WORLDCUP!BD66</f>
        <v>Noruega</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Ecuador</v>
      </c>
      <c r="D182" s="9" t="str">
        <f ca="1">+WORLDCUP!BD67</f>
        <v>Argelia</v>
      </c>
      <c r="E182" s="9" t="str">
        <f ca="1">+WORLDCUP!BD66</f>
        <v>Noruega</v>
      </c>
      <c r="F182" s="9" t="str">
        <f ca="1">+WORLDCUP!BD61</f>
        <v>Paraguay</v>
      </c>
      <c r="G182" s="9" t="str">
        <f ca="1">+WORLDCUP!BD58</f>
        <v>República Checa</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Ecuador</v>
      </c>
      <c r="D183" s="9" t="str">
        <f ca="1">+WORLDCUP!BD67</f>
        <v>Argelia</v>
      </c>
      <c r="E183" s="9" t="str">
        <f ca="1">+WORLDCUP!BD66</f>
        <v>Noruega</v>
      </c>
      <c r="F183" s="9" t="str">
        <f ca="1">+WORLDCUP!BD61</f>
        <v>Paraguay</v>
      </c>
      <c r="G183" s="9" t="str">
        <f ca="1">+WORLDCUP!BD58</f>
        <v>República Checa</v>
      </c>
      <c r="H183" s="9" t="str">
        <f ca="1">+WORLDCUP!BD64</f>
        <v>Nueva Zelanda</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Ecuador</v>
      </c>
      <c r="D184" s="9" t="str">
        <f ca="1">+WORLDCUP!BD64</f>
        <v>Nueva Zelanda</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Ecuador</v>
      </c>
      <c r="D185" s="9" t="str">
        <f ca="1">+WORLDCUP!BD64</f>
        <v>Nueva Zelanda</v>
      </c>
      <c r="E185" s="9" t="str">
        <f ca="1">+WORLDCUP!BD66</f>
        <v>Noruega</v>
      </c>
      <c r="F185" s="9" t="str">
        <f ca="1">+WORLDCUP!BD61</f>
        <v>Paraguay</v>
      </c>
      <c r="G185" s="9" t="str">
        <f ca="1">+WORLDCUP!BD58</f>
        <v>República Checa</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Ecuador</v>
      </c>
      <c r="D186" s="9" t="str">
        <f ca="1">+WORLDCUP!BD64</f>
        <v>Nueva Zelanda</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Noruega</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Ecuador</v>
      </c>
      <c r="D187" s="9" t="str">
        <f ca="1">+WORLDCUP!BD64</f>
        <v>Nueva Zelanda</v>
      </c>
      <c r="E187" s="9" t="str">
        <f ca="1">+WORLDCUP!BD67</f>
        <v>Argelia</v>
      </c>
      <c r="F187" s="9" t="str">
        <f ca="1">+WORLDCUP!BD61</f>
        <v>Paraguay</v>
      </c>
      <c r="G187" s="9" t="str">
        <f ca="1">+WORLDCUP!BD58</f>
        <v>República Checa</v>
      </c>
      <c r="H187" s="9" t="str">
        <f ca="1">+WORLDCUP!BD65</f>
        <v>Arabia Saudita</v>
      </c>
      <c r="I187" s="9" t="str">
        <f ca="1">+WORLDCUP!BD66</f>
        <v>Noruega</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Ecuador</v>
      </c>
      <c r="D188" s="9" t="str">
        <f ca="1">+WORLDCUP!BD67</f>
        <v>Argelia</v>
      </c>
      <c r="E188" s="9" t="str">
        <f ca="1">+WORLDCUP!BD66</f>
        <v>Noruega</v>
      </c>
      <c r="F188" s="9" t="str">
        <f ca="1">+WORLDCUP!BD61</f>
        <v>Paraguay</v>
      </c>
      <c r="G188" s="9" t="str">
        <f ca="1">+WORLDCUP!BD58</f>
        <v>República Checa</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Ecuador</v>
      </c>
      <c r="F189" s="9" t="str">
        <f ca="1">+WORLDCUP!BD61</f>
        <v>Paraguay</v>
      </c>
      <c r="G189" s="9" t="str">
        <f ca="1">+WORLDCUP!BD58</f>
        <v>República Checa</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Ecuador</v>
      </c>
      <c r="E190" s="9" t="str">
        <f ca="1">+WORLDCUP!BD66</f>
        <v>Noruega</v>
      </c>
      <c r="F190" s="9" t="str">
        <f ca="1">+WORLDCUP!BD61</f>
        <v>Paraguay</v>
      </c>
      <c r="G190" s="9" t="str">
        <f ca="1">+WORLDCUP!BD58</f>
        <v>República Checa</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Ecuador</v>
      </c>
      <c r="F191" s="9" t="str">
        <f ca="1">+WORLDCUP!BD61</f>
        <v>Paraguay</v>
      </c>
      <c r="G191" s="9" t="str">
        <f ca="1">+WORLDCUP!BD58</f>
        <v>República Checa</v>
      </c>
      <c r="H191" s="9" t="str">
        <f ca="1">+WORLDCUP!BD63</f>
        <v>Suecia</v>
      </c>
      <c r="I191" s="9" t="str">
        <f ca="1">+WORLDCUP!BD69</f>
        <v>Ghana</v>
      </c>
      <c r="J191" s="9" t="str">
        <f ca="1">+WORLDCUP!BD66</f>
        <v>Noruega</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Ecuador</v>
      </c>
      <c r="F192" s="9" t="str">
        <f ca="1">+WORLDCUP!BD61</f>
        <v>Paraguay</v>
      </c>
      <c r="G192" s="9" t="str">
        <f ca="1">+WORLDCUP!BD58</f>
        <v>República Checa</v>
      </c>
      <c r="H192" s="9" t="str">
        <f ca="1">+WORLDCUP!BD63</f>
        <v>Suecia</v>
      </c>
      <c r="I192" s="9" t="str">
        <f ca="1">+WORLDCUP!BD66</f>
        <v>Noruega</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Ecuador</v>
      </c>
      <c r="D193" s="9" t="str">
        <f ca="1">+WORLDCUP!BD64</f>
        <v>Nueva Zelanda</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Ecuador</v>
      </c>
      <c r="D194" s="9" t="str">
        <f ca="1">+WORLDCUP!BD64</f>
        <v>Nueva Zelanda</v>
      </c>
      <c r="E194" s="9" t="str">
        <f ca="1">+WORLDCUP!BD66</f>
        <v>Noruega</v>
      </c>
      <c r="F194" s="9" t="str">
        <f ca="1">+WORLDCUP!BD61</f>
        <v>Paraguay</v>
      </c>
      <c r="G194" s="9" t="str">
        <f ca="1">+WORLDCUP!BD58</f>
        <v>República Checa</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Ecuador</v>
      </c>
      <c r="D195" s="9" t="str">
        <f ca="1">+WORLDCUP!BD64</f>
        <v>Nueva Zelanda</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Noruega</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Ecuador</v>
      </c>
      <c r="D196" s="9" t="str">
        <f ca="1">+WORLDCUP!BD64</f>
        <v>Nueva Zelanda</v>
      </c>
      <c r="E196" s="9" t="str">
        <f ca="1">+WORLDCUP!BD67</f>
        <v>Argelia</v>
      </c>
      <c r="F196" s="9" t="str">
        <f ca="1">+WORLDCUP!BD61</f>
        <v>Paraguay</v>
      </c>
      <c r="G196" s="9" t="str">
        <f ca="1">+WORLDCUP!BD58</f>
        <v>República Checa</v>
      </c>
      <c r="H196" s="9" t="str">
        <f ca="1">+WORLDCUP!BD63</f>
        <v>Suecia</v>
      </c>
      <c r="I196" s="9" t="str">
        <f ca="1">+WORLDCUP!BD66</f>
        <v>Noruega</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Nueva Zelanda</v>
      </c>
      <c r="E197" s="9" t="str">
        <f ca="1">+WORLDCUP!BD62</f>
        <v>Ecuador</v>
      </c>
      <c r="F197" s="9" t="str">
        <f ca="1">+WORLDCUP!BD61</f>
        <v>Paraguay</v>
      </c>
      <c r="G197" s="9" t="str">
        <f ca="1">+WORLDCUP!BD58</f>
        <v>República Checa</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Nueva Zelanda</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Ecuador</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Nueva Zelanda</v>
      </c>
      <c r="E199" s="9" t="str">
        <f ca="1">+WORLDCUP!BD67</f>
        <v>Argelia</v>
      </c>
      <c r="F199" s="9" t="str">
        <f ca="1">+WORLDCUP!BD61</f>
        <v>Paraguay</v>
      </c>
      <c r="G199" s="9" t="str">
        <f ca="1">+WORLDCUP!BD58</f>
        <v>República Checa</v>
      </c>
      <c r="H199" s="9" t="str">
        <f ca="1">+WORLDCUP!BD63</f>
        <v>Suecia</v>
      </c>
      <c r="I199" s="9" t="str">
        <f ca="1">+WORLDCUP!BD62</f>
        <v>Ecuador</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Nueva Zelanda</v>
      </c>
      <c r="E200" s="9" t="str">
        <f ca="1">+WORLDCUP!BD62</f>
        <v>Ecuador</v>
      </c>
      <c r="F200" s="9" t="str">
        <f ca="1">+WORLDCUP!BD61</f>
        <v>Paraguay</v>
      </c>
      <c r="G200" s="9" t="str">
        <f ca="1">+WORLDCUP!BD58</f>
        <v>República Checa</v>
      </c>
      <c r="H200" s="9" t="str">
        <f ca="1">+WORLDCUP!BD63</f>
        <v>Suecia</v>
      </c>
      <c r="I200" s="9" t="str">
        <f ca="1">+WORLDCUP!BD69</f>
        <v>Ghana</v>
      </c>
      <c r="J200" s="9" t="str">
        <f ca="1">+WORLDCUP!BD66</f>
        <v>Noruega</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Nueva Zelanda</v>
      </c>
      <c r="E201" s="9" t="str">
        <f ca="1">+WORLDCUP!BD62</f>
        <v>Ecuador</v>
      </c>
      <c r="F201" s="9" t="str">
        <f ca="1">+WORLDCUP!BD61</f>
        <v>Paraguay</v>
      </c>
      <c r="G201" s="9" t="str">
        <f ca="1">+WORLDCUP!BD58</f>
        <v>República Checa</v>
      </c>
      <c r="H201" s="9" t="str">
        <f ca="1">+WORLDCUP!BD63</f>
        <v>Suecia</v>
      </c>
      <c r="I201" s="9" t="str">
        <f ca="1">+WORLDCUP!BD66</f>
        <v>Noruega</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Nueva Zelanda</v>
      </c>
      <c r="E202" s="9" t="str">
        <f ca="1">+WORLDCUP!BD67</f>
        <v>Argelia</v>
      </c>
      <c r="F202" s="9" t="str">
        <f ca="1">+WORLDCUP!BD61</f>
        <v>Paraguay</v>
      </c>
      <c r="G202" s="9" t="str">
        <f ca="1">+WORLDCUP!BD58</f>
        <v>República Checa</v>
      </c>
      <c r="H202" s="9" t="str">
        <f ca="1">+WORLDCUP!BD63</f>
        <v>Suecia</v>
      </c>
      <c r="I202" s="9" t="str">
        <f ca="1">+WORLDCUP!BD62</f>
        <v>Ecuador</v>
      </c>
      <c r="J202" s="9" t="str">
        <f ca="1">+WORLDCUP!BD66</f>
        <v>Noruega</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Noruega</v>
      </c>
      <c r="F203" s="9" t="str">
        <f ca="1">+WORLDCUP!BD60</f>
        <v>Brasil</v>
      </c>
      <c r="G203" s="9" t="str">
        <f ca="1">+WORLDCUP!BD58</f>
        <v>República Checa</v>
      </c>
      <c r="H203" s="9" t="str">
        <f ca="1">+WORLDCUP!BD64</f>
        <v>Nueva Zelanda</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Noruega</v>
      </c>
      <c r="F204" s="9" t="str">
        <f ca="1">+WORLDCUP!BD60</f>
        <v>Brasil</v>
      </c>
      <c r="G204" s="9" t="str">
        <f ca="1">+WORLDCUP!BD58</f>
        <v>República Checa</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Noruega</v>
      </c>
      <c r="D205" s="9" t="str">
        <f ca="1">+WORLDCUP!BD64</f>
        <v>Nueva Zelanda</v>
      </c>
      <c r="E205" s="9" t="str">
        <f ca="1">+WORLDCUP!BD67</f>
        <v>Argelia</v>
      </c>
      <c r="F205" s="9" t="str">
        <f ca="1">+WORLDCUP!BD60</f>
        <v>Brasil</v>
      </c>
      <c r="G205" s="9" t="str">
        <f ca="1">+WORLDCUP!BD58</f>
        <v>República Checa</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Nueva Zelanda</v>
      </c>
      <c r="E206" s="9" t="str">
        <f ca="1">+WORLDCUP!BD67</f>
        <v>Argelia</v>
      </c>
      <c r="F206" s="9" t="str">
        <f ca="1">+WORLDCUP!BD60</f>
        <v>Brasil</v>
      </c>
      <c r="G206" s="9" t="str">
        <f ca="1">+WORLDCUP!BD58</f>
        <v>República Checa</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Nueva Zelanda</v>
      </c>
      <c r="E207" s="9" t="str">
        <f ca="1">+WORLDCUP!BD66</f>
        <v>Noruega</v>
      </c>
      <c r="F207" s="9" t="str">
        <f ca="1">+WORLDCUP!BD60</f>
        <v>Brasil</v>
      </c>
      <c r="G207" s="9" t="str">
        <f ca="1">+WORLDCUP!BD58</f>
        <v>República Checa</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Nueva Zelanda</v>
      </c>
      <c r="E208" s="9" t="str">
        <f ca="1">+WORLDCUP!BD67</f>
        <v>Argelia</v>
      </c>
      <c r="F208" s="9" t="str">
        <f ca="1">+WORLDCUP!BD60</f>
        <v>Brasil</v>
      </c>
      <c r="G208" s="9" t="str">
        <f ca="1">+WORLDCUP!BD58</f>
        <v>República Checa</v>
      </c>
      <c r="H208" s="9" t="str">
        <f ca="1">+WORLDCUP!BD63</f>
        <v>Suecia</v>
      </c>
      <c r="I208" s="9" t="str">
        <f ca="1">+WORLDCUP!BD69</f>
        <v>Ghana</v>
      </c>
      <c r="J208" s="9" t="str">
        <f ca="1">+WORLDCUP!BD66</f>
        <v>Noruega</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Nueva Zelanda</v>
      </c>
      <c r="E209" s="9" t="str">
        <f ca="1">+WORLDCUP!BD67</f>
        <v>Argelia</v>
      </c>
      <c r="F209" s="9" t="str">
        <f ca="1">+WORLDCUP!BD60</f>
        <v>Brasil</v>
      </c>
      <c r="G209" s="9" t="str">
        <f ca="1">+WORLDCUP!BD58</f>
        <v>República Checa</v>
      </c>
      <c r="H209" s="9" t="str">
        <f ca="1">+WORLDCUP!BD63</f>
        <v>Suecia</v>
      </c>
      <c r="I209" s="9" t="str">
        <f ca="1">+WORLDCUP!BD66</f>
        <v>Noruega</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Ecuador</v>
      </c>
      <c r="D210" s="9" t="str">
        <f ca="1">+WORLDCUP!BD67</f>
        <v>Argelia</v>
      </c>
      <c r="E210" s="9" t="str">
        <f ca="1">+WORLDCUP!BD66</f>
        <v>Noruega</v>
      </c>
      <c r="F210" s="9" t="str">
        <f ca="1">+WORLDCUP!BD60</f>
        <v>Brasil</v>
      </c>
      <c r="G210" s="9" t="str">
        <f ca="1">+WORLDCUP!BD58</f>
        <v>República Checa</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Ecuador</v>
      </c>
      <c r="D211" s="9" t="str">
        <f ca="1">+WORLDCUP!BD67</f>
        <v>Argelia</v>
      </c>
      <c r="E211" s="9" t="str">
        <f ca="1">+WORLDCUP!BD66</f>
        <v>Noruega</v>
      </c>
      <c r="F211" s="9" t="str">
        <f ca="1">+WORLDCUP!BD60</f>
        <v>Brasil</v>
      </c>
      <c r="G211" s="9" t="str">
        <f ca="1">+WORLDCUP!BD58</f>
        <v>República Checa</v>
      </c>
      <c r="H211" s="9" t="str">
        <f ca="1">+WORLDCUP!BD64</f>
        <v>Nueva Zelanda</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Ecuador</v>
      </c>
      <c r="D212" s="9" t="str">
        <f ca="1">+WORLDCUP!BD64</f>
        <v>Nueva Zelanda</v>
      </c>
      <c r="E212" s="9" t="str">
        <f ca="1">+WORLDCUP!BD67</f>
        <v>Argelia</v>
      </c>
      <c r="F212" s="9" t="str">
        <f ca="1">+WORLDCUP!BD60</f>
        <v>Brasil</v>
      </c>
      <c r="G212" s="9" t="str">
        <f ca="1">+WORLDCUP!BD58</f>
        <v>República Checa</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Ecuador</v>
      </c>
      <c r="D213" s="9" t="str">
        <f ca="1">+WORLDCUP!BD64</f>
        <v>Nueva Zelanda</v>
      </c>
      <c r="E213" s="9" t="str">
        <f ca="1">+WORLDCUP!BD66</f>
        <v>Noruega</v>
      </c>
      <c r="F213" s="9" t="str">
        <f ca="1">+WORLDCUP!BD60</f>
        <v>Brasil</v>
      </c>
      <c r="G213" s="9" t="str">
        <f ca="1">+WORLDCUP!BD58</f>
        <v>República Checa</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Ecuador</v>
      </c>
      <c r="D214" s="9" t="str">
        <f ca="1">+WORLDCUP!BD64</f>
        <v>Nueva Zelanda</v>
      </c>
      <c r="E214" s="9" t="str">
        <f ca="1">+WORLDCUP!BD67</f>
        <v>Argelia</v>
      </c>
      <c r="F214" s="9" t="str">
        <f ca="1">+WORLDCUP!BD60</f>
        <v>Brasil</v>
      </c>
      <c r="G214" s="9" t="str">
        <f ca="1">+WORLDCUP!BD58</f>
        <v>República Checa</v>
      </c>
      <c r="H214" s="9" t="str">
        <f ca="1">+WORLDCUP!BD65</f>
        <v>Arabia Saudita</v>
      </c>
      <c r="I214" s="9" t="str">
        <f ca="1">+WORLDCUP!BD69</f>
        <v>Ghana</v>
      </c>
      <c r="J214" s="9" t="str">
        <f ca="1">+WORLDCUP!BD66</f>
        <v>Noruega</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Ecuador</v>
      </c>
      <c r="D215" s="9" t="str">
        <f ca="1">+WORLDCUP!BD64</f>
        <v>Nueva Zelanda</v>
      </c>
      <c r="E215" s="9" t="str">
        <f ca="1">+WORLDCUP!BD67</f>
        <v>Argelia</v>
      </c>
      <c r="F215" s="9" t="str">
        <f ca="1">+WORLDCUP!BD60</f>
        <v>Brasil</v>
      </c>
      <c r="G215" s="9" t="str">
        <f ca="1">+WORLDCUP!BD58</f>
        <v>República Checa</v>
      </c>
      <c r="H215" s="9" t="str">
        <f ca="1">+WORLDCUP!BD65</f>
        <v>Arabia Saudita</v>
      </c>
      <c r="I215" s="9" t="str">
        <f ca="1">+WORLDCUP!BD66</f>
        <v>Noruega</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Ecuador</v>
      </c>
      <c r="D216" s="9" t="str">
        <f ca="1">+WORLDCUP!BD67</f>
        <v>Argelia</v>
      </c>
      <c r="E216" s="9" t="str">
        <f ca="1">+WORLDCUP!BD66</f>
        <v>Noruega</v>
      </c>
      <c r="F216" s="9" t="str">
        <f ca="1">+WORLDCUP!BD60</f>
        <v>Brasil</v>
      </c>
      <c r="G216" s="9" t="str">
        <f ca="1">+WORLDCUP!BD58</f>
        <v>República Checa</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Ecuador</v>
      </c>
      <c r="F217" s="9" t="str">
        <f ca="1">+WORLDCUP!BD60</f>
        <v>Brasil</v>
      </c>
      <c r="G217" s="9" t="str">
        <f ca="1">+WORLDCUP!BD58</f>
        <v>República Checa</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Ecuador</v>
      </c>
      <c r="E218" s="9" t="str">
        <f ca="1">+WORLDCUP!BD66</f>
        <v>Noruega</v>
      </c>
      <c r="F218" s="9" t="str">
        <f ca="1">+WORLDCUP!BD60</f>
        <v>Brasil</v>
      </c>
      <c r="G218" s="9" t="str">
        <f ca="1">+WORLDCUP!BD58</f>
        <v>República Checa</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Ecuador</v>
      </c>
      <c r="F219" s="9" t="str">
        <f ca="1">+WORLDCUP!BD60</f>
        <v>Brasil</v>
      </c>
      <c r="G219" s="9" t="str">
        <f ca="1">+WORLDCUP!BD58</f>
        <v>República Checa</v>
      </c>
      <c r="H219" s="9" t="str">
        <f ca="1">+WORLDCUP!BD63</f>
        <v>Suecia</v>
      </c>
      <c r="I219" s="9" t="str">
        <f ca="1">+WORLDCUP!BD69</f>
        <v>Ghana</v>
      </c>
      <c r="J219" s="9" t="str">
        <f ca="1">+WORLDCUP!BD66</f>
        <v>Noruega</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Ecuador</v>
      </c>
      <c r="F220" s="9" t="str">
        <f ca="1">+WORLDCUP!BD60</f>
        <v>Brasil</v>
      </c>
      <c r="G220" s="9" t="str">
        <f ca="1">+WORLDCUP!BD58</f>
        <v>República Checa</v>
      </c>
      <c r="H220" s="9" t="str">
        <f ca="1">+WORLDCUP!BD63</f>
        <v>Suecia</v>
      </c>
      <c r="I220" s="9" t="str">
        <f ca="1">+WORLDCUP!BD66</f>
        <v>Noruega</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Ecuador</v>
      </c>
      <c r="D221" s="9" t="str">
        <f ca="1">+WORLDCUP!BD64</f>
        <v>Nueva Zelanda</v>
      </c>
      <c r="E221" s="9" t="str">
        <f ca="1">+WORLDCUP!BD67</f>
        <v>Argelia</v>
      </c>
      <c r="F221" s="9" t="str">
        <f ca="1">+WORLDCUP!BD60</f>
        <v>Brasil</v>
      </c>
      <c r="G221" s="9" t="str">
        <f ca="1">+WORLDCUP!BD58</f>
        <v>República Checa</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Ecuador</v>
      </c>
      <c r="D222" s="9" t="str">
        <f ca="1">+WORLDCUP!BD64</f>
        <v>Nueva Zelanda</v>
      </c>
      <c r="E222" s="9" t="str">
        <f ca="1">+WORLDCUP!BD66</f>
        <v>Noruega</v>
      </c>
      <c r="F222" s="9" t="str">
        <f ca="1">+WORLDCUP!BD60</f>
        <v>Brasil</v>
      </c>
      <c r="G222" s="9" t="str">
        <f ca="1">+WORLDCUP!BD58</f>
        <v>República Checa</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Ecuador</v>
      </c>
      <c r="D223" s="9" t="str">
        <f ca="1">+WORLDCUP!BD64</f>
        <v>Nueva Zelanda</v>
      </c>
      <c r="E223" s="9" t="str">
        <f ca="1">+WORLDCUP!BD67</f>
        <v>Argelia</v>
      </c>
      <c r="F223" s="9" t="str">
        <f ca="1">+WORLDCUP!BD60</f>
        <v>Brasil</v>
      </c>
      <c r="G223" s="9" t="str">
        <f ca="1">+WORLDCUP!BD58</f>
        <v>República Checa</v>
      </c>
      <c r="H223" s="9" t="str">
        <f ca="1">+WORLDCUP!BD63</f>
        <v>Suecia</v>
      </c>
      <c r="I223" s="9" t="str">
        <f ca="1">+WORLDCUP!BD69</f>
        <v>Ghana</v>
      </c>
      <c r="J223" s="9" t="str">
        <f ca="1">+WORLDCUP!BD66</f>
        <v>Noruega</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Ecuador</v>
      </c>
      <c r="D224" s="9" t="str">
        <f ca="1">+WORLDCUP!BD64</f>
        <v>Nueva Zelanda</v>
      </c>
      <c r="E224" s="9" t="str">
        <f ca="1">+WORLDCUP!BD67</f>
        <v>Argelia</v>
      </c>
      <c r="F224" s="9" t="str">
        <f ca="1">+WORLDCUP!BD60</f>
        <v>Brasil</v>
      </c>
      <c r="G224" s="9" t="str">
        <f ca="1">+WORLDCUP!BD58</f>
        <v>República Checa</v>
      </c>
      <c r="H224" s="9" t="str">
        <f ca="1">+WORLDCUP!BD63</f>
        <v>Suecia</v>
      </c>
      <c r="I224" s="9" t="str">
        <f ca="1">+WORLDCUP!BD66</f>
        <v>Noruega</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Nueva Zelanda</v>
      </c>
      <c r="E225" s="9" t="str">
        <f ca="1">+WORLDCUP!BD62</f>
        <v>Ecuador</v>
      </c>
      <c r="F225" s="9" t="str">
        <f ca="1">+WORLDCUP!BD60</f>
        <v>Brasil</v>
      </c>
      <c r="G225" s="9" t="str">
        <f ca="1">+WORLDCUP!BD58</f>
        <v>República Checa</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Nueva Zelanda</v>
      </c>
      <c r="E226" s="9" t="str">
        <f ca="1">+WORLDCUP!BD67</f>
        <v>Argelia</v>
      </c>
      <c r="F226" s="9" t="str">
        <f ca="1">+WORLDCUP!BD60</f>
        <v>Brasil</v>
      </c>
      <c r="G226" s="9" t="str">
        <f ca="1">+WORLDCUP!BD58</f>
        <v>República Checa</v>
      </c>
      <c r="H226" s="9" t="str">
        <f ca="1">+WORLDCUP!BD63</f>
        <v>Suecia</v>
      </c>
      <c r="I226" s="9" t="str">
        <f ca="1">+WORLDCUP!BD69</f>
        <v>Ghana</v>
      </c>
      <c r="J226" s="9" t="str">
        <f ca="1">+WORLDCUP!BD62</f>
        <v>Ecuador</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Nueva Zelanda</v>
      </c>
      <c r="E227" s="9" t="str">
        <f ca="1">+WORLDCUP!BD67</f>
        <v>Argelia</v>
      </c>
      <c r="F227" s="9" t="str">
        <f ca="1">+WORLDCUP!BD60</f>
        <v>Brasil</v>
      </c>
      <c r="G227" s="9" t="str">
        <f ca="1">+WORLDCUP!BD58</f>
        <v>República Checa</v>
      </c>
      <c r="H227" s="9" t="str">
        <f ca="1">+WORLDCUP!BD63</f>
        <v>Suecia</v>
      </c>
      <c r="I227" s="9" t="str">
        <f ca="1">+WORLDCUP!BD62</f>
        <v>Ecuador</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Nueva Zelanda</v>
      </c>
      <c r="E228" s="9" t="str">
        <f ca="1">+WORLDCUP!BD62</f>
        <v>Ecuador</v>
      </c>
      <c r="F228" s="9" t="str">
        <f ca="1">+WORLDCUP!BD60</f>
        <v>Brasil</v>
      </c>
      <c r="G228" s="9" t="str">
        <f ca="1">+WORLDCUP!BD58</f>
        <v>República Checa</v>
      </c>
      <c r="H228" s="9" t="str">
        <f ca="1">+WORLDCUP!BD63</f>
        <v>Suecia</v>
      </c>
      <c r="I228" s="9" t="str">
        <f ca="1">+WORLDCUP!BD69</f>
        <v>Ghana</v>
      </c>
      <c r="J228" s="9" t="str">
        <f ca="1">+WORLDCUP!BD66</f>
        <v>Noruega</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Nueva Zelanda</v>
      </c>
      <c r="E229" s="9" t="str">
        <f ca="1">+WORLDCUP!BD62</f>
        <v>Ecuador</v>
      </c>
      <c r="F229" s="9" t="str">
        <f ca="1">+WORLDCUP!BD60</f>
        <v>Brasil</v>
      </c>
      <c r="G229" s="9" t="str">
        <f ca="1">+WORLDCUP!BD58</f>
        <v>República Checa</v>
      </c>
      <c r="H229" s="9" t="str">
        <f ca="1">+WORLDCUP!BD63</f>
        <v>Suecia</v>
      </c>
      <c r="I229" s="9" t="str">
        <f ca="1">+WORLDCUP!BD66</f>
        <v>Noruega</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Nueva Zelanda</v>
      </c>
      <c r="E230" s="9" t="str">
        <f ca="1">+WORLDCUP!BD67</f>
        <v>Argelia</v>
      </c>
      <c r="F230" s="9" t="str">
        <f ca="1">+WORLDCUP!BD60</f>
        <v>Brasil</v>
      </c>
      <c r="G230" s="9" t="str">
        <f ca="1">+WORLDCUP!BD58</f>
        <v>República Checa</v>
      </c>
      <c r="H230" s="9" t="str">
        <f ca="1">+WORLDCUP!BD63</f>
        <v>Suecia</v>
      </c>
      <c r="I230" s="9" t="str">
        <f ca="1">+WORLDCUP!BD62</f>
        <v>Ecuador</v>
      </c>
      <c r="J230" s="9" t="str">
        <f ca="1">+WORLDCUP!BD66</f>
        <v>Noruega</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Noruega</v>
      </c>
      <c r="F231" s="9" t="str">
        <f ca="1">+WORLDCUP!BD60</f>
        <v>Brasil</v>
      </c>
      <c r="G231" s="9" t="str">
        <f ca="1">+WORLDCUP!BD58</f>
        <v>República Checa</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Noruega</v>
      </c>
      <c r="D232" s="9" t="str">
        <f ca="1">+WORLDCUP!BD64</f>
        <v>Nueva Zelanda</v>
      </c>
      <c r="E232" s="9" t="str">
        <f ca="1">+WORLDCUP!BD67</f>
        <v>Argelia</v>
      </c>
      <c r="F232" s="9" t="str">
        <f ca="1">+WORLDCUP!BD60</f>
        <v>Brasil</v>
      </c>
      <c r="G232" s="9" t="str">
        <f ca="1">+WORLDCUP!BD58</f>
        <v>República Checa</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Nueva Zelanda</v>
      </c>
      <c r="E233" s="9" t="str">
        <f ca="1">+WORLDCUP!BD67</f>
        <v>Argelia</v>
      </c>
      <c r="F233" s="9" t="str">
        <f ca="1">+WORLDCUP!BD60</f>
        <v>Brasil</v>
      </c>
      <c r="G233" s="9" t="str">
        <f ca="1">+WORLDCUP!BD58</f>
        <v>República Checa</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Nueva Zelanda</v>
      </c>
      <c r="E234" s="9" t="str">
        <f ca="1">+WORLDCUP!BD66</f>
        <v>Noruega</v>
      </c>
      <c r="F234" s="9" t="str">
        <f ca="1">+WORLDCUP!BD60</f>
        <v>Brasil</v>
      </c>
      <c r="G234" s="9" t="str">
        <f ca="1">+WORLDCUP!BD58</f>
        <v>República Checa</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Nueva Zelanda</v>
      </c>
      <c r="E235" s="9" t="str">
        <f ca="1">+WORLDCUP!BD67</f>
        <v>Argelia</v>
      </c>
      <c r="F235" s="9" t="str">
        <f ca="1">+WORLDCUP!BD60</f>
        <v>Brasil</v>
      </c>
      <c r="G235" s="9" t="str">
        <f ca="1">+WORLDCUP!BD58</f>
        <v>República Checa</v>
      </c>
      <c r="H235" s="9" t="str">
        <f ca="1">+WORLDCUP!BD61</f>
        <v>Paraguay</v>
      </c>
      <c r="I235" s="9" t="str">
        <f ca="1">+WORLDCUP!BD69</f>
        <v>Ghana</v>
      </c>
      <c r="J235" s="9" t="str">
        <f ca="1">+WORLDCUP!BD66</f>
        <v>Noruega</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Nueva Zelanda</v>
      </c>
      <c r="E236" s="9" t="str">
        <f ca="1">+WORLDCUP!BD67</f>
        <v>Argelia</v>
      </c>
      <c r="F236" s="9" t="str">
        <f ca="1">+WORLDCUP!BD60</f>
        <v>Brasil</v>
      </c>
      <c r="G236" s="9" t="str">
        <f ca="1">+WORLDCUP!BD58</f>
        <v>República Checa</v>
      </c>
      <c r="H236" s="9" t="str">
        <f ca="1">+WORLDCUP!BD61</f>
        <v>Paraguay</v>
      </c>
      <c r="I236" s="9" t="str">
        <f ca="1">+WORLDCUP!BD66</f>
        <v>Noruega</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Brasil</v>
      </c>
      <c r="D237" s="9" t="str">
        <f ca="1">+WORLDCUP!BD67</f>
        <v>Argelia</v>
      </c>
      <c r="E237" s="9" t="str">
        <f ca="1">+WORLDCUP!BD66</f>
        <v>Noruega</v>
      </c>
      <c r="F237" s="9" t="str">
        <f ca="1">+WORLDCUP!BD61</f>
        <v>Paraguay</v>
      </c>
      <c r="G237" s="9" t="str">
        <f ca="1">+WORLDCUP!BD58</f>
        <v>República Checa</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Suecia</v>
      </c>
      <c r="F238" s="9" t="str">
        <f ca="1">+WORLDCUP!BD60</f>
        <v>Brasil</v>
      </c>
      <c r="G238" s="9" t="str">
        <f ca="1">+WORLDCUP!BD58</f>
        <v>República Checa</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Noruega</v>
      </c>
      <c r="F239" s="9" t="str">
        <f ca="1">+WORLDCUP!BD60</f>
        <v>Brasil</v>
      </c>
      <c r="G239" s="9" t="str">
        <f ca="1">+WORLDCUP!BD58</f>
        <v>República Checa</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Suecia</v>
      </c>
      <c r="F240" s="9" t="str">
        <f ca="1">+WORLDCUP!BD60</f>
        <v>Brasil</v>
      </c>
      <c r="G240" s="9" t="str">
        <f ca="1">+WORLDCUP!BD58</f>
        <v>República Checa</v>
      </c>
      <c r="H240" s="9" t="str">
        <f ca="1">+WORLDCUP!BD61</f>
        <v>Paraguay</v>
      </c>
      <c r="I240" s="9" t="str">
        <f ca="1">+WORLDCUP!BD69</f>
        <v>Ghana</v>
      </c>
      <c r="J240" s="9" t="str">
        <f ca="1">+WORLDCUP!BD66</f>
        <v>Noruega</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Suecia</v>
      </c>
      <c r="F241" s="9" t="str">
        <f ca="1">+WORLDCUP!BD60</f>
        <v>Brasil</v>
      </c>
      <c r="G241" s="9" t="str">
        <f ca="1">+WORLDCUP!BD58</f>
        <v>República Checa</v>
      </c>
      <c r="H241" s="9" t="str">
        <f ca="1">+WORLDCUP!BD61</f>
        <v>Paraguay</v>
      </c>
      <c r="I241" s="9" t="str">
        <f ca="1">+WORLDCUP!BD66</f>
        <v>Noruega</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Brasil</v>
      </c>
      <c r="D242" s="9" t="str">
        <f ca="1">+WORLDCUP!BD64</f>
        <v>Nueva Zelanda</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Brasil</v>
      </c>
      <c r="D243" s="9" t="str">
        <f ca="1">+WORLDCUP!BD64</f>
        <v>Nueva Zelanda</v>
      </c>
      <c r="E243" s="9" t="str">
        <f ca="1">+WORLDCUP!BD66</f>
        <v>Noruega</v>
      </c>
      <c r="F243" s="9" t="str">
        <f ca="1">+WORLDCUP!BD61</f>
        <v>Paraguay</v>
      </c>
      <c r="G243" s="9" t="str">
        <f ca="1">+WORLDCUP!BD58</f>
        <v>República Checa</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Brasil</v>
      </c>
      <c r="D244" s="9" t="str">
        <f ca="1">+WORLDCUP!BD64</f>
        <v>Nueva Zelanda</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Noruega</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Brasil</v>
      </c>
      <c r="D245" s="9" t="str">
        <f ca="1">+WORLDCUP!BD64</f>
        <v>Nueva Zelanda</v>
      </c>
      <c r="E245" s="9" t="str">
        <f ca="1">+WORLDCUP!BD67</f>
        <v>Argelia</v>
      </c>
      <c r="F245" s="9" t="str">
        <f ca="1">+WORLDCUP!BD61</f>
        <v>Paraguay</v>
      </c>
      <c r="G245" s="9" t="str">
        <f ca="1">+WORLDCUP!BD58</f>
        <v>República Checa</v>
      </c>
      <c r="H245" s="9" t="str">
        <f ca="1">+WORLDCUP!BD63</f>
        <v>Suecia</v>
      </c>
      <c r="I245" s="9" t="str">
        <f ca="1">+WORLDCUP!BD66</f>
        <v>Noruega</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Nueva Zelanda</v>
      </c>
      <c r="E246" s="9" t="str">
        <f ca="1">+WORLDCUP!BD63</f>
        <v>Suecia</v>
      </c>
      <c r="F246" s="9" t="str">
        <f ca="1">+WORLDCUP!BD60</f>
        <v>Brasil</v>
      </c>
      <c r="G246" s="9" t="str">
        <f ca="1">+WORLDCUP!BD58</f>
        <v>República Checa</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Brasil</v>
      </c>
      <c r="D247" s="9" t="str">
        <f ca="1">+WORLDCUP!BD64</f>
        <v>Nueva Zelanda</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Nueva Zelanda</v>
      </c>
      <c r="E248" s="9" t="str">
        <f ca="1">+WORLDCUP!BD67</f>
        <v>Argelia</v>
      </c>
      <c r="F248" s="9" t="str">
        <f ca="1">+WORLDCUP!BD60</f>
        <v>Brasil</v>
      </c>
      <c r="G248" s="9" t="str">
        <f ca="1">+WORLDCUP!BD58</f>
        <v>República Checa</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Nueva Zelanda</v>
      </c>
      <c r="E249" s="9" t="str">
        <f ca="1">+WORLDCUP!BD63</f>
        <v>Suecia</v>
      </c>
      <c r="F249" s="9" t="str">
        <f ca="1">+WORLDCUP!BD60</f>
        <v>Brasil</v>
      </c>
      <c r="G249" s="9" t="str">
        <f ca="1">+WORLDCUP!BD58</f>
        <v>República Checa</v>
      </c>
      <c r="H249" s="9" t="str">
        <f ca="1">+WORLDCUP!BD61</f>
        <v>Paraguay</v>
      </c>
      <c r="I249" s="9" t="str">
        <f ca="1">+WORLDCUP!BD69</f>
        <v>Ghana</v>
      </c>
      <c r="J249" s="9" t="str">
        <f ca="1">+WORLDCUP!BD66</f>
        <v>Noruega</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Nueva Zelanda</v>
      </c>
      <c r="E250" s="9" t="str">
        <f ca="1">+WORLDCUP!BD63</f>
        <v>Suecia</v>
      </c>
      <c r="F250" s="9" t="str">
        <f ca="1">+WORLDCUP!BD60</f>
        <v>Brasil</v>
      </c>
      <c r="G250" s="9" t="str">
        <f ca="1">+WORLDCUP!BD58</f>
        <v>República Checa</v>
      </c>
      <c r="H250" s="9" t="str">
        <f ca="1">+WORLDCUP!BD61</f>
        <v>Paraguay</v>
      </c>
      <c r="I250" s="9" t="str">
        <f ca="1">+WORLDCUP!BD66</f>
        <v>Noruega</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Nueva Zelanda</v>
      </c>
      <c r="E251" s="9" t="str">
        <f ca="1">+WORLDCUP!BD67</f>
        <v>Argelia</v>
      </c>
      <c r="F251" s="9" t="str">
        <f ca="1">+WORLDCUP!BD60</f>
        <v>Brasil</v>
      </c>
      <c r="G251" s="9" t="str">
        <f ca="1">+WORLDCUP!BD58</f>
        <v>República Checa</v>
      </c>
      <c r="H251" s="9" t="str">
        <f ca="1">+WORLDCUP!BD63</f>
        <v>Suecia</v>
      </c>
      <c r="I251" s="9" t="str">
        <f ca="1">+WORLDCUP!BD61</f>
        <v>Paraguay</v>
      </c>
      <c r="J251" s="9" t="str">
        <f ca="1">+WORLDCUP!BD66</f>
        <v>Noruega</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Ecuador</v>
      </c>
      <c r="D252" s="9" t="str">
        <f ca="1">+WORLDCUP!BD67</f>
        <v>Argelia</v>
      </c>
      <c r="E252" s="9" t="str">
        <f ca="1">+WORLDCUP!BD66</f>
        <v>Noruega</v>
      </c>
      <c r="F252" s="9" t="str">
        <f ca="1">+WORLDCUP!BD60</f>
        <v>Brasil</v>
      </c>
      <c r="G252" s="9" t="str">
        <f ca="1">+WORLDCUP!BD58</f>
        <v>República Checa</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Ecuador</v>
      </c>
      <c r="F253" s="9" t="str">
        <f ca="1">+WORLDCUP!BD60</f>
        <v>Brasil</v>
      </c>
      <c r="G253" s="9" t="str">
        <f ca="1">+WORLDCUP!BD58</f>
        <v>República Checa</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Ecuador</v>
      </c>
      <c r="E254" s="9" t="str">
        <f ca="1">+WORLDCUP!BD66</f>
        <v>Noruega</v>
      </c>
      <c r="F254" s="9" t="str">
        <f ca="1">+WORLDCUP!BD60</f>
        <v>Brasil</v>
      </c>
      <c r="G254" s="9" t="str">
        <f ca="1">+WORLDCUP!BD58</f>
        <v>República Checa</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Ecuador</v>
      </c>
      <c r="F255" s="9" t="str">
        <f ca="1">+WORLDCUP!BD60</f>
        <v>Brasil</v>
      </c>
      <c r="G255" s="9" t="str">
        <f ca="1">+WORLDCUP!BD58</f>
        <v>República Checa</v>
      </c>
      <c r="H255" s="9" t="str">
        <f ca="1">+WORLDCUP!BD61</f>
        <v>Paraguay</v>
      </c>
      <c r="I255" s="9" t="str">
        <f ca="1">+WORLDCUP!BD69</f>
        <v>Ghana</v>
      </c>
      <c r="J255" s="9" t="str">
        <f ca="1">+WORLDCUP!BD66</f>
        <v>Noruega</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Ecuador</v>
      </c>
      <c r="F256" s="9" t="str">
        <f ca="1">+WORLDCUP!BD60</f>
        <v>Brasil</v>
      </c>
      <c r="G256" s="9" t="str">
        <f ca="1">+WORLDCUP!BD58</f>
        <v>República Checa</v>
      </c>
      <c r="H256" s="9" t="str">
        <f ca="1">+WORLDCUP!BD61</f>
        <v>Paraguay</v>
      </c>
      <c r="I256" s="9" t="str">
        <f ca="1">+WORLDCUP!BD66</f>
        <v>Noruega</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Ecuador</v>
      </c>
      <c r="D257" s="9" t="str">
        <f ca="1">+WORLDCUP!BD64</f>
        <v>Nueva Zelanda</v>
      </c>
      <c r="E257" s="9" t="str">
        <f ca="1">+WORLDCUP!BD67</f>
        <v>Argelia</v>
      </c>
      <c r="F257" s="9" t="str">
        <f ca="1">+WORLDCUP!BD60</f>
        <v>Brasil</v>
      </c>
      <c r="G257" s="9" t="str">
        <f ca="1">+WORLDCUP!BD58</f>
        <v>República Checa</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Ecuador</v>
      </c>
      <c r="D258" s="9" t="str">
        <f ca="1">+WORLDCUP!BD64</f>
        <v>Nueva Zelanda</v>
      </c>
      <c r="E258" s="9" t="str">
        <f ca="1">+WORLDCUP!BD66</f>
        <v>Noruega</v>
      </c>
      <c r="F258" s="9" t="str">
        <f ca="1">+WORLDCUP!BD60</f>
        <v>Brasil</v>
      </c>
      <c r="G258" s="9" t="str">
        <f ca="1">+WORLDCUP!BD58</f>
        <v>República Checa</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Ecuador</v>
      </c>
      <c r="D259" s="9" t="str">
        <f ca="1">+WORLDCUP!BD64</f>
        <v>Nueva Zelanda</v>
      </c>
      <c r="E259" s="9" t="str">
        <f ca="1">+WORLDCUP!BD67</f>
        <v>Argelia</v>
      </c>
      <c r="F259" s="9" t="str">
        <f ca="1">+WORLDCUP!BD60</f>
        <v>Brasil</v>
      </c>
      <c r="G259" s="9" t="str">
        <f ca="1">+WORLDCUP!BD58</f>
        <v>República Checa</v>
      </c>
      <c r="H259" s="9" t="str">
        <f ca="1">+WORLDCUP!BD61</f>
        <v>Paraguay</v>
      </c>
      <c r="I259" s="9" t="str">
        <f ca="1">+WORLDCUP!BD69</f>
        <v>Ghana</v>
      </c>
      <c r="J259" s="9" t="str">
        <f ca="1">+WORLDCUP!BD66</f>
        <v>Noruega</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Ecuador</v>
      </c>
      <c r="D260" s="9" t="str">
        <f ca="1">+WORLDCUP!BD64</f>
        <v>Nueva Zelanda</v>
      </c>
      <c r="E260" s="9" t="str">
        <f ca="1">+WORLDCUP!BD67</f>
        <v>Argelia</v>
      </c>
      <c r="F260" s="9" t="str">
        <f ca="1">+WORLDCUP!BD60</f>
        <v>Brasil</v>
      </c>
      <c r="G260" s="9" t="str">
        <f ca="1">+WORLDCUP!BD58</f>
        <v>República Checa</v>
      </c>
      <c r="H260" s="9" t="str">
        <f ca="1">+WORLDCUP!BD61</f>
        <v>Paraguay</v>
      </c>
      <c r="I260" s="9" t="str">
        <f ca="1">+WORLDCUP!BD66</f>
        <v>Noruega</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Nueva Zelanda</v>
      </c>
      <c r="E261" s="9" t="str">
        <f ca="1">+WORLDCUP!BD62</f>
        <v>Ecuador</v>
      </c>
      <c r="F261" s="9" t="str">
        <f ca="1">+WORLDCUP!BD60</f>
        <v>Brasil</v>
      </c>
      <c r="G261" s="9" t="str">
        <f ca="1">+WORLDCUP!BD58</f>
        <v>República Checa</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Nueva Zelanda</v>
      </c>
      <c r="E262" s="9" t="str">
        <f ca="1">+WORLDCUP!BD67</f>
        <v>Argelia</v>
      </c>
      <c r="F262" s="9" t="str">
        <f ca="1">+WORLDCUP!BD60</f>
        <v>Brasil</v>
      </c>
      <c r="G262" s="9" t="str">
        <f ca="1">+WORLDCUP!BD58</f>
        <v>República Checa</v>
      </c>
      <c r="H262" s="9" t="str">
        <f ca="1">+WORLDCUP!BD61</f>
        <v>Paraguay</v>
      </c>
      <c r="I262" s="9" t="str">
        <f ca="1">+WORLDCUP!BD69</f>
        <v>Ghana</v>
      </c>
      <c r="J262" s="9" t="str">
        <f ca="1">+WORLDCUP!BD62</f>
        <v>Ecuador</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Nueva Zelanda</v>
      </c>
      <c r="E263" s="9" t="str">
        <f ca="1">+WORLDCUP!BD67</f>
        <v>Argelia</v>
      </c>
      <c r="F263" s="9" t="str">
        <f ca="1">+WORLDCUP!BD60</f>
        <v>Brasil</v>
      </c>
      <c r="G263" s="9" t="str">
        <f ca="1">+WORLDCUP!BD58</f>
        <v>República Checa</v>
      </c>
      <c r="H263" s="9" t="str">
        <f ca="1">+WORLDCUP!BD61</f>
        <v>Paraguay</v>
      </c>
      <c r="I263" s="9" t="str">
        <f ca="1">+WORLDCUP!BD62</f>
        <v>Ecuador</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Nueva Zelanda</v>
      </c>
      <c r="E264" s="9" t="str">
        <f ca="1">+WORLDCUP!BD62</f>
        <v>Ecuador</v>
      </c>
      <c r="F264" s="9" t="str">
        <f ca="1">+WORLDCUP!BD60</f>
        <v>Brasil</v>
      </c>
      <c r="G264" s="9" t="str">
        <f ca="1">+WORLDCUP!BD58</f>
        <v>República Checa</v>
      </c>
      <c r="H264" s="9" t="str">
        <f ca="1">+WORLDCUP!BD61</f>
        <v>Paraguay</v>
      </c>
      <c r="I264" s="9" t="str">
        <f ca="1">+WORLDCUP!BD69</f>
        <v>Ghana</v>
      </c>
      <c r="J264" s="9" t="str">
        <f ca="1">+WORLDCUP!BD66</f>
        <v>Noruega</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Nueva Zelanda</v>
      </c>
      <c r="E265" s="9" t="str">
        <f ca="1">+WORLDCUP!BD62</f>
        <v>Ecuador</v>
      </c>
      <c r="F265" s="9" t="str">
        <f ca="1">+WORLDCUP!BD60</f>
        <v>Brasil</v>
      </c>
      <c r="G265" s="9" t="str">
        <f ca="1">+WORLDCUP!BD58</f>
        <v>República Checa</v>
      </c>
      <c r="H265" s="9" t="str">
        <f ca="1">+WORLDCUP!BD61</f>
        <v>Paraguay</v>
      </c>
      <c r="I265" s="9" t="str">
        <f ca="1">+WORLDCUP!BD66</f>
        <v>Noruega</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Nueva Zelanda</v>
      </c>
      <c r="E266" s="9" t="str">
        <f ca="1">+WORLDCUP!BD67</f>
        <v>Argelia</v>
      </c>
      <c r="F266" s="9" t="str">
        <f ca="1">+WORLDCUP!BD60</f>
        <v>Brasil</v>
      </c>
      <c r="G266" s="9" t="str">
        <f ca="1">+WORLDCUP!BD58</f>
        <v>República Checa</v>
      </c>
      <c r="H266" s="9" t="str">
        <f ca="1">+WORLDCUP!BD61</f>
        <v>Paraguay</v>
      </c>
      <c r="I266" s="9" t="str">
        <f ca="1">+WORLDCUP!BD62</f>
        <v>Ecuador</v>
      </c>
      <c r="J266" s="9" t="str">
        <f ca="1">+WORLDCUP!BD66</f>
        <v>Noruega</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Brasil</v>
      </c>
      <c r="D267" s="9" t="str">
        <f ca="1">+WORLDCUP!BD67</f>
        <v>Argelia</v>
      </c>
      <c r="E267" s="9" t="str">
        <f ca="1">+WORLDCUP!BD62</f>
        <v>Ecuador</v>
      </c>
      <c r="F267" s="9" t="str">
        <f ca="1">+WORLDCUP!BD61</f>
        <v>Paraguay</v>
      </c>
      <c r="G267" s="9" t="str">
        <f ca="1">+WORLDCUP!BD58</f>
        <v>República Checa</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Brasil</v>
      </c>
      <c r="D268" s="9" t="str">
        <f ca="1">+WORLDCUP!BD62</f>
        <v>Ecuador</v>
      </c>
      <c r="E268" s="9" t="str">
        <f ca="1">+WORLDCUP!BD66</f>
        <v>Noruega</v>
      </c>
      <c r="F268" s="9" t="str">
        <f ca="1">+WORLDCUP!BD61</f>
        <v>Paraguay</v>
      </c>
      <c r="G268" s="9" t="str">
        <f ca="1">+WORLDCUP!BD58</f>
        <v>República Checa</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Brasil</v>
      </c>
      <c r="D269" s="9" t="str">
        <f ca="1">+WORLDCUP!BD67</f>
        <v>Argelia</v>
      </c>
      <c r="E269" s="9" t="str">
        <f ca="1">+WORLDCUP!BD62</f>
        <v>Ecuador</v>
      </c>
      <c r="F269" s="9" t="str">
        <f ca="1">+WORLDCUP!BD61</f>
        <v>Paraguay</v>
      </c>
      <c r="G269" s="9" t="str">
        <f ca="1">+WORLDCUP!BD58</f>
        <v>República Checa</v>
      </c>
      <c r="H269" s="9" t="str">
        <f ca="1">+WORLDCUP!BD63</f>
        <v>Suecia</v>
      </c>
      <c r="I269" s="9" t="str">
        <f ca="1">+WORLDCUP!BD69</f>
        <v>Ghana</v>
      </c>
      <c r="J269" s="9" t="str">
        <f ca="1">+WORLDCUP!BD66</f>
        <v>Noruega</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Brasil</v>
      </c>
      <c r="D270" s="9" t="str">
        <f ca="1">+WORLDCUP!BD67</f>
        <v>Argelia</v>
      </c>
      <c r="E270" s="9" t="str">
        <f ca="1">+WORLDCUP!BD62</f>
        <v>Ecuador</v>
      </c>
      <c r="F270" s="9" t="str">
        <f ca="1">+WORLDCUP!BD61</f>
        <v>Paraguay</v>
      </c>
      <c r="G270" s="9" t="str">
        <f ca="1">+WORLDCUP!BD58</f>
        <v>República Checa</v>
      </c>
      <c r="H270" s="9" t="str">
        <f ca="1">+WORLDCUP!BD63</f>
        <v>Suecia</v>
      </c>
      <c r="I270" s="9" t="str">
        <f ca="1">+WORLDCUP!BD66</f>
        <v>Noruega</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Ecuador</v>
      </c>
      <c r="E271" s="9" t="str">
        <f ca="1">+WORLDCUP!BD63</f>
        <v>Suecia</v>
      </c>
      <c r="F271" s="9" t="str">
        <f ca="1">+WORLDCUP!BD60</f>
        <v>Brasil</v>
      </c>
      <c r="G271" s="9" t="str">
        <f ca="1">+WORLDCUP!BD58</f>
        <v>República Checa</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Suecia</v>
      </c>
      <c r="F272" s="9" t="str">
        <f ca="1">+WORLDCUP!BD60</f>
        <v>Brasil</v>
      </c>
      <c r="G272" s="9" t="str">
        <f ca="1">+WORLDCUP!BD58</f>
        <v>República Checa</v>
      </c>
      <c r="H272" s="9" t="str">
        <f ca="1">+WORLDCUP!BD61</f>
        <v>Paraguay</v>
      </c>
      <c r="I272" s="9" t="str">
        <f ca="1">+WORLDCUP!BD69</f>
        <v>Ghana</v>
      </c>
      <c r="J272" s="9" t="str">
        <f ca="1">+WORLDCUP!BD62</f>
        <v>Ecuador</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Ecuador</v>
      </c>
      <c r="F273" s="9" t="str">
        <f ca="1">+WORLDCUP!BD60</f>
        <v>Brasil</v>
      </c>
      <c r="G273" s="9" t="str">
        <f ca="1">+WORLDCUP!BD58</f>
        <v>República Checa</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Ecuador</v>
      </c>
      <c r="E274" s="9" t="str">
        <f ca="1">+WORLDCUP!BD63</f>
        <v>Suecia</v>
      </c>
      <c r="F274" s="9" t="str">
        <f ca="1">+WORLDCUP!BD60</f>
        <v>Brasil</v>
      </c>
      <c r="G274" s="9" t="str">
        <f ca="1">+WORLDCUP!BD58</f>
        <v>República Checa</v>
      </c>
      <c r="H274" s="9" t="str">
        <f ca="1">+WORLDCUP!BD61</f>
        <v>Paraguay</v>
      </c>
      <c r="I274" s="9" t="str">
        <f ca="1">+WORLDCUP!BD69</f>
        <v>Ghana</v>
      </c>
      <c r="J274" s="9" t="str">
        <f ca="1">+WORLDCUP!BD66</f>
        <v>Noruega</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Ecuador</v>
      </c>
      <c r="E275" s="9" t="str">
        <f ca="1">+WORLDCUP!BD63</f>
        <v>Suecia</v>
      </c>
      <c r="F275" s="9" t="str">
        <f ca="1">+WORLDCUP!BD60</f>
        <v>Brasil</v>
      </c>
      <c r="G275" s="9" t="str">
        <f ca="1">+WORLDCUP!BD58</f>
        <v>República Checa</v>
      </c>
      <c r="H275" s="9" t="str">
        <f ca="1">+WORLDCUP!BD61</f>
        <v>Paraguay</v>
      </c>
      <c r="I275" s="9" t="str">
        <f ca="1">+WORLDCUP!BD66</f>
        <v>Noruega</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Ecuador</v>
      </c>
      <c r="F276" s="9" t="str">
        <f ca="1">+WORLDCUP!BD60</f>
        <v>Brasil</v>
      </c>
      <c r="G276" s="9" t="str">
        <f ca="1">+WORLDCUP!BD58</f>
        <v>República Checa</v>
      </c>
      <c r="H276" s="9" t="str">
        <f ca="1">+WORLDCUP!BD63</f>
        <v>Suecia</v>
      </c>
      <c r="I276" s="9" t="str">
        <f ca="1">+WORLDCUP!BD61</f>
        <v>Paraguay</v>
      </c>
      <c r="J276" s="9" t="str">
        <f ca="1">+WORLDCUP!BD66</f>
        <v>Noruega</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Brasil</v>
      </c>
      <c r="D277" s="9" t="str">
        <f ca="1">+WORLDCUP!BD64</f>
        <v>Nueva Zelanda</v>
      </c>
      <c r="E277" s="9" t="str">
        <f ca="1">+WORLDCUP!BD62</f>
        <v>Ecuador</v>
      </c>
      <c r="F277" s="9" t="str">
        <f ca="1">+WORLDCUP!BD61</f>
        <v>Paraguay</v>
      </c>
      <c r="G277" s="9" t="str">
        <f ca="1">+WORLDCUP!BD58</f>
        <v>República Checa</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Brasil</v>
      </c>
      <c r="D278" s="9" t="str">
        <f ca="1">+WORLDCUP!BD64</f>
        <v>Nueva Zelanda</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Ecuador</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Brasil</v>
      </c>
      <c r="D279" s="9" t="str">
        <f ca="1">+WORLDCUP!BD64</f>
        <v>Nueva Zelanda</v>
      </c>
      <c r="E279" s="9" t="str">
        <f ca="1">+WORLDCUP!BD67</f>
        <v>Argelia</v>
      </c>
      <c r="F279" s="9" t="str">
        <f ca="1">+WORLDCUP!BD61</f>
        <v>Paraguay</v>
      </c>
      <c r="G279" s="9" t="str">
        <f ca="1">+WORLDCUP!BD58</f>
        <v>República Checa</v>
      </c>
      <c r="H279" s="9" t="str">
        <f ca="1">+WORLDCUP!BD63</f>
        <v>Suecia</v>
      </c>
      <c r="I279" s="9" t="str">
        <f ca="1">+WORLDCUP!BD62</f>
        <v>Ecuador</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Brasil</v>
      </c>
      <c r="D280" s="9" t="str">
        <f ca="1">+WORLDCUP!BD64</f>
        <v>Nueva Zelanda</v>
      </c>
      <c r="E280" s="9" t="str">
        <f ca="1">+WORLDCUP!BD62</f>
        <v>Ecuador</v>
      </c>
      <c r="F280" s="9" t="str">
        <f ca="1">+WORLDCUP!BD61</f>
        <v>Paraguay</v>
      </c>
      <c r="G280" s="9" t="str">
        <f ca="1">+WORLDCUP!BD58</f>
        <v>República Checa</v>
      </c>
      <c r="H280" s="9" t="str">
        <f ca="1">+WORLDCUP!BD63</f>
        <v>Suecia</v>
      </c>
      <c r="I280" s="9" t="str">
        <f ca="1">+WORLDCUP!BD69</f>
        <v>Ghana</v>
      </c>
      <c r="J280" s="9" t="str">
        <f ca="1">+WORLDCUP!BD66</f>
        <v>Noruega</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Brasil</v>
      </c>
      <c r="D281" s="9" t="str">
        <f ca="1">+WORLDCUP!BD64</f>
        <v>Nueva Zelanda</v>
      </c>
      <c r="E281" s="9" t="str">
        <f ca="1">+WORLDCUP!BD62</f>
        <v>Ecuador</v>
      </c>
      <c r="F281" s="9" t="str">
        <f ca="1">+WORLDCUP!BD61</f>
        <v>Paraguay</v>
      </c>
      <c r="G281" s="9" t="str">
        <f ca="1">+WORLDCUP!BD58</f>
        <v>República Checa</v>
      </c>
      <c r="H281" s="9" t="str">
        <f ca="1">+WORLDCUP!BD63</f>
        <v>Suecia</v>
      </c>
      <c r="I281" s="9" t="str">
        <f ca="1">+WORLDCUP!BD66</f>
        <v>Noruega</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Brasil</v>
      </c>
      <c r="D282" s="9" t="str">
        <f ca="1">+WORLDCUP!BD64</f>
        <v>Nueva Zelanda</v>
      </c>
      <c r="E282" s="9" t="str">
        <f ca="1">+WORLDCUP!BD67</f>
        <v>Argelia</v>
      </c>
      <c r="F282" s="9" t="str">
        <f ca="1">+WORLDCUP!BD61</f>
        <v>Paraguay</v>
      </c>
      <c r="G282" s="9" t="str">
        <f ca="1">+WORLDCUP!BD58</f>
        <v>República Checa</v>
      </c>
      <c r="H282" s="9" t="str">
        <f ca="1">+WORLDCUP!BD63</f>
        <v>Suecia</v>
      </c>
      <c r="I282" s="9" t="str">
        <f ca="1">+WORLDCUP!BD62</f>
        <v>Ecuador</v>
      </c>
      <c r="J282" s="9" t="str">
        <f ca="1">+WORLDCUP!BD66</f>
        <v>Noruega</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Nueva Zelanda</v>
      </c>
      <c r="E283" s="9" t="str">
        <f ca="1">+WORLDCUP!BD63</f>
        <v>Suecia</v>
      </c>
      <c r="F283" s="9" t="str">
        <f ca="1">+WORLDCUP!BD60</f>
        <v>Brasil</v>
      </c>
      <c r="G283" s="9" t="str">
        <f ca="1">+WORLDCUP!BD58</f>
        <v>República Checa</v>
      </c>
      <c r="H283" s="9" t="str">
        <f ca="1">+WORLDCUP!BD61</f>
        <v>Paraguay</v>
      </c>
      <c r="I283" s="9" t="str">
        <f ca="1">+WORLDCUP!BD69</f>
        <v>Ghana</v>
      </c>
      <c r="J283" s="9" t="str">
        <f ca="1">+WORLDCUP!BD62</f>
        <v>Ecuador</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Nueva Zelanda</v>
      </c>
      <c r="E284" s="9" t="str">
        <f ca="1">+WORLDCUP!BD62</f>
        <v>Ecuador</v>
      </c>
      <c r="F284" s="9" t="str">
        <f ca="1">+WORLDCUP!BD60</f>
        <v>Brasil</v>
      </c>
      <c r="G284" s="9" t="str">
        <f ca="1">+WORLDCUP!BD58</f>
        <v>República Checa</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Nueva Zelanda</v>
      </c>
      <c r="E285" s="9" t="str">
        <f ca="1">+WORLDCUP!BD67</f>
        <v>Argelia</v>
      </c>
      <c r="F285" s="9" t="str">
        <f ca="1">+WORLDCUP!BD60</f>
        <v>Brasil</v>
      </c>
      <c r="G285" s="9" t="str">
        <f ca="1">+WORLDCUP!BD58</f>
        <v>República Checa</v>
      </c>
      <c r="H285" s="9" t="str">
        <f ca="1">+WORLDCUP!BD63</f>
        <v>Suecia</v>
      </c>
      <c r="I285" s="9" t="str">
        <f ca="1">+WORLDCUP!BD61</f>
        <v>Paraguay</v>
      </c>
      <c r="J285" s="9" t="str">
        <f ca="1">+WORLDCUP!BD62</f>
        <v>Ecuador</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Nueva Zelanda</v>
      </c>
      <c r="E286" s="9" t="str">
        <f ca="1">+WORLDCUP!BD62</f>
        <v>Ecuador</v>
      </c>
      <c r="F286" s="9" t="str">
        <f ca="1">+WORLDCUP!BD60</f>
        <v>Brasil</v>
      </c>
      <c r="G286" s="9" t="str">
        <f ca="1">+WORLDCUP!BD58</f>
        <v>República Checa</v>
      </c>
      <c r="H286" s="9" t="str">
        <f ca="1">+WORLDCUP!BD63</f>
        <v>Suecia</v>
      </c>
      <c r="I286" s="9" t="str">
        <f ca="1">+WORLDCUP!BD61</f>
        <v>Paraguay</v>
      </c>
      <c r="J286" s="9" t="str">
        <f ca="1">+WORLDCUP!BD66</f>
        <v>Noruega</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Noruega</v>
      </c>
      <c r="H287" s="9" t="str">
        <f ca="1">+WORLDCUP!BD64</f>
        <v>Nueva Zelanda</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Noruega</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Noruega</v>
      </c>
      <c r="D289" s="9" t="str">
        <f ca="1">+WORLDCUP!BD67</f>
        <v>Argelia</v>
      </c>
      <c r="E289" s="9" t="str">
        <f ca="1">+WORLDCUP!BD59</f>
        <v>Bosnia y Herzegovina</v>
      </c>
      <c r="F289" s="9" t="str">
        <f ca="1">+WORLDCUP!BD63</f>
        <v>Suecia</v>
      </c>
      <c r="G289" s="9" t="str">
        <f ca="1">+WORLDCUP!BD58</f>
        <v>República Checa</v>
      </c>
      <c r="H289" s="9" t="str">
        <f ca="1">+WORLDCUP!BD64</f>
        <v>Nueva Zelanda</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Nueva Zelanda</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Nueva Zelanda</v>
      </c>
      <c r="E291" s="9" t="str">
        <f ca="1">+WORLDCUP!BD59</f>
        <v>Bosnia y Herzegovina</v>
      </c>
      <c r="F291" s="9" t="str">
        <f ca="1">+WORLDCUP!BD58</f>
        <v>República Checa</v>
      </c>
      <c r="G291" s="9" t="str">
        <f ca="1">+WORLDCUP!BD66</f>
        <v>Noruega</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Nueva Zelanda</v>
      </c>
      <c r="I292" s="9" t="str">
        <f ca="1">+WORLDCUP!BD69</f>
        <v>Ghana</v>
      </c>
      <c r="J292" s="9" t="str">
        <f ca="1">+WORLDCUP!BD66</f>
        <v>Noruega</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Nueva Zelanda</v>
      </c>
      <c r="I293" s="9" t="str">
        <f ca="1">+WORLDCUP!BD66</f>
        <v>Noruega</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Noruega</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Noruega</v>
      </c>
      <c r="H295" s="9" t="str">
        <f ca="1">+WORLDCUP!BD64</f>
        <v>Nueva Zelanda</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Arabia Saudita</v>
      </c>
      <c r="H296" s="9" t="str">
        <f ca="1">+WORLDCUP!BD64</f>
        <v>Nueva Zelanda</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Ecuador</v>
      </c>
      <c r="D297" s="9" t="str">
        <f ca="1">+WORLDCUP!BD64</f>
        <v>Nueva Zelanda</v>
      </c>
      <c r="E297" s="9" t="str">
        <f ca="1">+WORLDCUP!BD59</f>
        <v>Bosnia y Herzegovina</v>
      </c>
      <c r="F297" s="9" t="str">
        <f ca="1">+WORLDCUP!BD58</f>
        <v>República Checa</v>
      </c>
      <c r="G297" s="9" t="str">
        <f ca="1">+WORLDCUP!BD66</f>
        <v>Noruega</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Arabia Saudita</v>
      </c>
      <c r="H298" s="9" t="str">
        <f ca="1">+WORLDCUP!BD64</f>
        <v>Nueva Zelanda</v>
      </c>
      <c r="I298" s="9" t="str">
        <f ca="1">+WORLDCUP!BD69</f>
        <v>Ghana</v>
      </c>
      <c r="J298" s="9" t="str">
        <f ca="1">+WORLDCUP!BD66</f>
        <v>Noruega</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Arabia Saudita</v>
      </c>
      <c r="H299" s="9" t="str">
        <f ca="1">+WORLDCUP!BD64</f>
        <v>Nueva Zelanda</v>
      </c>
      <c r="I299" s="9" t="str">
        <f ca="1">+WORLDCUP!BD66</f>
        <v>Noruega</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Noruega</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Ecuador</v>
      </c>
      <c r="D302" s="9" t="str">
        <f ca="1">+WORLDCUP!BD66</f>
        <v>Noruega</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Noruega</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Noruega</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República Checa</v>
      </c>
      <c r="H305" s="9" t="str">
        <f ca="1">+WORLDCUP!BD64</f>
        <v>Nueva Zelanda</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Ecuador</v>
      </c>
      <c r="D306" s="9" t="str">
        <f ca="1">+WORLDCUP!BD64</f>
        <v>Nueva Zelanda</v>
      </c>
      <c r="E306" s="9" t="str">
        <f ca="1">+WORLDCUP!BD59</f>
        <v>Bosnia y Herzegovina</v>
      </c>
      <c r="F306" s="9" t="str">
        <f ca="1">+WORLDCUP!BD58</f>
        <v>República Checa</v>
      </c>
      <c r="G306" s="9" t="str">
        <f ca="1">+WORLDCUP!BD66</f>
        <v>Noruega</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República Checa</v>
      </c>
      <c r="H307" s="9" t="str">
        <f ca="1">+WORLDCUP!BD64</f>
        <v>Nueva Zelanda</v>
      </c>
      <c r="I307" s="9" t="str">
        <f ca="1">+WORLDCUP!BD69</f>
        <v>Ghana</v>
      </c>
      <c r="J307" s="9" t="str">
        <f ca="1">+WORLDCUP!BD66</f>
        <v>Noruega</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República Checa</v>
      </c>
      <c r="H308" s="9" t="str">
        <f ca="1">+WORLDCUP!BD64</f>
        <v>Nueva Zelanda</v>
      </c>
      <c r="I308" s="9" t="str">
        <f ca="1">+WORLDCUP!BD66</f>
        <v>Noruega</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Ecuador</v>
      </c>
      <c r="D309" s="9" t="str">
        <f ca="1">+WORLDCUP!BD64</f>
        <v>Nueva Zelanda</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Nueva Zelanda</v>
      </c>
      <c r="I310" s="9" t="str">
        <f ca="1">+WORLDCUP!BD69</f>
        <v>Ghana</v>
      </c>
      <c r="J310" s="9" t="str">
        <f ca="1">+WORLDCUP!BD62</f>
        <v>Ecuador</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Nueva Zelanda</v>
      </c>
      <c r="I311" s="9" t="str">
        <f ca="1">+WORLDCUP!BD62</f>
        <v>Ecuador</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Ecuador</v>
      </c>
      <c r="D312" s="9" t="str">
        <f ca="1">+WORLDCUP!BD64</f>
        <v>Nueva Zelanda</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Noruega</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Ecuador</v>
      </c>
      <c r="D313" s="9" t="str">
        <f ca="1">+WORLDCUP!BD64</f>
        <v>Nueva Zelanda</v>
      </c>
      <c r="E313" s="9" t="str">
        <f ca="1">+WORLDCUP!BD59</f>
        <v>Bosnia y Herzegovina</v>
      </c>
      <c r="F313" s="9" t="str">
        <f ca="1">+WORLDCUP!BD63</f>
        <v>Suecia</v>
      </c>
      <c r="G313" s="9" t="str">
        <f ca="1">+WORLDCUP!BD58</f>
        <v>República Checa</v>
      </c>
      <c r="H313" s="9" t="str">
        <f ca="1">+WORLDCUP!BD65</f>
        <v>Arabia Saudita</v>
      </c>
      <c r="I313" s="9" t="str">
        <f ca="1">+WORLDCUP!BD66</f>
        <v>Noruega</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Nueva Zelanda</v>
      </c>
      <c r="I314" s="9" t="str">
        <f ca="1">+WORLDCUP!BD62</f>
        <v>Ecuador</v>
      </c>
      <c r="J314" s="9" t="str">
        <f ca="1">+WORLDCUP!BD66</f>
        <v>Noruega</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Noruega</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Noruega</v>
      </c>
      <c r="D316" s="9" t="str">
        <f ca="1">+WORLDCUP!BD67</f>
        <v>Argelia</v>
      </c>
      <c r="E316" s="9" t="str">
        <f ca="1">+WORLDCUP!BD59</f>
        <v>Bosnia y Herzegovina</v>
      </c>
      <c r="F316" s="9" t="str">
        <f ca="1">+WORLDCUP!BD61</f>
        <v>Paraguay</v>
      </c>
      <c r="G316" s="9" t="str">
        <f ca="1">+WORLDCUP!BD58</f>
        <v>República Checa</v>
      </c>
      <c r="H316" s="9" t="str">
        <f ca="1">+WORLDCUP!BD64</f>
        <v>Nueva Zelanda</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Nueva Zelanda</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Noruega</v>
      </c>
      <c r="D318" s="9" t="str">
        <f ca="1">+WORLDCUP!BD64</f>
        <v>Nueva Zelanda</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Nueva Zelanda</v>
      </c>
      <c r="I319" s="9" t="str">
        <f ca="1">+WORLDCUP!BD69</f>
        <v>Ghana</v>
      </c>
      <c r="J319" s="9" t="str">
        <f ca="1">+WORLDCUP!BD66</f>
        <v>Noruega</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Nueva Zelanda</v>
      </c>
      <c r="I320" s="9" t="str">
        <f ca="1">+WORLDCUP!BD66</f>
        <v>Noruega</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Noruega</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Noruega</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Noruega</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Noruega</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Nueva Zelanda</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Noruega</v>
      </c>
      <c r="D327" s="9" t="str">
        <f ca="1">+WORLDCUP!BD64</f>
        <v>Nueva Zelanda</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Nueva Zelanda</v>
      </c>
      <c r="I328" s="9" t="str">
        <f ca="1">+WORLDCUP!BD69</f>
        <v>Ghana</v>
      </c>
      <c r="J328" s="9" t="str">
        <f ca="1">+WORLDCUP!BD66</f>
        <v>Noruega</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Nueva Zelanda</v>
      </c>
      <c r="I329" s="9" t="str">
        <f ca="1">+WORLDCUP!BD66</f>
        <v>Noruega</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Nueva Zelanda</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Nueva Zelanda</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Nueva Zelanda</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Nueva Zelanda</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Noruega</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Nueva Zelanda</v>
      </c>
      <c r="E334" s="9" t="str">
        <f ca="1">+WORLDCUP!BD59</f>
        <v>Bosnia y Herzegovina</v>
      </c>
      <c r="F334" s="9" t="str">
        <f ca="1">+WORLDCUP!BD61</f>
        <v>Paraguay</v>
      </c>
      <c r="G334" s="9" t="str">
        <f ca="1">+WORLDCUP!BD58</f>
        <v>República Checa</v>
      </c>
      <c r="H334" s="9" t="str">
        <f ca="1">+WORLDCUP!BD63</f>
        <v>Suecia</v>
      </c>
      <c r="I334" s="9" t="str">
        <f ca="1">+WORLDCUP!BD66</f>
        <v>Noruega</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Nueva Zelanda</v>
      </c>
      <c r="E335" s="9" t="str">
        <f ca="1">+WORLDCUP!BD59</f>
        <v>Bosnia y Herzegovina</v>
      </c>
      <c r="F335" s="9" t="str">
        <f ca="1">+WORLDCUP!BD61</f>
        <v>Paraguay</v>
      </c>
      <c r="G335" s="9" t="str">
        <f ca="1">+WORLDCUP!BD58</f>
        <v>República Checa</v>
      </c>
      <c r="H335" s="9" t="str">
        <f ca="1">+WORLDCUP!BD63</f>
        <v>Suecia</v>
      </c>
      <c r="I335" s="9" t="str">
        <f ca="1">+WORLDCUP!BD66</f>
        <v>Noruega</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Noruega</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Ecuador</v>
      </c>
      <c r="D338" s="9" t="str">
        <f ca="1">+WORLDCUP!BD66</f>
        <v>Noruega</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Noruega</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Noruega</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República Checa</v>
      </c>
      <c r="H341" s="9" t="str">
        <f ca="1">+WORLDCUP!BD64</f>
        <v>Nueva Zelanda</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Ecuador</v>
      </c>
      <c r="D342" s="9" t="str">
        <f ca="1">+WORLDCUP!BD64</f>
        <v>Nueva Zelanda</v>
      </c>
      <c r="E342" s="9" t="str">
        <f ca="1">+WORLDCUP!BD59</f>
        <v>Bosnia y Herzegovina</v>
      </c>
      <c r="F342" s="9" t="str">
        <f ca="1">+WORLDCUP!BD58</f>
        <v>República Checa</v>
      </c>
      <c r="G342" s="9" t="str">
        <f ca="1">+WORLDCUP!BD66</f>
        <v>Noruega</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República Checa</v>
      </c>
      <c r="H343" s="9" t="str">
        <f ca="1">+WORLDCUP!BD64</f>
        <v>Nueva Zelanda</v>
      </c>
      <c r="I343" s="9" t="str">
        <f ca="1">+WORLDCUP!BD69</f>
        <v>Ghana</v>
      </c>
      <c r="J343" s="9" t="str">
        <f ca="1">+WORLDCUP!BD66</f>
        <v>Noruega</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República Checa</v>
      </c>
      <c r="H344" s="9" t="str">
        <f ca="1">+WORLDCUP!BD64</f>
        <v>Nueva Zelanda</v>
      </c>
      <c r="I344" s="9" t="str">
        <f ca="1">+WORLDCUP!BD66</f>
        <v>Noruega</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Ecuador</v>
      </c>
      <c r="D345" s="9" t="str">
        <f ca="1">+WORLDCUP!BD64</f>
        <v>Nueva Zelanda</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Nueva Zelanda</v>
      </c>
      <c r="I346" s="9" t="str">
        <f ca="1">+WORLDCUP!BD69</f>
        <v>Ghana</v>
      </c>
      <c r="J346" s="9" t="str">
        <f ca="1">+WORLDCUP!BD62</f>
        <v>Ecuador</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Nueva Zelanda</v>
      </c>
      <c r="I347" s="9" t="str">
        <f ca="1">+WORLDCUP!BD62</f>
        <v>Ecuador</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Ecuador</v>
      </c>
      <c r="D348" s="9" t="str">
        <f ca="1">+WORLDCUP!BD64</f>
        <v>Nueva Zelanda</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Noruega</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Ecuador</v>
      </c>
      <c r="D349" s="9" t="str">
        <f ca="1">+WORLDCUP!BD64</f>
        <v>Nueva Zelanda</v>
      </c>
      <c r="E349" s="9" t="str">
        <f ca="1">+WORLDCUP!BD59</f>
        <v>Bosnia y Herzegovina</v>
      </c>
      <c r="F349" s="9" t="str">
        <f ca="1">+WORLDCUP!BD61</f>
        <v>Paraguay</v>
      </c>
      <c r="G349" s="9" t="str">
        <f ca="1">+WORLDCUP!BD58</f>
        <v>República Checa</v>
      </c>
      <c r="H349" s="9" t="str">
        <f ca="1">+WORLDCUP!BD65</f>
        <v>Arabia Saudita</v>
      </c>
      <c r="I349" s="9" t="str">
        <f ca="1">+WORLDCUP!BD66</f>
        <v>Noruega</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Nueva Zelanda</v>
      </c>
      <c r="I350" s="9" t="str">
        <f ca="1">+WORLDCUP!BD62</f>
        <v>Ecuador</v>
      </c>
      <c r="J350" s="9" t="str">
        <f ca="1">+WORLDCUP!BD66</f>
        <v>Noruega</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Ecuador</v>
      </c>
      <c r="D352" s="9" t="str">
        <f ca="1">+WORLDCUP!BD66</f>
        <v>Noruega</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Noruega</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Noruega</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Ecuador</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Ecuador</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Ecuador</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Ecuador</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Noruega</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Ecuador</v>
      </c>
      <c r="E359" s="9" t="str">
        <f ca="1">+WORLDCUP!BD59</f>
        <v>Bosnia y Herzegovina</v>
      </c>
      <c r="F359" s="9" t="str">
        <f ca="1">+WORLDCUP!BD61</f>
        <v>Paraguay</v>
      </c>
      <c r="G359" s="9" t="str">
        <f ca="1">+WORLDCUP!BD58</f>
        <v>República Checa</v>
      </c>
      <c r="H359" s="9" t="str">
        <f ca="1">+WORLDCUP!BD63</f>
        <v>Suecia</v>
      </c>
      <c r="I359" s="9" t="str">
        <f ca="1">+WORLDCUP!BD66</f>
        <v>Noruega</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Ecuador</v>
      </c>
      <c r="J360" s="9" t="str">
        <f ca="1">+WORLDCUP!BD66</f>
        <v>Noruega</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Ecuador</v>
      </c>
      <c r="D361" s="9" t="str">
        <f ca="1">+WORLDCUP!BD64</f>
        <v>Nueva Zelanda</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Ecuador</v>
      </c>
      <c r="D362" s="9" t="str">
        <f ca="1">+WORLDCUP!BD64</f>
        <v>Nueva Zelanda</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Ecuador</v>
      </c>
      <c r="D363" s="9" t="str">
        <f ca="1">+WORLDCUP!BD64</f>
        <v>Nueva Zelanda</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Ecuador</v>
      </c>
      <c r="D364" s="9" t="str">
        <f ca="1">+WORLDCUP!BD64</f>
        <v>Nueva Zelanda</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Noruega</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Ecuador</v>
      </c>
      <c r="D365" s="9" t="str">
        <f ca="1">+WORLDCUP!BD64</f>
        <v>Nueva Zelanda</v>
      </c>
      <c r="E365" s="9" t="str">
        <f ca="1">+WORLDCUP!BD59</f>
        <v>Bosnia y Herzegovina</v>
      </c>
      <c r="F365" s="9" t="str">
        <f ca="1">+WORLDCUP!BD61</f>
        <v>Paraguay</v>
      </c>
      <c r="G365" s="9" t="str">
        <f ca="1">+WORLDCUP!BD58</f>
        <v>República Checa</v>
      </c>
      <c r="H365" s="9" t="str">
        <f ca="1">+WORLDCUP!BD63</f>
        <v>Suecia</v>
      </c>
      <c r="I365" s="9" t="str">
        <f ca="1">+WORLDCUP!BD66</f>
        <v>Noruega</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Ecuador</v>
      </c>
      <c r="D366" s="9" t="str">
        <f ca="1">+WORLDCUP!BD64</f>
        <v>Nueva Zelanda</v>
      </c>
      <c r="E366" s="9" t="str">
        <f ca="1">+WORLDCUP!BD59</f>
        <v>Bosnia y Herzegovina</v>
      </c>
      <c r="F366" s="9" t="str">
        <f ca="1">+WORLDCUP!BD61</f>
        <v>Paraguay</v>
      </c>
      <c r="G366" s="9" t="str">
        <f ca="1">+WORLDCUP!BD58</f>
        <v>República Checa</v>
      </c>
      <c r="H366" s="9" t="str">
        <f ca="1">+WORLDCUP!BD63</f>
        <v>Suecia</v>
      </c>
      <c r="I366" s="9" t="str">
        <f ca="1">+WORLDCUP!BD66</f>
        <v>Noruega</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Nueva Zelanda</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Ecuador</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Nueva Zelanda</v>
      </c>
      <c r="E368" s="9" t="str">
        <f ca="1">+WORLDCUP!BD59</f>
        <v>Bosnia y Herzegovina</v>
      </c>
      <c r="F368" s="9" t="str">
        <f ca="1">+WORLDCUP!BD61</f>
        <v>Paraguay</v>
      </c>
      <c r="G368" s="9" t="str">
        <f ca="1">+WORLDCUP!BD58</f>
        <v>República Checa</v>
      </c>
      <c r="H368" s="9" t="str">
        <f ca="1">+WORLDCUP!BD63</f>
        <v>Suecia</v>
      </c>
      <c r="I368" s="9" t="str">
        <f ca="1">+WORLDCUP!BD62</f>
        <v>Ecuador</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Nueva Zelanda</v>
      </c>
      <c r="E369" s="9" t="str">
        <f ca="1">+WORLDCUP!BD59</f>
        <v>Bosnia y Herzegovina</v>
      </c>
      <c r="F369" s="9" t="str">
        <f ca="1">+WORLDCUP!BD61</f>
        <v>Paraguay</v>
      </c>
      <c r="G369" s="9" t="str">
        <f ca="1">+WORLDCUP!BD58</f>
        <v>República Checa</v>
      </c>
      <c r="H369" s="9" t="str">
        <f ca="1">+WORLDCUP!BD63</f>
        <v>Suecia</v>
      </c>
      <c r="I369" s="9" t="str">
        <f ca="1">+WORLDCUP!BD62</f>
        <v>Ecuador</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Nueva Zelanda</v>
      </c>
      <c r="E370" s="9" t="str">
        <f ca="1">+WORLDCUP!BD59</f>
        <v>Bosnia y Herzegovina</v>
      </c>
      <c r="F370" s="9" t="str">
        <f ca="1">+WORLDCUP!BD61</f>
        <v>Paraguay</v>
      </c>
      <c r="G370" s="9" t="str">
        <f ca="1">+WORLDCUP!BD58</f>
        <v>República Checa</v>
      </c>
      <c r="H370" s="9" t="str">
        <f ca="1">+WORLDCUP!BD63</f>
        <v>Suecia</v>
      </c>
      <c r="I370" s="9" t="str">
        <f ca="1">+WORLDCUP!BD62</f>
        <v>Ecuador</v>
      </c>
      <c r="J370" s="9" t="str">
        <f ca="1">+WORLDCUP!BD66</f>
        <v>Noruega</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Noruega</v>
      </c>
      <c r="D371" s="9" t="str">
        <f ca="1">+WORLDCUP!BD67</f>
        <v>Argelia</v>
      </c>
      <c r="E371" s="9" t="str">
        <f ca="1">+WORLDCUP!BD59</f>
        <v>Bosnia y Herzegovina</v>
      </c>
      <c r="F371" s="9" t="str">
        <f ca="1">+WORLDCUP!BD60</f>
        <v>Brasil</v>
      </c>
      <c r="G371" s="9" t="str">
        <f ca="1">+WORLDCUP!BD58</f>
        <v>República Checa</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Noruega</v>
      </c>
      <c r="D372" s="9" t="str">
        <f ca="1">+WORLDCUP!BD67</f>
        <v>Argelia</v>
      </c>
      <c r="E372" s="9" t="str">
        <f ca="1">+WORLDCUP!BD59</f>
        <v>Bosnia y Herzegovina</v>
      </c>
      <c r="F372" s="9" t="str">
        <f ca="1">+WORLDCUP!BD60</f>
        <v>Brasil</v>
      </c>
      <c r="G372" s="9" t="str">
        <f ca="1">+WORLDCUP!BD58</f>
        <v>República Checa</v>
      </c>
      <c r="H372" s="9" t="str">
        <f ca="1">+WORLDCUP!BD64</f>
        <v>Nueva Zelanda</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Brasil</v>
      </c>
      <c r="G373" s="9" t="str">
        <f ca="1">+WORLDCUP!BD58</f>
        <v>República Checa</v>
      </c>
      <c r="H373" s="9" t="str">
        <f ca="1">+WORLDCUP!BD64</f>
        <v>Nueva Zelanda</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Noruega</v>
      </c>
      <c r="D374" s="9" t="str">
        <f ca="1">+WORLDCUP!BD64</f>
        <v>Nueva Zelanda</v>
      </c>
      <c r="E374" s="9" t="str">
        <f ca="1">+WORLDCUP!BD59</f>
        <v>Bosnia y Herzegovina</v>
      </c>
      <c r="F374" s="9" t="str">
        <f ca="1">+WORLDCUP!BD60</f>
        <v>Brasil</v>
      </c>
      <c r="G374" s="9" t="str">
        <f ca="1">+WORLDCUP!BD58</f>
        <v>República Checa</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Brasil</v>
      </c>
      <c r="G375" s="9" t="str">
        <f ca="1">+WORLDCUP!BD58</f>
        <v>República Checa</v>
      </c>
      <c r="H375" s="9" t="str">
        <f ca="1">+WORLDCUP!BD64</f>
        <v>Nueva Zelanda</v>
      </c>
      <c r="I375" s="9" t="str">
        <f ca="1">+WORLDCUP!BD69</f>
        <v>Ghana</v>
      </c>
      <c r="J375" s="9" t="str">
        <f ca="1">+WORLDCUP!BD66</f>
        <v>Noruega</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Brasil</v>
      </c>
      <c r="G376" s="9" t="str">
        <f ca="1">+WORLDCUP!BD58</f>
        <v>República Checa</v>
      </c>
      <c r="H376" s="9" t="str">
        <f ca="1">+WORLDCUP!BD64</f>
        <v>Nueva Zelanda</v>
      </c>
      <c r="I376" s="9" t="str">
        <f ca="1">+WORLDCUP!BD66</f>
        <v>Noruega</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Noruega</v>
      </c>
      <c r="D377" s="9" t="str">
        <f ca="1">+WORLDCUP!BD67</f>
        <v>Argelia</v>
      </c>
      <c r="E377" s="9" t="str">
        <f ca="1">+WORLDCUP!BD59</f>
        <v>Bosnia y Herzegovina</v>
      </c>
      <c r="F377" s="9" t="str">
        <f ca="1">+WORLDCUP!BD60</f>
        <v>Brasil</v>
      </c>
      <c r="G377" s="9" t="str">
        <f ca="1">+WORLDCUP!BD58</f>
        <v>República Checa</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Brasil</v>
      </c>
      <c r="G378" s="9" t="str">
        <f ca="1">+WORLDCUP!BD58</f>
        <v>República Checa</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Noruega</v>
      </c>
      <c r="E379" s="9" t="str">
        <f ca="1">+WORLDCUP!BD59</f>
        <v>Bosnia y Herzegovina</v>
      </c>
      <c r="F379" s="9" t="str">
        <f ca="1">+WORLDCUP!BD60</f>
        <v>Brasil</v>
      </c>
      <c r="G379" s="9" t="str">
        <f ca="1">+WORLDCUP!BD58</f>
        <v>República Checa</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Brasil</v>
      </c>
      <c r="G380" s="9" t="str">
        <f ca="1">+WORLDCUP!BD58</f>
        <v>República Checa</v>
      </c>
      <c r="H380" s="9" t="str">
        <f ca="1">+WORLDCUP!BD63</f>
        <v>Suecia</v>
      </c>
      <c r="I380" s="9" t="str">
        <f ca="1">+WORLDCUP!BD69</f>
        <v>Ghana</v>
      </c>
      <c r="J380" s="9" t="str">
        <f ca="1">+WORLDCUP!BD66</f>
        <v>Noruega</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Brasil</v>
      </c>
      <c r="G381" s="9" t="str">
        <f ca="1">+WORLDCUP!BD58</f>
        <v>República Checa</v>
      </c>
      <c r="H381" s="9" t="str">
        <f ca="1">+WORLDCUP!BD63</f>
        <v>Suecia</v>
      </c>
      <c r="I381" s="9" t="str">
        <f ca="1">+WORLDCUP!BD66</f>
        <v>Noruega</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Brasil</v>
      </c>
      <c r="D382" s="9" t="str">
        <f ca="1">+WORLDCUP!BD67</f>
        <v>Argelia</v>
      </c>
      <c r="E382" s="9" t="str">
        <f ca="1">+WORLDCUP!BD59</f>
        <v>Bosnia y Herzegovina</v>
      </c>
      <c r="F382" s="9" t="str">
        <f ca="1">+WORLDCUP!BD63</f>
        <v>Suecia</v>
      </c>
      <c r="G382" s="9" t="str">
        <f ca="1">+WORLDCUP!BD58</f>
        <v>República Checa</v>
      </c>
      <c r="H382" s="9" t="str">
        <f ca="1">+WORLDCUP!BD64</f>
        <v>Nueva Zelanda</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Noruega</v>
      </c>
      <c r="D383" s="9" t="str">
        <f ca="1">+WORLDCUP!BD64</f>
        <v>Nueva Zelanda</v>
      </c>
      <c r="E383" s="9" t="str">
        <f ca="1">+WORLDCUP!BD59</f>
        <v>Bosnia y Herzegovina</v>
      </c>
      <c r="F383" s="9" t="str">
        <f ca="1">+WORLDCUP!BD60</f>
        <v>Brasil</v>
      </c>
      <c r="G383" s="9" t="str">
        <f ca="1">+WORLDCUP!BD58</f>
        <v>República Checa</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Brasil</v>
      </c>
      <c r="D384" s="9" t="str">
        <f ca="1">+WORLDCUP!BD67</f>
        <v>Argelia</v>
      </c>
      <c r="E384" s="9" t="str">
        <f ca="1">+WORLDCUP!BD59</f>
        <v>Bosnia y Herzegovina</v>
      </c>
      <c r="F384" s="9" t="str">
        <f ca="1">+WORLDCUP!BD63</f>
        <v>Suecia</v>
      </c>
      <c r="G384" s="9" t="str">
        <f ca="1">+WORLDCUP!BD58</f>
        <v>República Checa</v>
      </c>
      <c r="H384" s="9" t="str">
        <f ca="1">+WORLDCUP!BD64</f>
        <v>Nueva Zelanda</v>
      </c>
      <c r="I384" s="9" t="str">
        <f ca="1">+WORLDCUP!BD69</f>
        <v>Ghana</v>
      </c>
      <c r="J384" s="9" t="str">
        <f ca="1">+WORLDCUP!BD66</f>
        <v>Noruega</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Brasil</v>
      </c>
      <c r="D385" s="9" t="str">
        <f ca="1">+WORLDCUP!BD67</f>
        <v>Argelia</v>
      </c>
      <c r="E385" s="9" t="str">
        <f ca="1">+WORLDCUP!BD59</f>
        <v>Bosnia y Herzegovina</v>
      </c>
      <c r="F385" s="9" t="str">
        <f ca="1">+WORLDCUP!BD63</f>
        <v>Suecia</v>
      </c>
      <c r="G385" s="9" t="str">
        <f ca="1">+WORLDCUP!BD58</f>
        <v>República Checa</v>
      </c>
      <c r="H385" s="9" t="str">
        <f ca="1">+WORLDCUP!BD64</f>
        <v>Nueva Zelanda</v>
      </c>
      <c r="I385" s="9" t="str">
        <f ca="1">+WORLDCUP!BD66</f>
        <v>Noruega</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Nueva Zelanda</v>
      </c>
      <c r="E386" s="9" t="str">
        <f ca="1">+WORLDCUP!BD59</f>
        <v>Bosnia y Herzegovina</v>
      </c>
      <c r="F386" s="9" t="str">
        <f ca="1">+WORLDCUP!BD60</f>
        <v>Brasil</v>
      </c>
      <c r="G386" s="9" t="str">
        <f ca="1">+WORLDCUP!BD58</f>
        <v>República Checa</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Nueva Zelanda</v>
      </c>
      <c r="E387" s="9" t="str">
        <f ca="1">+WORLDCUP!BD59</f>
        <v>Bosnia y Herzegovina</v>
      </c>
      <c r="F387" s="9" t="str">
        <f ca="1">+WORLDCUP!BD60</f>
        <v>Brasil</v>
      </c>
      <c r="G387" s="9" t="str">
        <f ca="1">+WORLDCUP!BD58</f>
        <v>República Checa</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Nueva Zelanda</v>
      </c>
      <c r="E388" s="9" t="str">
        <f ca="1">+WORLDCUP!BD59</f>
        <v>Bosnia y Herzegovina</v>
      </c>
      <c r="F388" s="9" t="str">
        <f ca="1">+WORLDCUP!BD60</f>
        <v>Brasil</v>
      </c>
      <c r="G388" s="9" t="str">
        <f ca="1">+WORLDCUP!BD58</f>
        <v>República Checa</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Nueva Zelanda</v>
      </c>
      <c r="E389" s="9" t="str">
        <f ca="1">+WORLDCUP!BD59</f>
        <v>Bosnia y Herzegovina</v>
      </c>
      <c r="F389" s="9" t="str">
        <f ca="1">+WORLDCUP!BD60</f>
        <v>Brasil</v>
      </c>
      <c r="G389" s="9" t="str">
        <f ca="1">+WORLDCUP!BD58</f>
        <v>República Checa</v>
      </c>
      <c r="H389" s="9" t="str">
        <f ca="1">+WORLDCUP!BD63</f>
        <v>Suecia</v>
      </c>
      <c r="I389" s="9" t="str">
        <f ca="1">+WORLDCUP!BD69</f>
        <v>Ghana</v>
      </c>
      <c r="J389" s="9" t="str">
        <f ca="1">+WORLDCUP!BD66</f>
        <v>Noruega</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Nueva Zelanda</v>
      </c>
      <c r="E390" s="9" t="str">
        <f ca="1">+WORLDCUP!BD59</f>
        <v>Bosnia y Herzegovina</v>
      </c>
      <c r="F390" s="9" t="str">
        <f ca="1">+WORLDCUP!BD60</f>
        <v>Brasil</v>
      </c>
      <c r="G390" s="9" t="str">
        <f ca="1">+WORLDCUP!BD58</f>
        <v>República Checa</v>
      </c>
      <c r="H390" s="9" t="str">
        <f ca="1">+WORLDCUP!BD63</f>
        <v>Suecia</v>
      </c>
      <c r="I390" s="9" t="str">
        <f ca="1">+WORLDCUP!BD66</f>
        <v>Noruega</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Nueva Zelanda</v>
      </c>
      <c r="E391" s="9" t="str">
        <f ca="1">+WORLDCUP!BD59</f>
        <v>Bosnia y Herzegovina</v>
      </c>
      <c r="F391" s="9" t="str">
        <f ca="1">+WORLDCUP!BD60</f>
        <v>Brasil</v>
      </c>
      <c r="G391" s="9" t="str">
        <f ca="1">+WORLDCUP!BD58</f>
        <v>República Checa</v>
      </c>
      <c r="H391" s="9" t="str">
        <f ca="1">+WORLDCUP!BD63</f>
        <v>Suecia</v>
      </c>
      <c r="I391" s="9" t="str">
        <f ca="1">+WORLDCUP!BD66</f>
        <v>Noruega</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Noruega</v>
      </c>
      <c r="H392" s="9" t="str">
        <f ca="1">+WORLDCUP!BD60</f>
        <v>Brasil</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Ecuador</v>
      </c>
      <c r="D393" s="9" t="str">
        <f ca="1">+WORLDCUP!BD67</f>
        <v>Argelia</v>
      </c>
      <c r="E393" s="9" t="str">
        <f ca="1">+WORLDCUP!BD59</f>
        <v>Bosnia y Herzegovina</v>
      </c>
      <c r="F393" s="9" t="str">
        <f ca="1">+WORLDCUP!BD60</f>
        <v>Brasil</v>
      </c>
      <c r="G393" s="9" t="str">
        <f ca="1">+WORLDCUP!BD58</f>
        <v>República Checa</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Ecuador</v>
      </c>
      <c r="D394" s="9" t="str">
        <f ca="1">+WORLDCUP!BD66</f>
        <v>Noruega</v>
      </c>
      <c r="E394" s="9" t="str">
        <f ca="1">+WORLDCUP!BD59</f>
        <v>Bosnia y Herzegovina</v>
      </c>
      <c r="F394" s="9" t="str">
        <f ca="1">+WORLDCUP!BD60</f>
        <v>Brasil</v>
      </c>
      <c r="G394" s="9" t="str">
        <f ca="1">+WORLDCUP!BD58</f>
        <v>República Checa</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Ecuador</v>
      </c>
      <c r="D395" s="9" t="str">
        <f ca="1">+WORLDCUP!BD67</f>
        <v>Argelia</v>
      </c>
      <c r="E395" s="9" t="str">
        <f ca="1">+WORLDCUP!BD59</f>
        <v>Bosnia y Herzegovina</v>
      </c>
      <c r="F395" s="9" t="str">
        <f ca="1">+WORLDCUP!BD60</f>
        <v>Brasil</v>
      </c>
      <c r="G395" s="9" t="str">
        <f ca="1">+WORLDCUP!BD58</f>
        <v>República Checa</v>
      </c>
      <c r="H395" s="9" t="str">
        <f ca="1">+WORLDCUP!BD65</f>
        <v>Arabia Saudita</v>
      </c>
      <c r="I395" s="9" t="str">
        <f ca="1">+WORLDCUP!BD69</f>
        <v>Ghana</v>
      </c>
      <c r="J395" s="9" t="str">
        <f ca="1">+WORLDCUP!BD66</f>
        <v>Noruega</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Ecuador</v>
      </c>
      <c r="D396" s="9" t="str">
        <f ca="1">+WORLDCUP!BD67</f>
        <v>Argelia</v>
      </c>
      <c r="E396" s="9" t="str">
        <f ca="1">+WORLDCUP!BD59</f>
        <v>Bosnia y Herzegovina</v>
      </c>
      <c r="F396" s="9" t="str">
        <f ca="1">+WORLDCUP!BD60</f>
        <v>Brasil</v>
      </c>
      <c r="G396" s="9" t="str">
        <f ca="1">+WORLDCUP!BD58</f>
        <v>República Checa</v>
      </c>
      <c r="H396" s="9" t="str">
        <f ca="1">+WORLDCUP!BD65</f>
        <v>Arabia Saudita</v>
      </c>
      <c r="I396" s="9" t="str">
        <f ca="1">+WORLDCUP!BD66</f>
        <v>Noruega</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Ecuador</v>
      </c>
      <c r="D397" s="9" t="str">
        <f ca="1">+WORLDCUP!BD67</f>
        <v>Argelia</v>
      </c>
      <c r="E397" s="9" t="str">
        <f ca="1">+WORLDCUP!BD59</f>
        <v>Bosnia y Herzegovina</v>
      </c>
      <c r="F397" s="9" t="str">
        <f ca="1">+WORLDCUP!BD60</f>
        <v>Brasil</v>
      </c>
      <c r="G397" s="9" t="str">
        <f ca="1">+WORLDCUP!BD58</f>
        <v>República Checa</v>
      </c>
      <c r="H397" s="9" t="str">
        <f ca="1">+WORLDCUP!BD64</f>
        <v>Nueva Zelanda</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Ecuador</v>
      </c>
      <c r="D398" s="9" t="str">
        <f ca="1">+WORLDCUP!BD64</f>
        <v>Nueva Zelanda</v>
      </c>
      <c r="E398" s="9" t="str">
        <f ca="1">+WORLDCUP!BD59</f>
        <v>Bosnia y Herzegovina</v>
      </c>
      <c r="F398" s="9" t="str">
        <f ca="1">+WORLDCUP!BD58</f>
        <v>República Checa</v>
      </c>
      <c r="G398" s="9" t="str">
        <f ca="1">+WORLDCUP!BD66</f>
        <v>Noruega</v>
      </c>
      <c r="H398" s="9" t="str">
        <f ca="1">+WORLDCUP!BD60</f>
        <v>Brasil</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Ecuador</v>
      </c>
      <c r="D399" s="9" t="str">
        <f ca="1">+WORLDCUP!BD67</f>
        <v>Argelia</v>
      </c>
      <c r="E399" s="9" t="str">
        <f ca="1">+WORLDCUP!BD59</f>
        <v>Bosnia y Herzegovina</v>
      </c>
      <c r="F399" s="9" t="str">
        <f ca="1">+WORLDCUP!BD60</f>
        <v>Brasil</v>
      </c>
      <c r="G399" s="9" t="str">
        <f ca="1">+WORLDCUP!BD58</f>
        <v>República Checa</v>
      </c>
      <c r="H399" s="9" t="str">
        <f ca="1">+WORLDCUP!BD64</f>
        <v>Nueva Zelanda</v>
      </c>
      <c r="I399" s="9" t="str">
        <f ca="1">+WORLDCUP!BD69</f>
        <v>Ghana</v>
      </c>
      <c r="J399" s="9" t="str">
        <f ca="1">+WORLDCUP!BD66</f>
        <v>Noruega</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1</v>
      </c>
      <c r="C400" s="9" t="str">
        <f ca="1">+WORLDCUP!BD62</f>
        <v>Ecuador</v>
      </c>
      <c r="D400" s="9" t="str">
        <f ca="1">+WORLDCUP!BD67</f>
        <v>Argelia</v>
      </c>
      <c r="E400" s="9" t="str">
        <f ca="1">+WORLDCUP!BD59</f>
        <v>Bosnia y Herzegovina</v>
      </c>
      <c r="F400" s="9" t="str">
        <f ca="1">+WORLDCUP!BD60</f>
        <v>Brasil</v>
      </c>
      <c r="G400" s="9" t="str">
        <f ca="1">+WORLDCUP!BD58</f>
        <v>República Checa</v>
      </c>
      <c r="H400" s="9" t="str">
        <f ca="1">+WORLDCUP!BD64</f>
        <v>Nueva Zelanda</v>
      </c>
      <c r="I400" s="9" t="str">
        <f ca="1">+WORLDCUP!BD66</f>
        <v>Noruega</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Ecuador</v>
      </c>
      <c r="D401" s="9" t="str">
        <f ca="1">+WORLDCUP!BD64</f>
        <v>Nueva Zelanda</v>
      </c>
      <c r="E401" s="9" t="str">
        <f ca="1">+WORLDCUP!BD59</f>
        <v>Bosnia y Herzegovina</v>
      </c>
      <c r="F401" s="9" t="str">
        <f ca="1">+WORLDCUP!BD60</f>
        <v>Brasil</v>
      </c>
      <c r="G401" s="9" t="str">
        <f ca="1">+WORLDCUP!BD58</f>
        <v>República Checa</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Brasil</v>
      </c>
      <c r="G402" s="9" t="str">
        <f ca="1">+WORLDCUP!BD58</f>
        <v>República Checa</v>
      </c>
      <c r="H402" s="9" t="str">
        <f ca="1">+WORLDCUP!BD64</f>
        <v>Nueva Zelanda</v>
      </c>
      <c r="I402" s="9" t="str">
        <f ca="1">+WORLDCUP!BD69</f>
        <v>Ghana</v>
      </c>
      <c r="J402" s="9" t="str">
        <f ca="1">+WORLDCUP!BD62</f>
        <v>Ecuador</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Brasil</v>
      </c>
      <c r="G403" s="9" t="str">
        <f ca="1">+WORLDCUP!BD58</f>
        <v>República Checa</v>
      </c>
      <c r="H403" s="9" t="str">
        <f ca="1">+WORLDCUP!BD64</f>
        <v>Nueva Zelanda</v>
      </c>
      <c r="I403" s="9" t="str">
        <f ca="1">+WORLDCUP!BD62</f>
        <v>Ecuador</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Ecuador</v>
      </c>
      <c r="D404" s="9" t="str">
        <f ca="1">+WORLDCUP!BD64</f>
        <v>Nueva Zelanda</v>
      </c>
      <c r="E404" s="9" t="str">
        <f ca="1">+WORLDCUP!BD59</f>
        <v>Bosnia y Herzegovina</v>
      </c>
      <c r="F404" s="9" t="str">
        <f ca="1">+WORLDCUP!BD60</f>
        <v>Brasil</v>
      </c>
      <c r="G404" s="9" t="str">
        <f ca="1">+WORLDCUP!BD58</f>
        <v>República Checa</v>
      </c>
      <c r="H404" s="9" t="str">
        <f ca="1">+WORLDCUP!BD65</f>
        <v>Arabia Saudita</v>
      </c>
      <c r="I404" s="9" t="str">
        <f ca="1">+WORLDCUP!BD69</f>
        <v>Ghana</v>
      </c>
      <c r="J404" s="9" t="str">
        <f ca="1">+WORLDCUP!BD66</f>
        <v>Noruega</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Ecuador</v>
      </c>
      <c r="D405" s="9" t="str">
        <f ca="1">+WORLDCUP!BD64</f>
        <v>Nueva Zelanda</v>
      </c>
      <c r="E405" s="9" t="str">
        <f ca="1">+WORLDCUP!BD59</f>
        <v>Bosnia y Herzegovina</v>
      </c>
      <c r="F405" s="9" t="str">
        <f ca="1">+WORLDCUP!BD60</f>
        <v>Brasil</v>
      </c>
      <c r="G405" s="9" t="str">
        <f ca="1">+WORLDCUP!BD58</f>
        <v>República Checa</v>
      </c>
      <c r="H405" s="9" t="str">
        <f ca="1">+WORLDCUP!BD65</f>
        <v>Arabia Saudita</v>
      </c>
      <c r="I405" s="9" t="str">
        <f ca="1">+WORLDCUP!BD66</f>
        <v>Noruega</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Brasil</v>
      </c>
      <c r="G406" s="9" t="str">
        <f ca="1">+WORLDCUP!BD58</f>
        <v>República Checa</v>
      </c>
      <c r="H406" s="9" t="str">
        <f ca="1">+WORLDCUP!BD64</f>
        <v>Nueva Zelanda</v>
      </c>
      <c r="I406" s="9" t="str">
        <f ca="1">+WORLDCUP!BD62</f>
        <v>Ecuador</v>
      </c>
      <c r="J406" s="9" t="str">
        <f ca="1">+WORLDCUP!BD66</f>
        <v>Noruega</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Ecuador</v>
      </c>
      <c r="D407" s="9" t="str">
        <f ca="1">+WORLDCUP!BD67</f>
        <v>Argelia</v>
      </c>
      <c r="E407" s="9" t="str">
        <f ca="1">+WORLDCUP!BD59</f>
        <v>Bosnia y Herzegovina</v>
      </c>
      <c r="F407" s="9" t="str">
        <f ca="1">+WORLDCUP!BD60</f>
        <v>Brasil</v>
      </c>
      <c r="G407" s="9" t="str">
        <f ca="1">+WORLDCUP!BD58</f>
        <v>República Checa</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Ecuador</v>
      </c>
      <c r="D408" s="9" t="str">
        <f ca="1">+WORLDCUP!BD66</f>
        <v>Noruega</v>
      </c>
      <c r="E408" s="9" t="str">
        <f ca="1">+WORLDCUP!BD59</f>
        <v>Bosnia y Herzegovina</v>
      </c>
      <c r="F408" s="9" t="str">
        <f ca="1">+WORLDCUP!BD60</f>
        <v>Brasil</v>
      </c>
      <c r="G408" s="9" t="str">
        <f ca="1">+WORLDCUP!BD58</f>
        <v>República Checa</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Ecuador</v>
      </c>
      <c r="D409" s="9" t="str">
        <f ca="1">+WORLDCUP!BD67</f>
        <v>Argelia</v>
      </c>
      <c r="E409" s="9" t="str">
        <f ca="1">+WORLDCUP!BD59</f>
        <v>Bosnia y Herzegovina</v>
      </c>
      <c r="F409" s="9" t="str">
        <f ca="1">+WORLDCUP!BD60</f>
        <v>Brasil</v>
      </c>
      <c r="G409" s="9" t="str">
        <f ca="1">+WORLDCUP!BD58</f>
        <v>República Checa</v>
      </c>
      <c r="H409" s="9" t="str">
        <f ca="1">+WORLDCUP!BD63</f>
        <v>Suecia</v>
      </c>
      <c r="I409" s="9" t="str">
        <f ca="1">+WORLDCUP!BD69</f>
        <v>Ghana</v>
      </c>
      <c r="J409" s="9" t="str">
        <f ca="1">+WORLDCUP!BD66</f>
        <v>Noruega</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Ecuador</v>
      </c>
      <c r="D410" s="9" t="str">
        <f ca="1">+WORLDCUP!BD67</f>
        <v>Argelia</v>
      </c>
      <c r="E410" s="9" t="str">
        <f ca="1">+WORLDCUP!BD59</f>
        <v>Bosnia y Herzegovina</v>
      </c>
      <c r="F410" s="9" t="str">
        <f ca="1">+WORLDCUP!BD60</f>
        <v>Brasil</v>
      </c>
      <c r="G410" s="9" t="str">
        <f ca="1">+WORLDCUP!BD58</f>
        <v>República Checa</v>
      </c>
      <c r="H410" s="9" t="str">
        <f ca="1">+WORLDCUP!BD63</f>
        <v>Suecia</v>
      </c>
      <c r="I410" s="9" t="str">
        <f ca="1">+WORLDCUP!BD66</f>
        <v>Noruega</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Ecuador</v>
      </c>
      <c r="E411" s="9" t="str">
        <f ca="1">+WORLDCUP!BD59</f>
        <v>Bosnia y Herzegovina</v>
      </c>
      <c r="F411" s="9" t="str">
        <f ca="1">+WORLDCUP!BD60</f>
        <v>Brasil</v>
      </c>
      <c r="G411" s="9" t="str">
        <f ca="1">+WORLDCUP!BD58</f>
        <v>República Checa</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Brasil</v>
      </c>
      <c r="G412" s="9" t="str">
        <f ca="1">+WORLDCUP!BD58</f>
        <v>República Checa</v>
      </c>
      <c r="H412" s="9" t="str">
        <f ca="1">+WORLDCUP!BD63</f>
        <v>Suecia</v>
      </c>
      <c r="I412" s="9" t="str">
        <f ca="1">+WORLDCUP!BD69</f>
        <v>Ghana</v>
      </c>
      <c r="J412" s="9" t="str">
        <f ca="1">+WORLDCUP!BD62</f>
        <v>Ecuador</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Brasil</v>
      </c>
      <c r="G413" s="9" t="str">
        <f ca="1">+WORLDCUP!BD58</f>
        <v>República Checa</v>
      </c>
      <c r="H413" s="9" t="str">
        <f ca="1">+WORLDCUP!BD63</f>
        <v>Suecia</v>
      </c>
      <c r="I413" s="9" t="str">
        <f ca="1">+WORLDCUP!BD62</f>
        <v>Ecuador</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Ecuador</v>
      </c>
      <c r="E414" s="9" t="str">
        <f ca="1">+WORLDCUP!BD59</f>
        <v>Bosnia y Herzegovina</v>
      </c>
      <c r="F414" s="9" t="str">
        <f ca="1">+WORLDCUP!BD60</f>
        <v>Brasil</v>
      </c>
      <c r="G414" s="9" t="str">
        <f ca="1">+WORLDCUP!BD58</f>
        <v>República Checa</v>
      </c>
      <c r="H414" s="9" t="str">
        <f ca="1">+WORLDCUP!BD63</f>
        <v>Suecia</v>
      </c>
      <c r="I414" s="9" t="str">
        <f ca="1">+WORLDCUP!BD69</f>
        <v>Ghana</v>
      </c>
      <c r="J414" s="9" t="str">
        <f ca="1">+WORLDCUP!BD66</f>
        <v>Noruega</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Ecuador</v>
      </c>
      <c r="E415" s="9" t="str">
        <f ca="1">+WORLDCUP!BD59</f>
        <v>Bosnia y Herzegovina</v>
      </c>
      <c r="F415" s="9" t="str">
        <f ca="1">+WORLDCUP!BD60</f>
        <v>Brasil</v>
      </c>
      <c r="G415" s="9" t="str">
        <f ca="1">+WORLDCUP!BD58</f>
        <v>República Checa</v>
      </c>
      <c r="H415" s="9" t="str">
        <f ca="1">+WORLDCUP!BD63</f>
        <v>Suecia</v>
      </c>
      <c r="I415" s="9" t="str">
        <f ca="1">+WORLDCUP!BD66</f>
        <v>Noruega</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Bosnia y Herzegovina</v>
      </c>
      <c r="F416" s="9" t="str">
        <f ca="1">+WORLDCUP!BD60</f>
        <v>Brasil</v>
      </c>
      <c r="G416" s="9" t="str">
        <f ca="1">+WORLDCUP!BD58</f>
        <v>República Checa</v>
      </c>
      <c r="H416" s="9" t="str">
        <f ca="1">+WORLDCUP!BD63</f>
        <v>Suecia</v>
      </c>
      <c r="I416" s="9" t="str">
        <f ca="1">+WORLDCUP!BD62</f>
        <v>Ecuador</v>
      </c>
      <c r="J416" s="9" t="str">
        <f ca="1">+WORLDCUP!BD66</f>
        <v>Noruega</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Ecuador</v>
      </c>
      <c r="D417" s="9" t="str">
        <f ca="1">+WORLDCUP!BD64</f>
        <v>Nueva Zelanda</v>
      </c>
      <c r="E417" s="9" t="str">
        <f ca="1">+WORLDCUP!BD59</f>
        <v>Bosnia y Herzegovina</v>
      </c>
      <c r="F417" s="9" t="str">
        <f ca="1">+WORLDCUP!BD60</f>
        <v>Brasil</v>
      </c>
      <c r="G417" s="9" t="str">
        <f ca="1">+WORLDCUP!BD58</f>
        <v>República Checa</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Ecuador</v>
      </c>
      <c r="D418" s="9" t="str">
        <f ca="1">+WORLDCUP!BD64</f>
        <v>Nueva Zelanda</v>
      </c>
      <c r="E418" s="9" t="str">
        <f ca="1">+WORLDCUP!BD59</f>
        <v>Bosnia y Herzegovina</v>
      </c>
      <c r="F418" s="9" t="str">
        <f ca="1">+WORLDCUP!BD60</f>
        <v>Brasil</v>
      </c>
      <c r="G418" s="9" t="str">
        <f ca="1">+WORLDCUP!BD58</f>
        <v>República Checa</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Ecuador</v>
      </c>
      <c r="D419" s="9" t="str">
        <f ca="1">+WORLDCUP!BD64</f>
        <v>Nueva Zelanda</v>
      </c>
      <c r="E419" s="9" t="str">
        <f ca="1">+WORLDCUP!BD59</f>
        <v>Bosnia y Herzegovina</v>
      </c>
      <c r="F419" s="9" t="str">
        <f ca="1">+WORLDCUP!BD60</f>
        <v>Brasil</v>
      </c>
      <c r="G419" s="9" t="str">
        <f ca="1">+WORLDCUP!BD58</f>
        <v>República Checa</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Ecuador</v>
      </c>
      <c r="D420" s="9" t="str">
        <f ca="1">+WORLDCUP!BD64</f>
        <v>Nueva Zelanda</v>
      </c>
      <c r="E420" s="9" t="str">
        <f ca="1">+WORLDCUP!BD59</f>
        <v>Bosnia y Herzegovina</v>
      </c>
      <c r="F420" s="9" t="str">
        <f ca="1">+WORLDCUP!BD60</f>
        <v>Brasil</v>
      </c>
      <c r="G420" s="9" t="str">
        <f ca="1">+WORLDCUP!BD58</f>
        <v>República Checa</v>
      </c>
      <c r="H420" s="9" t="str">
        <f ca="1">+WORLDCUP!BD63</f>
        <v>Suecia</v>
      </c>
      <c r="I420" s="9" t="str">
        <f ca="1">+WORLDCUP!BD69</f>
        <v>Ghana</v>
      </c>
      <c r="J420" s="9" t="str">
        <f ca="1">+WORLDCUP!BD66</f>
        <v>Noruega</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Ecuador</v>
      </c>
      <c r="D421" s="9" t="str">
        <f ca="1">+WORLDCUP!BD64</f>
        <v>Nueva Zelanda</v>
      </c>
      <c r="E421" s="9" t="str">
        <f ca="1">+WORLDCUP!BD59</f>
        <v>Bosnia y Herzegovina</v>
      </c>
      <c r="F421" s="9" t="str">
        <f ca="1">+WORLDCUP!BD60</f>
        <v>Brasil</v>
      </c>
      <c r="G421" s="9" t="str">
        <f ca="1">+WORLDCUP!BD58</f>
        <v>República Checa</v>
      </c>
      <c r="H421" s="9" t="str">
        <f ca="1">+WORLDCUP!BD63</f>
        <v>Suecia</v>
      </c>
      <c r="I421" s="9" t="str">
        <f ca="1">+WORLDCUP!BD66</f>
        <v>Noruega</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Ecuador</v>
      </c>
      <c r="D422" s="9" t="str">
        <f ca="1">+WORLDCUP!BD64</f>
        <v>Nueva Zelanda</v>
      </c>
      <c r="E422" s="9" t="str">
        <f ca="1">+WORLDCUP!BD59</f>
        <v>Bosnia y Herzegovina</v>
      </c>
      <c r="F422" s="9" t="str">
        <f ca="1">+WORLDCUP!BD60</f>
        <v>Brasil</v>
      </c>
      <c r="G422" s="9" t="str">
        <f ca="1">+WORLDCUP!BD58</f>
        <v>República Checa</v>
      </c>
      <c r="H422" s="9" t="str">
        <f ca="1">+WORLDCUP!BD63</f>
        <v>Suecia</v>
      </c>
      <c r="I422" s="9" t="str">
        <f ca="1">+WORLDCUP!BD66</f>
        <v>Noruega</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Nueva Zelanda</v>
      </c>
      <c r="E423" s="9" t="str">
        <f ca="1">+WORLDCUP!BD59</f>
        <v>Bosnia y Herzegovina</v>
      </c>
      <c r="F423" s="9" t="str">
        <f ca="1">+WORLDCUP!BD60</f>
        <v>Brasil</v>
      </c>
      <c r="G423" s="9" t="str">
        <f ca="1">+WORLDCUP!BD58</f>
        <v>República Checa</v>
      </c>
      <c r="H423" s="9" t="str">
        <f ca="1">+WORLDCUP!BD63</f>
        <v>Suecia</v>
      </c>
      <c r="I423" s="9" t="str">
        <f ca="1">+WORLDCUP!BD69</f>
        <v>Ghana</v>
      </c>
      <c r="J423" s="9" t="str">
        <f ca="1">+WORLDCUP!BD62</f>
        <v>Ecuador</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Nueva Zelanda</v>
      </c>
      <c r="E424" s="9" t="str">
        <f ca="1">+WORLDCUP!BD59</f>
        <v>Bosnia y Herzegovina</v>
      </c>
      <c r="F424" s="9" t="str">
        <f ca="1">+WORLDCUP!BD60</f>
        <v>Brasil</v>
      </c>
      <c r="G424" s="9" t="str">
        <f ca="1">+WORLDCUP!BD58</f>
        <v>República Checa</v>
      </c>
      <c r="H424" s="9" t="str">
        <f ca="1">+WORLDCUP!BD63</f>
        <v>Suecia</v>
      </c>
      <c r="I424" s="9" t="str">
        <f ca="1">+WORLDCUP!BD62</f>
        <v>Ecuador</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Nueva Zelanda</v>
      </c>
      <c r="E425" s="9" t="str">
        <f ca="1">+WORLDCUP!BD59</f>
        <v>Bosnia y Herzegovina</v>
      </c>
      <c r="F425" s="9" t="str">
        <f ca="1">+WORLDCUP!BD60</f>
        <v>Brasil</v>
      </c>
      <c r="G425" s="9" t="str">
        <f ca="1">+WORLDCUP!BD58</f>
        <v>República Checa</v>
      </c>
      <c r="H425" s="9" t="str">
        <f ca="1">+WORLDCUP!BD63</f>
        <v>Suecia</v>
      </c>
      <c r="I425" s="9" t="str">
        <f ca="1">+WORLDCUP!BD62</f>
        <v>Ecuador</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Nueva Zelanda</v>
      </c>
      <c r="E426" s="9" t="str">
        <f ca="1">+WORLDCUP!BD59</f>
        <v>Bosnia y Herzegovina</v>
      </c>
      <c r="F426" s="9" t="str">
        <f ca="1">+WORLDCUP!BD60</f>
        <v>Brasil</v>
      </c>
      <c r="G426" s="9" t="str">
        <f ca="1">+WORLDCUP!BD58</f>
        <v>República Checa</v>
      </c>
      <c r="H426" s="9" t="str">
        <f ca="1">+WORLDCUP!BD63</f>
        <v>Suecia</v>
      </c>
      <c r="I426" s="9" t="str">
        <f ca="1">+WORLDCUP!BD62</f>
        <v>Ecuador</v>
      </c>
      <c r="J426" s="9" t="str">
        <f ca="1">+WORLDCUP!BD66</f>
        <v>Noruega</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Noruega</v>
      </c>
      <c r="D427" s="9" t="str">
        <f ca="1">+WORLDCUP!BD67</f>
        <v>Argelia</v>
      </c>
      <c r="E427" s="9" t="str">
        <f ca="1">+WORLDCUP!BD59</f>
        <v>Bosnia y Herzegovina</v>
      </c>
      <c r="F427" s="9" t="str">
        <f ca="1">+WORLDCUP!BD60</f>
        <v>Brasil</v>
      </c>
      <c r="G427" s="9" t="str">
        <f ca="1">+WORLDCUP!BD58</f>
        <v>República Checa</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Brasil</v>
      </c>
      <c r="G428" s="9" t="str">
        <f ca="1">+WORLDCUP!BD58</f>
        <v>República Checa</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Noruega</v>
      </c>
      <c r="E429" s="9" t="str">
        <f ca="1">+WORLDCUP!BD59</f>
        <v>Bosnia y Herzegovina</v>
      </c>
      <c r="F429" s="9" t="str">
        <f ca="1">+WORLDCUP!BD60</f>
        <v>Brasil</v>
      </c>
      <c r="G429" s="9" t="str">
        <f ca="1">+WORLDCUP!BD58</f>
        <v>República Checa</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Brasil</v>
      </c>
      <c r="G430" s="9" t="str">
        <f ca="1">+WORLDCUP!BD58</f>
        <v>República Checa</v>
      </c>
      <c r="H430" s="9" t="str">
        <f ca="1">+WORLDCUP!BD61</f>
        <v>Paraguay</v>
      </c>
      <c r="I430" s="9" t="str">
        <f ca="1">+WORLDCUP!BD69</f>
        <v>Ghana</v>
      </c>
      <c r="J430" s="9" t="str">
        <f ca="1">+WORLDCUP!BD66</f>
        <v>Noruega</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Brasil</v>
      </c>
      <c r="G431" s="9" t="str">
        <f ca="1">+WORLDCUP!BD58</f>
        <v>República Checa</v>
      </c>
      <c r="H431" s="9" t="str">
        <f ca="1">+WORLDCUP!BD61</f>
        <v>Paraguay</v>
      </c>
      <c r="I431" s="9" t="str">
        <f ca="1">+WORLDCUP!BD66</f>
        <v>Noruega</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Brasil</v>
      </c>
      <c r="D432" s="9" t="str">
        <f ca="1">+WORLDCUP!BD67</f>
        <v>Argelia</v>
      </c>
      <c r="E432" s="9" t="str">
        <f ca="1">+WORLDCUP!BD59</f>
        <v>Bosnia y Herzegovina</v>
      </c>
      <c r="F432" s="9" t="str">
        <f ca="1">+WORLDCUP!BD61</f>
        <v>Paraguay</v>
      </c>
      <c r="G432" s="9" t="str">
        <f ca="1">+WORLDCUP!BD58</f>
        <v>República Checa</v>
      </c>
      <c r="H432" s="9" t="str">
        <f ca="1">+WORLDCUP!BD64</f>
        <v>Nueva Zelanda</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Noruega</v>
      </c>
      <c r="D433" s="9" t="str">
        <f ca="1">+WORLDCUP!BD64</f>
        <v>Nueva Zelanda</v>
      </c>
      <c r="E433" s="9" t="str">
        <f ca="1">+WORLDCUP!BD59</f>
        <v>Bosnia y Herzegovina</v>
      </c>
      <c r="F433" s="9" t="str">
        <f ca="1">+WORLDCUP!BD60</f>
        <v>Brasil</v>
      </c>
      <c r="G433" s="9" t="str">
        <f ca="1">+WORLDCUP!BD58</f>
        <v>República Checa</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Brasil</v>
      </c>
      <c r="D434" s="9" t="str">
        <f ca="1">+WORLDCUP!BD67</f>
        <v>Argelia</v>
      </c>
      <c r="E434" s="9" t="str">
        <f ca="1">+WORLDCUP!BD59</f>
        <v>Bosnia y Herzegovina</v>
      </c>
      <c r="F434" s="9" t="str">
        <f ca="1">+WORLDCUP!BD61</f>
        <v>Paraguay</v>
      </c>
      <c r="G434" s="9" t="str">
        <f ca="1">+WORLDCUP!BD58</f>
        <v>República Checa</v>
      </c>
      <c r="H434" s="9" t="str">
        <f ca="1">+WORLDCUP!BD64</f>
        <v>Nueva Zelanda</v>
      </c>
      <c r="I434" s="9" t="str">
        <f ca="1">+WORLDCUP!BD69</f>
        <v>Ghana</v>
      </c>
      <c r="J434" s="9" t="str">
        <f ca="1">+WORLDCUP!BD66</f>
        <v>Noruega</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Brasil</v>
      </c>
      <c r="D435" s="9" t="str">
        <f ca="1">+WORLDCUP!BD67</f>
        <v>Argelia</v>
      </c>
      <c r="E435" s="9" t="str">
        <f ca="1">+WORLDCUP!BD59</f>
        <v>Bosnia y Herzegovina</v>
      </c>
      <c r="F435" s="9" t="str">
        <f ca="1">+WORLDCUP!BD61</f>
        <v>Paraguay</v>
      </c>
      <c r="G435" s="9" t="str">
        <f ca="1">+WORLDCUP!BD58</f>
        <v>República Checa</v>
      </c>
      <c r="H435" s="9" t="str">
        <f ca="1">+WORLDCUP!BD64</f>
        <v>Nueva Zelanda</v>
      </c>
      <c r="I435" s="9" t="str">
        <f ca="1">+WORLDCUP!BD66</f>
        <v>Noruega</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Nueva Zelanda</v>
      </c>
      <c r="E436" s="9" t="str">
        <f ca="1">+WORLDCUP!BD59</f>
        <v>Bosnia y Herzegovina</v>
      </c>
      <c r="F436" s="9" t="str">
        <f ca="1">+WORLDCUP!BD60</f>
        <v>Brasil</v>
      </c>
      <c r="G436" s="9" t="str">
        <f ca="1">+WORLDCUP!BD58</f>
        <v>República Checa</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Nueva Zelanda</v>
      </c>
      <c r="E437" s="9" t="str">
        <f ca="1">+WORLDCUP!BD59</f>
        <v>Bosnia y Herzegovina</v>
      </c>
      <c r="F437" s="9" t="str">
        <f ca="1">+WORLDCUP!BD60</f>
        <v>Brasil</v>
      </c>
      <c r="G437" s="9" t="str">
        <f ca="1">+WORLDCUP!BD58</f>
        <v>República Checa</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Nueva Zelanda</v>
      </c>
      <c r="E438" s="9" t="str">
        <f ca="1">+WORLDCUP!BD59</f>
        <v>Bosnia y Herzegovina</v>
      </c>
      <c r="F438" s="9" t="str">
        <f ca="1">+WORLDCUP!BD60</f>
        <v>Brasil</v>
      </c>
      <c r="G438" s="9" t="str">
        <f ca="1">+WORLDCUP!BD58</f>
        <v>República Checa</v>
      </c>
      <c r="H438" s="9" t="str">
        <f ca="1">+WORLDCUP!BD61</f>
        <v>Paraguay</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Nueva Zelanda</v>
      </c>
      <c r="E439" s="9" t="str">
        <f ca="1">+WORLDCUP!BD59</f>
        <v>Bosnia y Herzegovina</v>
      </c>
      <c r="F439" s="9" t="str">
        <f ca="1">+WORLDCUP!BD60</f>
        <v>Brasil</v>
      </c>
      <c r="G439" s="9" t="str">
        <f ca="1">+WORLDCUP!BD58</f>
        <v>República Checa</v>
      </c>
      <c r="H439" s="9" t="str">
        <f ca="1">+WORLDCUP!BD61</f>
        <v>Paraguay</v>
      </c>
      <c r="I439" s="9" t="str">
        <f ca="1">+WORLDCUP!BD69</f>
        <v>Ghana</v>
      </c>
      <c r="J439" s="9" t="str">
        <f ca="1">+WORLDCUP!BD66</f>
        <v>Noruega</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Nueva Zelanda</v>
      </c>
      <c r="E440" s="9" t="str">
        <f ca="1">+WORLDCUP!BD59</f>
        <v>Bosnia y Herzegovina</v>
      </c>
      <c r="F440" s="9" t="str">
        <f ca="1">+WORLDCUP!BD60</f>
        <v>Brasil</v>
      </c>
      <c r="G440" s="9" t="str">
        <f ca="1">+WORLDCUP!BD58</f>
        <v>República Checa</v>
      </c>
      <c r="H440" s="9" t="str">
        <f ca="1">+WORLDCUP!BD61</f>
        <v>Paraguay</v>
      </c>
      <c r="I440" s="9" t="str">
        <f ca="1">+WORLDCUP!BD66</f>
        <v>Noruega</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Nueva Zelanda</v>
      </c>
      <c r="E441" s="9" t="str">
        <f ca="1">+WORLDCUP!BD59</f>
        <v>Bosnia y Herzegovina</v>
      </c>
      <c r="F441" s="9" t="str">
        <f ca="1">+WORLDCUP!BD60</f>
        <v>Brasil</v>
      </c>
      <c r="G441" s="9" t="str">
        <f ca="1">+WORLDCUP!BD58</f>
        <v>República Checa</v>
      </c>
      <c r="H441" s="9" t="str">
        <f ca="1">+WORLDCUP!BD61</f>
        <v>Paraguay</v>
      </c>
      <c r="I441" s="9" t="str">
        <f ca="1">+WORLDCUP!BD66</f>
        <v>Noruega</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Brasil</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Brasil</v>
      </c>
      <c r="D443" s="9" t="str">
        <f ca="1">+WORLDCUP!BD66</f>
        <v>Noruega</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Brasil</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Noruega</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Brasil</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Noruega</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Bosnia y Herzegovina</v>
      </c>
      <c r="F446" s="9" t="str">
        <f ca="1">+WORLDCUP!BD60</f>
        <v>Brasil</v>
      </c>
      <c r="G446" s="9" t="str">
        <f ca="1">+WORLDCUP!BD58</f>
        <v>República Checa</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Brasil</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Brasil</v>
      </c>
      <c r="G448" s="9" t="str">
        <f ca="1">+WORLDCUP!BD58</f>
        <v>República Checa</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Bosnia y Herzegovina</v>
      </c>
      <c r="F449" s="9" t="str">
        <f ca="1">+WORLDCUP!BD60</f>
        <v>Brasil</v>
      </c>
      <c r="G449" s="9" t="str">
        <f ca="1">+WORLDCUP!BD58</f>
        <v>República Checa</v>
      </c>
      <c r="H449" s="9" t="str">
        <f ca="1">+WORLDCUP!BD61</f>
        <v>Paraguay</v>
      </c>
      <c r="I449" s="9" t="str">
        <f ca="1">+WORLDCUP!BD69</f>
        <v>Ghana</v>
      </c>
      <c r="J449" s="9" t="str">
        <f ca="1">+WORLDCUP!BD66</f>
        <v>Noruega</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Bosnia y Herzegovina</v>
      </c>
      <c r="F450" s="9" t="str">
        <f ca="1">+WORLDCUP!BD60</f>
        <v>Brasil</v>
      </c>
      <c r="G450" s="9" t="str">
        <f ca="1">+WORLDCUP!BD58</f>
        <v>República Checa</v>
      </c>
      <c r="H450" s="9" t="str">
        <f ca="1">+WORLDCUP!BD61</f>
        <v>Paraguay</v>
      </c>
      <c r="I450" s="9" t="str">
        <f ca="1">+WORLDCUP!BD66</f>
        <v>Noruega</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Brasil</v>
      </c>
      <c r="G451" s="9" t="str">
        <f ca="1">+WORLDCUP!BD58</f>
        <v>República Checa</v>
      </c>
      <c r="H451" s="9" t="str">
        <f ca="1">+WORLDCUP!BD63</f>
        <v>Suecia</v>
      </c>
      <c r="I451" s="9" t="str">
        <f ca="1">+WORLDCUP!BD61</f>
        <v>Paraguay</v>
      </c>
      <c r="J451" s="9" t="str">
        <f ca="1">+WORLDCUP!BD66</f>
        <v>Noruega</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Brasil</v>
      </c>
      <c r="D452" s="9" t="str">
        <f ca="1">+WORLDCUP!BD64</f>
        <v>Nueva Zelanda</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Brasil</v>
      </c>
      <c r="D453" s="9" t="str">
        <f ca="1">+WORLDCUP!BD64</f>
        <v>Nueva Zelanda</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Brasil</v>
      </c>
      <c r="D454" s="9" t="str">
        <f ca="1">+WORLDCUP!BD64</f>
        <v>Nueva Zelanda</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Brasil</v>
      </c>
      <c r="D455" s="9" t="str">
        <f ca="1">+WORLDCUP!BD64</f>
        <v>Nueva Zelanda</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Noruega</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Brasil</v>
      </c>
      <c r="D456" s="9" t="str">
        <f ca="1">+WORLDCUP!BD64</f>
        <v>Nueva Zelanda</v>
      </c>
      <c r="E456" s="9" t="str">
        <f ca="1">+WORLDCUP!BD59</f>
        <v>Bosnia y Herzegovina</v>
      </c>
      <c r="F456" s="9" t="str">
        <f ca="1">+WORLDCUP!BD61</f>
        <v>Paraguay</v>
      </c>
      <c r="G456" s="9" t="str">
        <f ca="1">+WORLDCUP!BD58</f>
        <v>República Checa</v>
      </c>
      <c r="H456" s="9" t="str">
        <f ca="1">+WORLDCUP!BD63</f>
        <v>Suecia</v>
      </c>
      <c r="I456" s="9" t="str">
        <f ca="1">+WORLDCUP!BD66</f>
        <v>Noruega</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Brasil</v>
      </c>
      <c r="D457" s="9" t="str">
        <f ca="1">+WORLDCUP!BD64</f>
        <v>Nueva Zelanda</v>
      </c>
      <c r="E457" s="9" t="str">
        <f ca="1">+WORLDCUP!BD59</f>
        <v>Bosnia y Herzegovina</v>
      </c>
      <c r="F457" s="9" t="str">
        <f ca="1">+WORLDCUP!BD61</f>
        <v>Paraguay</v>
      </c>
      <c r="G457" s="9" t="str">
        <f ca="1">+WORLDCUP!BD58</f>
        <v>República Checa</v>
      </c>
      <c r="H457" s="9" t="str">
        <f ca="1">+WORLDCUP!BD63</f>
        <v>Suecia</v>
      </c>
      <c r="I457" s="9" t="str">
        <f ca="1">+WORLDCUP!BD66</f>
        <v>Noruega</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Brasil</v>
      </c>
      <c r="D458" s="9" t="str">
        <f ca="1">+WORLDCUP!BD64</f>
        <v>Nueva Zelanda</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Nueva Zelanda</v>
      </c>
      <c r="E459" s="9" t="str">
        <f ca="1">+WORLDCUP!BD59</f>
        <v>Bosnia y Herzegovina</v>
      </c>
      <c r="F459" s="9" t="str">
        <f ca="1">+WORLDCUP!BD60</f>
        <v>Brasil</v>
      </c>
      <c r="G459" s="9" t="str">
        <f ca="1">+WORLDCUP!BD58</f>
        <v>República Checa</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Nueva Zelanda</v>
      </c>
      <c r="E460" s="9" t="str">
        <f ca="1">+WORLDCUP!BD59</f>
        <v>Bosnia y Herzegovina</v>
      </c>
      <c r="F460" s="9" t="str">
        <f ca="1">+WORLDCUP!BD60</f>
        <v>Brasil</v>
      </c>
      <c r="G460" s="9" t="str">
        <f ca="1">+WORLDCUP!BD58</f>
        <v>República Checa</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Nueva Zelanda</v>
      </c>
      <c r="E461" s="9" t="str">
        <f ca="1">+WORLDCUP!BD59</f>
        <v>Bosnia y Herzegovina</v>
      </c>
      <c r="F461" s="9" t="str">
        <f ca="1">+WORLDCUP!BD60</f>
        <v>Brasil</v>
      </c>
      <c r="G461" s="9" t="str">
        <f ca="1">+WORLDCUP!BD58</f>
        <v>República Checa</v>
      </c>
      <c r="H461" s="9" t="str">
        <f ca="1">+WORLDCUP!BD63</f>
        <v>Suecia</v>
      </c>
      <c r="I461" s="9" t="str">
        <f ca="1">+WORLDCUP!BD61</f>
        <v>Paraguay</v>
      </c>
      <c r="J461" s="9" t="str">
        <f ca="1">+WORLDCUP!BD66</f>
        <v>Noruega</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Ecuador</v>
      </c>
      <c r="D462" s="9" t="str">
        <f ca="1">+WORLDCUP!BD67</f>
        <v>Argelia</v>
      </c>
      <c r="E462" s="9" t="str">
        <f ca="1">+WORLDCUP!BD59</f>
        <v>Bosnia y Herzegovina</v>
      </c>
      <c r="F462" s="9" t="str">
        <f ca="1">+WORLDCUP!BD60</f>
        <v>Brasil</v>
      </c>
      <c r="G462" s="9" t="str">
        <f ca="1">+WORLDCUP!BD58</f>
        <v>República Checa</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Ecuador</v>
      </c>
      <c r="D463" s="9" t="str">
        <f ca="1">+WORLDCUP!BD66</f>
        <v>Noruega</v>
      </c>
      <c r="E463" s="9" t="str">
        <f ca="1">+WORLDCUP!BD59</f>
        <v>Bosnia y Herzegovina</v>
      </c>
      <c r="F463" s="9" t="str">
        <f ca="1">+WORLDCUP!BD60</f>
        <v>Brasil</v>
      </c>
      <c r="G463" s="9" t="str">
        <f ca="1">+WORLDCUP!BD58</f>
        <v>República Checa</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Ecuador</v>
      </c>
      <c r="D464" s="9" t="str">
        <f ca="1">+WORLDCUP!BD67</f>
        <v>Argelia</v>
      </c>
      <c r="E464" s="9" t="str">
        <f ca="1">+WORLDCUP!BD59</f>
        <v>Bosnia y Herzegovina</v>
      </c>
      <c r="F464" s="9" t="str">
        <f ca="1">+WORLDCUP!BD60</f>
        <v>Brasil</v>
      </c>
      <c r="G464" s="9" t="str">
        <f ca="1">+WORLDCUP!BD58</f>
        <v>República Checa</v>
      </c>
      <c r="H464" s="9" t="str">
        <f ca="1">+WORLDCUP!BD61</f>
        <v>Paraguay</v>
      </c>
      <c r="I464" s="9" t="str">
        <f ca="1">+WORLDCUP!BD69</f>
        <v>Ghana</v>
      </c>
      <c r="J464" s="9" t="str">
        <f ca="1">+WORLDCUP!BD66</f>
        <v>Noruega</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Ecuador</v>
      </c>
      <c r="D465" s="9" t="str">
        <f ca="1">+WORLDCUP!BD67</f>
        <v>Argelia</v>
      </c>
      <c r="E465" s="9" t="str">
        <f ca="1">+WORLDCUP!BD59</f>
        <v>Bosnia y Herzegovina</v>
      </c>
      <c r="F465" s="9" t="str">
        <f ca="1">+WORLDCUP!BD60</f>
        <v>Brasil</v>
      </c>
      <c r="G465" s="9" t="str">
        <f ca="1">+WORLDCUP!BD58</f>
        <v>República Checa</v>
      </c>
      <c r="H465" s="9" t="str">
        <f ca="1">+WORLDCUP!BD61</f>
        <v>Paraguay</v>
      </c>
      <c r="I465" s="9" t="str">
        <f ca="1">+WORLDCUP!BD66</f>
        <v>Noruega</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Ecuador</v>
      </c>
      <c r="E466" s="9" t="str">
        <f ca="1">+WORLDCUP!BD59</f>
        <v>Bosnia y Herzegovina</v>
      </c>
      <c r="F466" s="9" t="str">
        <f ca="1">+WORLDCUP!BD60</f>
        <v>Brasil</v>
      </c>
      <c r="G466" s="9" t="str">
        <f ca="1">+WORLDCUP!BD58</f>
        <v>República Checa</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Brasil</v>
      </c>
      <c r="G467" s="9" t="str">
        <f ca="1">+WORLDCUP!BD58</f>
        <v>República Checa</v>
      </c>
      <c r="H467" s="9" t="str">
        <f ca="1">+WORLDCUP!BD61</f>
        <v>Paraguay</v>
      </c>
      <c r="I467" s="9" t="str">
        <f ca="1">+WORLDCUP!BD69</f>
        <v>Ghana</v>
      </c>
      <c r="J467" s="9" t="str">
        <f ca="1">+WORLDCUP!BD62</f>
        <v>Ecuador</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Brasil</v>
      </c>
      <c r="G468" s="9" t="str">
        <f ca="1">+WORLDCUP!BD58</f>
        <v>República Checa</v>
      </c>
      <c r="H468" s="9" t="str">
        <f ca="1">+WORLDCUP!BD61</f>
        <v>Paraguay</v>
      </c>
      <c r="I468" s="9" t="str">
        <f ca="1">+WORLDCUP!BD62</f>
        <v>Ecuador</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Ecuador</v>
      </c>
      <c r="E469" s="9" t="str">
        <f ca="1">+WORLDCUP!BD59</f>
        <v>Bosnia y Herzegovina</v>
      </c>
      <c r="F469" s="9" t="str">
        <f ca="1">+WORLDCUP!BD60</f>
        <v>Brasil</v>
      </c>
      <c r="G469" s="9" t="str">
        <f ca="1">+WORLDCUP!BD58</f>
        <v>República Checa</v>
      </c>
      <c r="H469" s="9" t="str">
        <f ca="1">+WORLDCUP!BD61</f>
        <v>Paraguay</v>
      </c>
      <c r="I469" s="9" t="str">
        <f ca="1">+WORLDCUP!BD69</f>
        <v>Ghana</v>
      </c>
      <c r="J469" s="9" t="str">
        <f ca="1">+WORLDCUP!BD66</f>
        <v>Noruega</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Ecuador</v>
      </c>
      <c r="E470" s="9" t="str">
        <f ca="1">+WORLDCUP!BD59</f>
        <v>Bosnia y Herzegovina</v>
      </c>
      <c r="F470" s="9" t="str">
        <f ca="1">+WORLDCUP!BD60</f>
        <v>Brasil</v>
      </c>
      <c r="G470" s="9" t="str">
        <f ca="1">+WORLDCUP!BD58</f>
        <v>República Checa</v>
      </c>
      <c r="H470" s="9" t="str">
        <f ca="1">+WORLDCUP!BD61</f>
        <v>Paraguay</v>
      </c>
      <c r="I470" s="9" t="str">
        <f ca="1">+WORLDCUP!BD66</f>
        <v>Noruega</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Brasil</v>
      </c>
      <c r="G471" s="9" t="str">
        <f ca="1">+WORLDCUP!BD58</f>
        <v>República Checa</v>
      </c>
      <c r="H471" s="9" t="str">
        <f ca="1">+WORLDCUP!BD61</f>
        <v>Paraguay</v>
      </c>
      <c r="I471" s="9" t="str">
        <f ca="1">+WORLDCUP!BD62</f>
        <v>Ecuador</v>
      </c>
      <c r="J471" s="9" t="str">
        <f ca="1">+WORLDCUP!BD66</f>
        <v>Noruega</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Ecuador</v>
      </c>
      <c r="D472" s="9" t="str">
        <f ca="1">+WORLDCUP!BD64</f>
        <v>Nueva Zelanda</v>
      </c>
      <c r="E472" s="9" t="str">
        <f ca="1">+WORLDCUP!BD59</f>
        <v>Bosnia y Herzegovina</v>
      </c>
      <c r="F472" s="9" t="str">
        <f ca="1">+WORLDCUP!BD60</f>
        <v>Brasil</v>
      </c>
      <c r="G472" s="9" t="str">
        <f ca="1">+WORLDCUP!BD58</f>
        <v>República Checa</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Ecuador</v>
      </c>
      <c r="D473" s="9" t="str">
        <f ca="1">+WORLDCUP!BD64</f>
        <v>Nueva Zelanda</v>
      </c>
      <c r="E473" s="9" t="str">
        <f ca="1">+WORLDCUP!BD59</f>
        <v>Bosnia y Herzegovina</v>
      </c>
      <c r="F473" s="9" t="str">
        <f ca="1">+WORLDCUP!BD60</f>
        <v>Brasil</v>
      </c>
      <c r="G473" s="9" t="str">
        <f ca="1">+WORLDCUP!BD58</f>
        <v>República Checa</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Ecuador</v>
      </c>
      <c r="D474" s="9" t="str">
        <f ca="1">+WORLDCUP!BD64</f>
        <v>Nueva Zelanda</v>
      </c>
      <c r="E474" s="9" t="str">
        <f ca="1">+WORLDCUP!BD59</f>
        <v>Bosnia y Herzegovina</v>
      </c>
      <c r="F474" s="9" t="str">
        <f ca="1">+WORLDCUP!BD60</f>
        <v>Brasil</v>
      </c>
      <c r="G474" s="9" t="str">
        <f ca="1">+WORLDCUP!BD58</f>
        <v>República Checa</v>
      </c>
      <c r="H474" s="9" t="str">
        <f ca="1">+WORLDCUP!BD61</f>
        <v>Paraguay</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Ecuador</v>
      </c>
      <c r="D475" s="9" t="str">
        <f ca="1">+WORLDCUP!BD64</f>
        <v>Nueva Zelanda</v>
      </c>
      <c r="E475" s="9" t="str">
        <f ca="1">+WORLDCUP!BD59</f>
        <v>Bosnia y Herzegovina</v>
      </c>
      <c r="F475" s="9" t="str">
        <f ca="1">+WORLDCUP!BD60</f>
        <v>Brasil</v>
      </c>
      <c r="G475" s="9" t="str">
        <f ca="1">+WORLDCUP!BD58</f>
        <v>República Checa</v>
      </c>
      <c r="H475" s="9" t="str">
        <f ca="1">+WORLDCUP!BD61</f>
        <v>Paraguay</v>
      </c>
      <c r="I475" s="9" t="str">
        <f ca="1">+WORLDCUP!BD69</f>
        <v>Ghana</v>
      </c>
      <c r="J475" s="9" t="str">
        <f ca="1">+WORLDCUP!BD66</f>
        <v>Noruega</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Ecuador</v>
      </c>
      <c r="D476" s="9" t="str">
        <f ca="1">+WORLDCUP!BD64</f>
        <v>Nueva Zelanda</v>
      </c>
      <c r="E476" s="9" t="str">
        <f ca="1">+WORLDCUP!BD59</f>
        <v>Bosnia y Herzegovina</v>
      </c>
      <c r="F476" s="9" t="str">
        <f ca="1">+WORLDCUP!BD60</f>
        <v>Brasil</v>
      </c>
      <c r="G476" s="9" t="str">
        <f ca="1">+WORLDCUP!BD58</f>
        <v>República Checa</v>
      </c>
      <c r="H476" s="9" t="str">
        <f ca="1">+WORLDCUP!BD61</f>
        <v>Paraguay</v>
      </c>
      <c r="I476" s="9" t="str">
        <f ca="1">+WORLDCUP!BD66</f>
        <v>Noruega</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Ecuador</v>
      </c>
      <c r="D477" s="9" t="str">
        <f ca="1">+WORLDCUP!BD64</f>
        <v>Nueva Zelanda</v>
      </c>
      <c r="E477" s="9" t="str">
        <f ca="1">+WORLDCUP!BD59</f>
        <v>Bosnia y Herzegovina</v>
      </c>
      <c r="F477" s="9" t="str">
        <f ca="1">+WORLDCUP!BD60</f>
        <v>Brasil</v>
      </c>
      <c r="G477" s="9" t="str">
        <f ca="1">+WORLDCUP!BD58</f>
        <v>República Checa</v>
      </c>
      <c r="H477" s="9" t="str">
        <f ca="1">+WORLDCUP!BD61</f>
        <v>Paraguay</v>
      </c>
      <c r="I477" s="9" t="str">
        <f ca="1">+WORLDCUP!BD66</f>
        <v>Noruega</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Nueva Zelanda</v>
      </c>
      <c r="E478" s="9" t="str">
        <f ca="1">+WORLDCUP!BD59</f>
        <v>Bosnia y Herzegovina</v>
      </c>
      <c r="F478" s="9" t="str">
        <f ca="1">+WORLDCUP!BD60</f>
        <v>Brasil</v>
      </c>
      <c r="G478" s="9" t="str">
        <f ca="1">+WORLDCUP!BD58</f>
        <v>República Checa</v>
      </c>
      <c r="H478" s="9" t="str">
        <f ca="1">+WORLDCUP!BD61</f>
        <v>Paraguay</v>
      </c>
      <c r="I478" s="9" t="str">
        <f ca="1">+WORLDCUP!BD69</f>
        <v>Ghana</v>
      </c>
      <c r="J478" s="9" t="str">
        <f ca="1">+WORLDCUP!BD62</f>
        <v>Ecuador</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Nueva Zelanda</v>
      </c>
      <c r="E479" s="9" t="str">
        <f ca="1">+WORLDCUP!BD59</f>
        <v>Bosnia y Herzegovina</v>
      </c>
      <c r="F479" s="9" t="str">
        <f ca="1">+WORLDCUP!BD60</f>
        <v>Brasil</v>
      </c>
      <c r="G479" s="9" t="str">
        <f ca="1">+WORLDCUP!BD58</f>
        <v>República Checa</v>
      </c>
      <c r="H479" s="9" t="str">
        <f ca="1">+WORLDCUP!BD61</f>
        <v>Paraguay</v>
      </c>
      <c r="I479" s="9" t="str">
        <f ca="1">+WORLDCUP!BD62</f>
        <v>Ecuador</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Nueva Zelanda</v>
      </c>
      <c r="E480" s="9" t="str">
        <f ca="1">+WORLDCUP!BD59</f>
        <v>Bosnia y Herzegovina</v>
      </c>
      <c r="F480" s="9" t="str">
        <f ca="1">+WORLDCUP!BD60</f>
        <v>Brasil</v>
      </c>
      <c r="G480" s="9" t="str">
        <f ca="1">+WORLDCUP!BD58</f>
        <v>República Checa</v>
      </c>
      <c r="H480" s="9" t="str">
        <f ca="1">+WORLDCUP!BD61</f>
        <v>Paraguay</v>
      </c>
      <c r="I480" s="9" t="str">
        <f ca="1">+WORLDCUP!BD62</f>
        <v>Ecuador</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Nueva Zelanda</v>
      </c>
      <c r="E481" s="9" t="str">
        <f ca="1">+WORLDCUP!BD59</f>
        <v>Bosnia y Herzegovina</v>
      </c>
      <c r="F481" s="9" t="str">
        <f ca="1">+WORLDCUP!BD60</f>
        <v>Brasil</v>
      </c>
      <c r="G481" s="9" t="str">
        <f ca="1">+WORLDCUP!BD58</f>
        <v>República Checa</v>
      </c>
      <c r="H481" s="9" t="str">
        <f ca="1">+WORLDCUP!BD61</f>
        <v>Paraguay</v>
      </c>
      <c r="I481" s="9" t="str">
        <f ca="1">+WORLDCUP!BD62</f>
        <v>Ecuador</v>
      </c>
      <c r="J481" s="9" t="str">
        <f ca="1">+WORLDCUP!BD66</f>
        <v>Noruega</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Brasil</v>
      </c>
      <c r="D482" s="9" t="str">
        <f ca="1">+WORLDCUP!BD62</f>
        <v>Ecuador</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Brasil</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Brasil</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Brasil</v>
      </c>
      <c r="D485" s="9" t="str">
        <f ca="1">+WORLDCUP!BD62</f>
        <v>Ecuador</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Brasil</v>
      </c>
      <c r="D486" s="9" t="str">
        <f ca="1">+WORLDCUP!BD62</f>
        <v>Ecuador</v>
      </c>
      <c r="E486" s="9" t="str">
        <f ca="1">+WORLDCUP!BD59</f>
        <v>Bosnia y Herzegovina</v>
      </c>
      <c r="F486" s="9" t="str">
        <f ca="1">+WORLDCUP!BD61</f>
        <v>Paraguay</v>
      </c>
      <c r="G486" s="9" t="str">
        <f ca="1">+WORLDCUP!BD58</f>
        <v>República Checa</v>
      </c>
      <c r="H486" s="9" t="str">
        <f ca="1">+WORLDCUP!BD63</f>
        <v>Suecia</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Brasil</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Ecuador</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Brasil</v>
      </c>
      <c r="G488" s="9" t="str">
        <f ca="1">+WORLDCUP!BD58</f>
        <v>República Checa</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Bosnia y Herzegovina</v>
      </c>
      <c r="F489" s="9" t="str">
        <f ca="1">+WORLDCUP!BD60</f>
        <v>Brasil</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Brasil</v>
      </c>
      <c r="G490" s="9" t="str">
        <f ca="1">+WORLDCUP!BD58</f>
        <v>República Checa</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Bosnia y Herzegovina</v>
      </c>
      <c r="F491" s="9" t="str">
        <f ca="1">+WORLDCUP!BD60</f>
        <v>Brasil</v>
      </c>
      <c r="G491" s="9" t="str">
        <f ca="1">+WORLDCUP!BD58</f>
        <v>República Checa</v>
      </c>
      <c r="H491" s="9" t="str">
        <f ca="1">+WORLDCUP!BD63</f>
        <v>Suecia</v>
      </c>
      <c r="I491" s="9" t="str">
        <f ca="1">+WORLDCUP!BD61</f>
        <v>Paraguay</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Brasil</v>
      </c>
      <c r="D492" s="9" t="str">
        <f ca="1">+WORLDCUP!BD64</f>
        <v>Nueva Zelanda</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Brasil</v>
      </c>
      <c r="D493" s="9" t="str">
        <f ca="1">+WORLDCUP!BD64</f>
        <v>Nueva Zelanda</v>
      </c>
      <c r="E493" s="9" t="str">
        <f ca="1">+WORLDCUP!BD59</f>
        <v>Bosnia y Herzegovina</v>
      </c>
      <c r="F493" s="9" t="str">
        <f ca="1">+WORLDCUP!BD61</f>
        <v>Paraguay</v>
      </c>
      <c r="G493" s="9" t="str">
        <f ca="1">+WORLDCUP!BD58</f>
        <v>República Checa</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Brasil</v>
      </c>
      <c r="D494" s="9" t="str">
        <f ca="1">+WORLDCUP!BD64</f>
        <v>Nueva Zelanda</v>
      </c>
      <c r="E494" s="9" t="str">
        <f ca="1">+WORLDCUP!BD59</f>
        <v>Bosnia y Herzegovina</v>
      </c>
      <c r="F494" s="9" t="str">
        <f ca="1">+WORLDCUP!BD61</f>
        <v>Paraguay</v>
      </c>
      <c r="G494" s="9" t="str">
        <f ca="1">+WORLDCUP!BD58</f>
        <v>República Checa</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Brasil</v>
      </c>
      <c r="D495" s="9" t="str">
        <f ca="1">+WORLDCUP!BD64</f>
        <v>Nueva Zelanda</v>
      </c>
      <c r="E495" s="9" t="str">
        <f ca="1">+WORLDCUP!BD59</f>
        <v>Bosnia y Herzegovina</v>
      </c>
      <c r="F495" s="9" t="str">
        <f ca="1">+WORLDCUP!BD61</f>
        <v>Paraguay</v>
      </c>
      <c r="G495" s="9" t="str">
        <f ca="1">+WORLDCUP!BD58</f>
        <v>República Checa</v>
      </c>
      <c r="H495" s="9" t="str">
        <f ca="1">+WORLDCUP!BD63</f>
        <v>Suecia</v>
      </c>
      <c r="I495" s="9" t="str">
        <f ca="1">+WORLDCUP!BD62</f>
        <v>Ecuador</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Bosnia y Herzegovina</v>
      </c>
      <c r="F496" s="9" t="str">
        <f ca="1">+WORLDCUP!BD60</f>
        <v>Brasil</v>
      </c>
      <c r="G496" s="9" t="str">
        <f ca="1">+WORLDCUP!BD58</f>
        <v>República Checa</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383" t="s">
        <v>733</v>
      </c>
      <c r="B497" s="383"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08984375" style="5" customWidth="1"/>
    <col min="13" max="13" width="10.81640625" style="5"/>
    <col min="14" max="17" width="15.81640625" style="5" customWidth="1"/>
    <col min="18" max="18" width="22.81640625" style="5" customWidth="1"/>
    <col min="20" max="20" width="10.81640625" style="16"/>
    <col min="21" max="22" width="10.81640625" style="556"/>
    <col min="23" max="24" width="10.81640625" style="556" hidden="1" customWidth="1"/>
    <col min="25" max="25" width="10.81640625" style="556"/>
    <col min="26" max="28" width="10.81640625" style="381"/>
    <col min="29" max="149" width="10.81640625" style="5"/>
    <col min="150" max="158" width="10.81640625" style="381"/>
    <col min="159" max="16384" width="10.81640625" style="5"/>
  </cols>
  <sheetData>
    <row r="1" spans="1:18">
      <c r="A1" s="209"/>
      <c r="B1" s="209"/>
      <c r="C1" s="209"/>
      <c r="D1" s="209"/>
      <c r="E1" s="211"/>
      <c r="F1" s="211"/>
      <c r="G1" s="211"/>
      <c r="H1" s="211"/>
      <c r="I1" s="211"/>
      <c r="J1" s="211"/>
      <c r="K1" s="210"/>
      <c r="L1" s="210"/>
      <c r="M1" s="210"/>
      <c r="N1" s="210"/>
      <c r="O1" s="210"/>
      <c r="P1" s="210"/>
      <c r="Q1" s="210"/>
    </row>
    <row r="2" spans="1:18">
      <c r="A2" s="209"/>
      <c r="B2" s="248" t="str">
        <f>Idiomas!D82</f>
        <v>Limitación de responsabilidad:</v>
      </c>
      <c r="C2" s="212"/>
      <c r="D2" s="212"/>
      <c r="E2" s="213"/>
      <c r="F2" s="213"/>
      <c r="G2" s="213"/>
      <c r="H2" s="213"/>
      <c r="I2" s="213"/>
      <c r="J2" s="213"/>
      <c r="K2" s="210"/>
      <c r="L2" s="248" t="s">
        <v>188</v>
      </c>
      <c r="M2" s="210"/>
      <c r="N2" s="210"/>
      <c r="O2" s="210"/>
      <c r="P2" s="210"/>
      <c r="Q2" s="210"/>
    </row>
    <row r="3" spans="1:18">
      <c r="A3" s="209"/>
      <c r="B3" s="687"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8"/>
      <c r="D3" s="688"/>
      <c r="E3" s="688"/>
      <c r="F3" s="688"/>
      <c r="G3" s="688"/>
      <c r="H3" s="688"/>
      <c r="I3" s="688"/>
      <c r="J3" s="689"/>
      <c r="K3" s="210"/>
      <c r="L3" s="319"/>
      <c r="M3" s="320"/>
      <c r="N3" s="320"/>
      <c r="O3" s="320"/>
      <c r="P3" s="320"/>
      <c r="Q3" s="320"/>
      <c r="R3" s="321"/>
    </row>
    <row r="4" spans="1:18">
      <c r="A4" s="209"/>
      <c r="B4" s="690"/>
      <c r="C4" s="691"/>
      <c r="D4" s="691"/>
      <c r="E4" s="691"/>
      <c r="F4" s="691"/>
      <c r="G4" s="691"/>
      <c r="H4" s="691"/>
      <c r="I4" s="691"/>
      <c r="J4" s="692"/>
      <c r="K4" s="210"/>
      <c r="L4" s="318" t="str">
        <f>+Idiomas!D84</f>
        <v>· Selecciona el idioma y la zona horaria</v>
      </c>
      <c r="M4" s="221"/>
      <c r="N4" s="221"/>
      <c r="O4" s="221"/>
      <c r="P4" s="221"/>
      <c r="Q4" s="221"/>
      <c r="R4" s="322"/>
    </row>
    <row r="5" spans="1:18">
      <c r="A5" s="209"/>
      <c r="B5" s="690"/>
      <c r="C5" s="691"/>
      <c r="D5" s="691"/>
      <c r="E5" s="691"/>
      <c r="F5" s="691"/>
      <c r="G5" s="691"/>
      <c r="H5" s="691"/>
      <c r="I5" s="691"/>
      <c r="J5" s="692"/>
      <c r="K5" s="210"/>
      <c r="L5" s="318" t="str">
        <f>+Idiomas!D85</f>
        <v>· Si vas a participar en una porra escribe tu nombre</v>
      </c>
      <c r="M5" s="221"/>
      <c r="N5" s="221"/>
      <c r="O5" s="221"/>
      <c r="P5" s="221"/>
      <c r="Q5" s="221"/>
      <c r="R5" s="322"/>
    </row>
    <row r="6" spans="1:18">
      <c r="A6" s="209"/>
      <c r="B6" s="690"/>
      <c r="C6" s="691"/>
      <c r="D6" s="691"/>
      <c r="E6" s="691"/>
      <c r="F6" s="691"/>
      <c r="G6" s="691"/>
      <c r="H6" s="691"/>
      <c r="I6" s="691"/>
      <c r="J6" s="692"/>
      <c r="K6" s="210"/>
      <c r="L6" s="318" t="str">
        <f>+Idiomas!D86</f>
        <v>· Si vas a organizar una porra, puedes descargar el archivo excel de administración desde aquí</v>
      </c>
      <c r="M6" s="221"/>
      <c r="N6" s="221"/>
      <c r="O6" s="221"/>
      <c r="P6" s="221"/>
      <c r="Q6" s="221"/>
      <c r="R6" s="322"/>
    </row>
    <row r="7" spans="1:18">
      <c r="A7" s="209"/>
      <c r="B7" s="690"/>
      <c r="C7" s="691"/>
      <c r="D7" s="691"/>
      <c r="E7" s="691"/>
      <c r="F7" s="691"/>
      <c r="G7" s="691"/>
      <c r="H7" s="691"/>
      <c r="I7" s="691"/>
      <c r="J7" s="692"/>
      <c r="K7" s="210"/>
      <c r="L7" s="323"/>
      <c r="M7" s="324"/>
      <c r="N7" s="324"/>
      <c r="O7" s="324"/>
      <c r="P7" s="324"/>
      <c r="Q7" s="324"/>
      <c r="R7" s="325"/>
    </row>
    <row r="8" spans="1:18">
      <c r="A8" s="209"/>
      <c r="B8" s="690"/>
      <c r="C8" s="691"/>
      <c r="D8" s="691"/>
      <c r="E8" s="691"/>
      <c r="F8" s="691"/>
      <c r="G8" s="691"/>
      <c r="H8" s="691"/>
      <c r="I8" s="691"/>
      <c r="J8" s="692"/>
      <c r="K8" s="210"/>
      <c r="L8"/>
      <c r="M8"/>
      <c r="N8"/>
      <c r="O8"/>
      <c r="P8"/>
      <c r="Q8"/>
      <c r="R8"/>
    </row>
    <row r="9" spans="1:18">
      <c r="A9" s="209"/>
      <c r="B9" s="690"/>
      <c r="C9" s="691"/>
      <c r="D9" s="691"/>
      <c r="E9" s="691"/>
      <c r="F9" s="691"/>
      <c r="G9" s="691"/>
      <c r="H9" s="691"/>
      <c r="I9" s="691"/>
      <c r="J9" s="692"/>
      <c r="K9" s="210"/>
      <c r="L9" s="248" t="s">
        <v>490</v>
      </c>
      <c r="M9"/>
      <c r="N9"/>
      <c r="O9"/>
      <c r="P9"/>
      <c r="Q9"/>
      <c r="R9"/>
    </row>
    <row r="10" spans="1:18">
      <c r="A10" s="209"/>
      <c r="B10" s="690"/>
      <c r="C10" s="691"/>
      <c r="D10" s="691"/>
      <c r="E10" s="691"/>
      <c r="F10" s="691"/>
      <c r="G10" s="691"/>
      <c r="H10" s="691"/>
      <c r="I10" s="691"/>
      <c r="J10" s="692"/>
      <c r="K10" s="210"/>
      <c r="L10" s="319"/>
      <c r="M10" s="320"/>
      <c r="N10" s="320"/>
      <c r="O10" s="320"/>
      <c r="P10" s="320"/>
      <c r="Q10" s="320"/>
      <c r="R10" s="321"/>
    </row>
    <row r="11" spans="1:18">
      <c r="A11" s="209"/>
      <c r="B11" s="690"/>
      <c r="C11" s="691"/>
      <c r="D11" s="691"/>
      <c r="E11" s="691"/>
      <c r="F11" s="691"/>
      <c r="G11" s="691"/>
      <c r="H11" s="691"/>
      <c r="I11" s="691"/>
      <c r="J11" s="692"/>
      <c r="K11" s="210"/>
      <c r="L11" s="318" t="str">
        <f>+Idiomas!D87</f>
        <v>· Rellena los cuadros grises con los resultados de la fase de grupos para cada grupo</v>
      </c>
      <c r="M11" s="221"/>
      <c r="N11" s="221"/>
      <c r="O11" s="221"/>
      <c r="P11" s="221"/>
      <c r="Q11" s="221"/>
      <c r="R11" s="322"/>
    </row>
    <row r="12" spans="1:18">
      <c r="A12" s="209"/>
      <c r="B12" s="693"/>
      <c r="C12" s="694"/>
      <c r="D12" s="694"/>
      <c r="E12" s="694"/>
      <c r="F12" s="694"/>
      <c r="G12" s="694"/>
      <c r="H12" s="694"/>
      <c r="I12" s="694"/>
      <c r="J12" s="695"/>
      <c r="K12" s="210"/>
      <c r="L12" s="318" t="str">
        <f>+Idiomas!D88</f>
        <v>· En caso de empate en la posición de un grupo o en los mejores terceros, puedes seleccionar el orden de los empatados</v>
      </c>
      <c r="M12" s="221"/>
      <c r="N12" s="221"/>
      <c r="O12" s="221"/>
      <c r="P12" s="221"/>
      <c r="Q12" s="221"/>
      <c r="R12" s="322"/>
    </row>
    <row r="13" spans="1:18">
      <c r="A13" s="209"/>
      <c r="B13" s="214"/>
      <c r="C13" s="214"/>
      <c r="D13" s="214"/>
      <c r="E13" s="214"/>
      <c r="F13" s="214"/>
      <c r="G13" s="214"/>
      <c r="H13" s="214"/>
      <c r="I13" s="214"/>
      <c r="J13" s="214"/>
      <c r="K13" s="210"/>
      <c r="L13" s="318" t="str">
        <f>+Idiomas!D89</f>
        <v>· Las eliminatorias se establecen de forma automática</v>
      </c>
      <c r="M13" s="221"/>
      <c r="N13" s="221"/>
      <c r="O13" s="221"/>
      <c r="P13" s="221"/>
      <c r="Q13" s="221"/>
      <c r="R13" s="322"/>
    </row>
    <row r="14" spans="1:18">
      <c r="A14" s="209"/>
      <c r="B14" s="217"/>
      <c r="C14" s="218"/>
      <c r="D14" s="218"/>
      <c r="E14" s="218"/>
      <c r="F14" s="218"/>
      <c r="G14" s="218"/>
      <c r="H14" s="218"/>
      <c r="I14" s="218"/>
      <c r="J14" s="219"/>
      <c r="K14" s="210"/>
      <c r="L14" s="318" t="str">
        <f>+Idiomas!D90</f>
        <v>· Rellena los resultados de las fases eliminatorias. En caso de empate, se abren dos celdas a los lados para poner el resultado de los penaltis</v>
      </c>
      <c r="M14" s="221"/>
      <c r="N14" s="221"/>
      <c r="O14" s="221"/>
      <c r="P14" s="221"/>
      <c r="Q14" s="221"/>
      <c r="R14" s="322"/>
    </row>
    <row r="15" spans="1:18">
      <c r="A15" s="209"/>
      <c r="B15" s="249" t="str">
        <f>Idiomas!D80</f>
        <v>Autor:</v>
      </c>
      <c r="C15" s="220" t="s">
        <v>27</v>
      </c>
      <c r="D15" s="220"/>
      <c r="E15" s="220" t="s">
        <v>1326</v>
      </c>
      <c r="F15" s="221"/>
      <c r="G15" s="220" t="s">
        <v>1327</v>
      </c>
      <c r="H15" s="221"/>
      <c r="I15" s="222"/>
      <c r="J15" s="223"/>
      <c r="K15" s="210"/>
      <c r="L15" s="318" t="str">
        <f>+Idiomas!D91</f>
        <v>· Si vas a participar en una porra, rellenar los mejores jugadores y los máximos goleadores</v>
      </c>
      <c r="M15" s="221"/>
      <c r="N15" s="221"/>
      <c r="O15" s="221"/>
      <c r="P15" s="221"/>
      <c r="Q15" s="221"/>
      <c r="R15" s="322"/>
    </row>
    <row r="16" spans="1:18">
      <c r="A16" s="209"/>
      <c r="B16" s="250" t="str">
        <f>Idiomas!D81</f>
        <v>Útima versión</v>
      </c>
      <c r="C16" s="224">
        <v>46113</v>
      </c>
      <c r="D16" s="224"/>
      <c r="E16" s="225"/>
      <c r="F16" s="225"/>
      <c r="G16" s="225"/>
      <c r="H16" s="225"/>
      <c r="I16" s="226"/>
      <c r="J16" s="227"/>
      <c r="K16" s="210"/>
      <c r="L16" s="323"/>
      <c r="M16" s="324"/>
      <c r="N16" s="324"/>
      <c r="O16" s="324"/>
      <c r="P16" s="324"/>
      <c r="Q16" s="324"/>
      <c r="R16" s="325"/>
    </row>
    <row r="17" spans="1:158">
      <c r="A17" s="209"/>
      <c r="B17" s="228"/>
      <c r="C17" s="229"/>
      <c r="D17" s="229"/>
      <c r="E17" s="229"/>
      <c r="F17" s="229"/>
      <c r="G17" s="229"/>
      <c r="H17" s="229"/>
      <c r="I17" s="229"/>
      <c r="J17" s="230"/>
      <c r="K17" s="210"/>
      <c r="L17"/>
      <c r="M17"/>
      <c r="N17"/>
      <c r="O17"/>
      <c r="P17"/>
      <c r="Q17"/>
      <c r="R17"/>
    </row>
    <row r="18" spans="1:158">
      <c r="A18" s="209"/>
      <c r="B18" s="215"/>
      <c r="C18" s="215"/>
      <c r="D18" s="215"/>
      <c r="E18" s="216"/>
      <c r="F18" s="216"/>
      <c r="G18" s="209"/>
      <c r="H18" s="209"/>
      <c r="I18" s="209"/>
      <c r="J18" s="587"/>
      <c r="K18" s="210"/>
      <c r="L18" s="248" t="s">
        <v>443</v>
      </c>
      <c r="M18"/>
      <c r="N18"/>
      <c r="O18"/>
      <c r="P18"/>
      <c r="Q18"/>
      <c r="R18"/>
    </row>
    <row r="19" spans="1:158" ht="20" customHeight="1">
      <c r="A19" s="210"/>
      <c r="B19" s="231"/>
      <c r="C19" s="233" t="str">
        <f>Idiomas!D83</f>
        <v>PARA DESCARGAR, CLICK EN</v>
      </c>
      <c r="D19" s="233"/>
      <c r="E19" s="302">
        <v>2</v>
      </c>
      <c r="F19" s="232"/>
      <c r="G19" s="233"/>
      <c r="H19" s="234"/>
      <c r="I19" s="234"/>
      <c r="J19" s="235"/>
      <c r="K19" s="210"/>
      <c r="L19" s="319"/>
      <c r="M19" s="320"/>
      <c r="N19" s="320"/>
      <c r="O19" s="320"/>
      <c r="P19" s="320"/>
      <c r="Q19" s="320"/>
      <c r="R19" s="321"/>
    </row>
    <row r="20" spans="1:158">
      <c r="A20" s="210"/>
      <c r="B20" s="240"/>
      <c r="C20" s="251" t="s">
        <v>1377</v>
      </c>
      <c r="D20" s="251"/>
      <c r="E20" s="252" t="s">
        <v>223</v>
      </c>
      <c r="F20" s="252"/>
      <c r="G20" s="252" t="s">
        <v>359</v>
      </c>
      <c r="H20" s="236"/>
      <c r="I20" s="236"/>
      <c r="J20" s="227"/>
      <c r="K20" s="210"/>
      <c r="L20" s="318" t="str">
        <f>+Idiomas!D94</f>
        <v>· En esta hoja no hay que escribir nada</v>
      </c>
      <c r="M20" s="221"/>
      <c r="N20" s="221"/>
      <c r="O20" s="221"/>
      <c r="P20" s="221"/>
      <c r="Q20" s="221"/>
      <c r="R20" s="322"/>
    </row>
    <row r="21" spans="1:158" s="245" customFormat="1" ht="20" customHeight="1">
      <c r="A21" s="241"/>
      <c r="B21" s="242"/>
      <c r="C21" s="247" t="s">
        <v>1325</v>
      </c>
      <c r="D21" s="256"/>
      <c r="E21" s="253">
        <v>2</v>
      </c>
      <c r="F21" s="256"/>
      <c r="G21" s="253">
        <v>2</v>
      </c>
      <c r="H21" s="243"/>
      <c r="I21" s="236"/>
      <c r="J21" s="244"/>
      <c r="K21" s="241"/>
      <c r="L21" s="318" t="str">
        <f>+Idiomas!D95</f>
        <v>· Sirve para que el organizador de la porra, copie estos resultados y los pegue en el archivo de administrador</v>
      </c>
      <c r="M21" s="221"/>
      <c r="N21" s="221"/>
      <c r="O21" s="221"/>
      <c r="P21" s="221"/>
      <c r="Q21" s="221"/>
      <c r="R21" s="322"/>
      <c r="S21"/>
      <c r="T21" s="16"/>
      <c r="U21" s="566"/>
      <c r="V21" s="566"/>
      <c r="W21" s="566"/>
      <c r="X21" s="566"/>
      <c r="Y21" s="566"/>
      <c r="Z21" s="555"/>
      <c r="AA21" s="555"/>
      <c r="AB21" s="555"/>
      <c r="ET21" s="555"/>
      <c r="EU21" s="555"/>
      <c r="EV21" s="555"/>
      <c r="EW21" s="555"/>
      <c r="EX21" s="555"/>
      <c r="EY21" s="555"/>
      <c r="EZ21" s="555"/>
      <c r="FA21" s="555"/>
      <c r="FB21" s="555"/>
    </row>
    <row r="22" spans="1:158" s="245" customFormat="1" ht="2" customHeight="1">
      <c r="A22" s="241"/>
      <c r="B22" s="242"/>
      <c r="C22" s="243"/>
      <c r="D22" s="243"/>
      <c r="E22" s="243"/>
      <c r="F22" s="243"/>
      <c r="G22" s="243"/>
      <c r="H22" s="243"/>
      <c r="I22" s="236"/>
      <c r="J22" s="244"/>
      <c r="K22" s="241"/>
      <c r="L22" s="318"/>
      <c r="M22" s="221"/>
      <c r="N22" s="221"/>
      <c r="O22" s="221"/>
      <c r="P22" s="221"/>
      <c r="Q22" s="221"/>
      <c r="R22" s="322"/>
      <c r="S22"/>
      <c r="T22" s="16"/>
      <c r="U22" s="566"/>
      <c r="V22" s="566"/>
      <c r="W22" s="566"/>
      <c r="X22" s="566"/>
      <c r="Y22" s="566"/>
      <c r="Z22" s="555"/>
      <c r="AA22" s="555"/>
      <c r="AB22" s="555"/>
      <c r="ET22" s="555"/>
      <c r="EU22" s="555"/>
      <c r="EV22" s="555"/>
      <c r="EW22" s="555"/>
      <c r="EX22" s="555"/>
      <c r="EY22" s="555"/>
      <c r="EZ22" s="555"/>
      <c r="FA22" s="555"/>
      <c r="FB22" s="555"/>
    </row>
    <row r="23" spans="1:158" s="245" customFormat="1" ht="20" customHeight="1">
      <c r="A23" s="241"/>
      <c r="B23" s="242"/>
      <c r="C23" s="247" t="s">
        <v>1307</v>
      </c>
      <c r="D23" s="256"/>
      <c r="E23" s="254">
        <v>2</v>
      </c>
      <c r="F23" s="256"/>
      <c r="G23" s="254">
        <v>2</v>
      </c>
      <c r="H23" s="243"/>
      <c r="I23" s="243"/>
      <c r="J23" s="244"/>
      <c r="K23" s="241"/>
      <c r="L23" s="323"/>
      <c r="M23" s="324"/>
      <c r="N23" s="324"/>
      <c r="O23" s="324"/>
      <c r="P23" s="324"/>
      <c r="Q23" s="324"/>
      <c r="R23" s="325"/>
      <c r="S23"/>
      <c r="T23" s="16"/>
      <c r="U23" s="566"/>
      <c r="V23" s="566"/>
      <c r="W23" s="566"/>
      <c r="X23" s="566"/>
      <c r="Y23" s="566"/>
      <c r="Z23" s="555"/>
      <c r="AA23" s="555"/>
      <c r="AB23" s="555"/>
      <c r="ET23" s="555"/>
      <c r="EU23" s="555"/>
      <c r="EV23" s="555"/>
      <c r="EW23" s="555"/>
      <c r="EX23" s="555"/>
      <c r="EY23" s="555"/>
      <c r="EZ23" s="555"/>
      <c r="FA23" s="555"/>
      <c r="FB23" s="555"/>
    </row>
    <row r="24" spans="1:158" s="245" customFormat="1" ht="2" customHeight="1">
      <c r="A24" s="241"/>
      <c r="B24" s="242"/>
      <c r="C24" s="243"/>
      <c r="D24" s="243"/>
      <c r="E24" s="243"/>
      <c r="F24" s="243"/>
      <c r="G24" s="243"/>
      <c r="H24" s="243"/>
      <c r="I24" s="243"/>
      <c r="J24" s="244"/>
      <c r="K24" s="241"/>
      <c r="L24" s="246"/>
      <c r="M24" s="246"/>
      <c r="N24" s="246"/>
      <c r="O24" s="246"/>
      <c r="P24" s="246"/>
      <c r="Q24" s="246"/>
      <c r="R24" s="246"/>
      <c r="S24"/>
      <c r="T24" s="16"/>
      <c r="U24" s="566"/>
      <c r="V24" s="566"/>
      <c r="W24" s="566"/>
      <c r="X24" s="566"/>
      <c r="Y24" s="566"/>
      <c r="Z24" s="555"/>
      <c r="AA24" s="555"/>
      <c r="AB24" s="555"/>
      <c r="ET24" s="555"/>
      <c r="EU24" s="555"/>
      <c r="EV24" s="555"/>
      <c r="EW24" s="555"/>
      <c r="EX24" s="555"/>
      <c r="EY24" s="555"/>
      <c r="EZ24" s="555"/>
      <c r="FA24" s="555"/>
      <c r="FB24" s="555"/>
    </row>
    <row r="25" spans="1:158" s="245" customFormat="1" ht="20" customHeight="1">
      <c r="A25" s="241"/>
      <c r="B25" s="242"/>
      <c r="C25" s="247" t="s">
        <v>1274</v>
      </c>
      <c r="D25" s="256"/>
      <c r="E25" s="254">
        <v>2</v>
      </c>
      <c r="F25" s="256"/>
      <c r="G25" s="255">
        <v>0</v>
      </c>
      <c r="H25" s="243"/>
      <c r="I25" s="243"/>
      <c r="J25" s="244"/>
      <c r="K25" s="241"/>
      <c r="L25" s="326" t="s">
        <v>1313</v>
      </c>
      <c r="M25"/>
      <c r="N25"/>
      <c r="O25"/>
      <c r="P25"/>
      <c r="Q25"/>
      <c r="R25"/>
      <c r="S25"/>
      <c r="T25" s="16"/>
      <c r="U25" s="566"/>
      <c r="V25" s="566"/>
      <c r="W25" s="566"/>
      <c r="X25" s="566"/>
      <c r="Y25" s="566"/>
      <c r="Z25" s="555"/>
      <c r="AA25" s="555"/>
      <c r="AB25" s="555"/>
      <c r="ET25" s="555"/>
      <c r="EU25" s="555"/>
      <c r="EV25" s="555"/>
      <c r="EW25" s="555"/>
      <c r="EX25" s="555"/>
      <c r="EY25" s="555"/>
      <c r="EZ25" s="555"/>
      <c r="FA25" s="555"/>
      <c r="FB25" s="555"/>
    </row>
    <row r="26" spans="1:158" s="245" customFormat="1" ht="2" customHeight="1">
      <c r="A26" s="241"/>
      <c r="B26" s="242"/>
      <c r="C26" s="243"/>
      <c r="D26" s="243"/>
      <c r="E26" s="243"/>
      <c r="F26" s="243"/>
      <c r="G26" s="243"/>
      <c r="H26" s="243"/>
      <c r="I26" s="243"/>
      <c r="J26" s="244"/>
      <c r="K26" s="241"/>
      <c r="L26" s="246"/>
      <c r="M26" s="246"/>
      <c r="N26" s="246"/>
      <c r="O26" s="246"/>
      <c r="P26" s="246"/>
      <c r="Q26" s="246"/>
      <c r="R26" s="246"/>
      <c r="S26"/>
      <c r="T26" s="16"/>
      <c r="U26" s="566"/>
      <c r="V26" s="566"/>
      <c r="W26" s="566"/>
      <c r="X26" s="566"/>
      <c r="Y26" s="566"/>
      <c r="Z26" s="555"/>
      <c r="AA26" s="555"/>
      <c r="AB26" s="555"/>
      <c r="ET26" s="555"/>
      <c r="EU26" s="555"/>
      <c r="EV26" s="555"/>
      <c r="EW26" s="555"/>
      <c r="EX26" s="555"/>
      <c r="EY26" s="555"/>
      <c r="EZ26" s="555"/>
      <c r="FA26" s="555"/>
      <c r="FB26" s="555"/>
    </row>
    <row r="27" spans="1:158" s="245" customFormat="1" ht="20" customHeight="1">
      <c r="A27" s="241"/>
      <c r="B27" s="242"/>
      <c r="C27" s="247" t="s">
        <v>1275</v>
      </c>
      <c r="D27" s="256"/>
      <c r="E27" s="254">
        <v>2</v>
      </c>
      <c r="F27" s="256"/>
      <c r="G27" s="255">
        <v>0</v>
      </c>
      <c r="H27" s="243"/>
      <c r="I27" s="243"/>
      <c r="J27" s="244"/>
      <c r="K27" s="241"/>
      <c r="L27" s="319" t="str">
        <f>+Idiomas!D96</f>
        <v>· En esta hoja se muestran de un vistazo todos los resultados introducidos en la hoja WORLDCUP, en esta hoja no se rellena nada.</v>
      </c>
      <c r="M27" s="320"/>
      <c r="N27" s="320"/>
      <c r="O27" s="320"/>
      <c r="P27" s="320"/>
      <c r="Q27" s="320"/>
      <c r="R27" s="321"/>
      <c r="S27"/>
      <c r="T27" s="16"/>
      <c r="U27" s="566"/>
      <c r="V27" s="566"/>
      <c r="W27" s="566"/>
      <c r="X27" s="566"/>
      <c r="Y27" s="566"/>
      <c r="Z27" s="555"/>
      <c r="AA27" s="555"/>
      <c r="AB27" s="555"/>
      <c r="ET27" s="555"/>
      <c r="EU27" s="555"/>
      <c r="EV27" s="555"/>
      <c r="EW27" s="555"/>
      <c r="EX27" s="555"/>
      <c r="EY27" s="555"/>
      <c r="EZ27" s="555"/>
      <c r="FA27" s="555"/>
      <c r="FB27" s="555"/>
    </row>
    <row r="28" spans="1:158" s="245" customFormat="1" ht="2" customHeight="1">
      <c r="A28" s="241"/>
      <c r="B28" s="242"/>
      <c r="C28" s="243"/>
      <c r="D28" s="243"/>
      <c r="E28" s="243"/>
      <c r="F28" s="243"/>
      <c r="G28" s="243"/>
      <c r="H28" s="243"/>
      <c r="I28" s="243"/>
      <c r="J28" s="244"/>
      <c r="K28" s="241"/>
      <c r="L28" s="375"/>
      <c r="M28" s="376"/>
      <c r="N28" s="376"/>
      <c r="O28" s="376"/>
      <c r="P28" s="376"/>
      <c r="Q28" s="376"/>
      <c r="R28" s="376"/>
      <c r="S28"/>
      <c r="T28" s="16"/>
      <c r="U28" s="566"/>
      <c r="V28" s="566"/>
      <c r="W28" s="566"/>
      <c r="X28" s="566"/>
      <c r="Y28" s="566"/>
      <c r="Z28" s="555"/>
      <c r="AA28" s="555"/>
      <c r="AB28" s="555"/>
      <c r="ET28" s="555"/>
      <c r="EU28" s="555"/>
      <c r="EV28" s="555"/>
      <c r="EW28" s="555"/>
      <c r="EX28" s="555"/>
      <c r="EY28" s="555"/>
      <c r="EZ28" s="555"/>
      <c r="FA28" s="555"/>
      <c r="FB28" s="555"/>
    </row>
    <row r="29" spans="1:158" s="245" customFormat="1" ht="20" customHeight="1">
      <c r="A29" s="241"/>
      <c r="B29" s="242"/>
      <c r="C29" s="247" t="s">
        <v>1276</v>
      </c>
      <c r="D29" s="256"/>
      <c r="E29" s="255">
        <v>0</v>
      </c>
      <c r="F29" s="256"/>
      <c r="G29" s="254">
        <v>2</v>
      </c>
      <c r="H29" s="243"/>
      <c r="I29" s="243"/>
      <c r="J29" s="244"/>
      <c r="K29" s="241"/>
      <c r="S29"/>
      <c r="T29" s="16"/>
      <c r="U29" s="566"/>
      <c r="V29" s="566"/>
      <c r="W29" s="566"/>
      <c r="X29" s="566"/>
      <c r="Y29" s="566"/>
      <c r="Z29" s="555"/>
      <c r="AA29" s="555"/>
      <c r="AB29" s="555"/>
      <c r="ET29" s="555"/>
      <c r="EU29" s="555"/>
      <c r="EV29" s="555"/>
      <c r="EW29" s="555"/>
      <c r="EX29" s="555"/>
      <c r="EY29" s="555"/>
      <c r="EZ29" s="555"/>
      <c r="FA29" s="555"/>
      <c r="FB29" s="555"/>
    </row>
    <row r="30" spans="1:158" s="245" customFormat="1" ht="2" customHeight="1">
      <c r="A30" s="241"/>
      <c r="B30" s="242"/>
      <c r="C30" s="243"/>
      <c r="D30" s="243"/>
      <c r="E30" s="243"/>
      <c r="F30" s="243"/>
      <c r="G30" s="243"/>
      <c r="H30" s="243"/>
      <c r="I30" s="243"/>
      <c r="J30" s="244"/>
      <c r="K30" s="241"/>
      <c r="S30"/>
      <c r="T30" s="16"/>
      <c r="U30" s="566"/>
      <c r="V30" s="566"/>
      <c r="W30" s="566"/>
      <c r="X30" s="566"/>
      <c r="Y30" s="566"/>
      <c r="Z30" s="555"/>
      <c r="AA30" s="555"/>
      <c r="AB30" s="555"/>
      <c r="ET30" s="555"/>
      <c r="EU30" s="555"/>
      <c r="EV30" s="555"/>
      <c r="EW30" s="555"/>
      <c r="EX30" s="555"/>
      <c r="EY30" s="555"/>
      <c r="EZ30" s="555"/>
      <c r="FA30" s="555"/>
      <c r="FB30" s="555"/>
    </row>
    <row r="31" spans="1:158" s="245" customFormat="1" ht="20" customHeight="1">
      <c r="A31" s="241"/>
      <c r="B31" s="242"/>
      <c r="C31" s="247" t="s">
        <v>1277</v>
      </c>
      <c r="D31" s="256"/>
      <c r="E31" s="254">
        <v>2</v>
      </c>
      <c r="F31" s="256"/>
      <c r="G31" s="255">
        <v>0</v>
      </c>
      <c r="H31" s="243"/>
      <c r="I31" s="243"/>
      <c r="J31" s="244"/>
      <c r="K31" s="241"/>
      <c r="S31"/>
      <c r="T31" s="16"/>
      <c r="U31" s="566"/>
      <c r="V31" s="566"/>
      <c r="W31" s="566"/>
      <c r="X31" s="566"/>
      <c r="Y31" s="566"/>
      <c r="Z31" s="555"/>
      <c r="AA31" s="555"/>
      <c r="AB31" s="555"/>
      <c r="ET31" s="555"/>
      <c r="EU31" s="555"/>
      <c r="EV31" s="555"/>
      <c r="EW31" s="555"/>
      <c r="EX31" s="555"/>
      <c r="EY31" s="555"/>
      <c r="EZ31" s="555"/>
      <c r="FA31" s="555"/>
      <c r="FB31" s="555"/>
    </row>
    <row r="32" spans="1:158">
      <c r="A32" s="210"/>
      <c r="B32" s="237"/>
      <c r="C32" s="238"/>
      <c r="D32" s="238"/>
      <c r="E32" s="238"/>
      <c r="F32" s="238"/>
      <c r="G32" s="238"/>
      <c r="H32" s="238"/>
      <c r="I32" s="238"/>
      <c r="J32" s="239"/>
      <c r="K32" s="210"/>
      <c r="L32" s="245"/>
      <c r="M32" s="245"/>
      <c r="N32" s="245"/>
      <c r="O32" s="245"/>
      <c r="P32" s="245"/>
      <c r="Q32" s="245"/>
      <c r="R32" s="245"/>
    </row>
    <row r="33" spans="1:17" ht="15" thickBot="1">
      <c r="A33" s="210"/>
      <c r="K33" s="210"/>
    </row>
    <row r="34" spans="1:17" ht="28" customHeight="1" thickBot="1">
      <c r="A34" s="210"/>
      <c r="B34" s="696" t="str">
        <f>HYPERLINK(Idiomas!D10,Idiomas!D9)</f>
        <v>▼ Descargar Excel Administrador Porra ▼</v>
      </c>
      <c r="C34" s="697"/>
      <c r="D34" s="697"/>
      <c r="E34" s="697"/>
      <c r="F34" s="697"/>
      <c r="G34" s="697"/>
      <c r="H34" s="697"/>
      <c r="I34" s="697"/>
      <c r="J34" s="698"/>
      <c r="K34" s="210"/>
      <c r="L34" s="270" t="s">
        <v>1351</v>
      </c>
    </row>
    <row r="35" spans="1:17">
      <c r="A35" s="210"/>
      <c r="C35" s="210"/>
      <c r="D35" s="210"/>
      <c r="E35" s="210"/>
      <c r="F35" s="210"/>
      <c r="G35" s="210"/>
      <c r="H35" s="210"/>
      <c r="I35" s="210"/>
      <c r="J35" s="210"/>
      <c r="K35" s="210"/>
      <c r="L35" s="210"/>
      <c r="M35" s="209"/>
      <c r="N35" s="210"/>
      <c r="O35" s="210"/>
      <c r="P35" s="210"/>
      <c r="Q35" s="210"/>
    </row>
    <row r="36" spans="1:17" ht="28" customHeight="1">
      <c r="A36" s="210"/>
      <c r="D36" s="210"/>
      <c r="E36" s="210"/>
      <c r="F36" s="210"/>
      <c r="G36" s="210"/>
      <c r="H36" s="210"/>
      <c r="I36" s="210"/>
      <c r="J36" s="210"/>
      <c r="K36" s="210"/>
      <c r="L36" s="210"/>
      <c r="M36" s="209"/>
      <c r="N36" s="210"/>
      <c r="O36" s="210"/>
      <c r="P36" s="210"/>
      <c r="Q36" s="210"/>
    </row>
    <row r="37" spans="1:17" ht="15" customHeight="1">
      <c r="A37" s="210"/>
      <c r="K37" s="210"/>
      <c r="L37" s="210"/>
      <c r="M37" s="209"/>
      <c r="N37" s="210"/>
      <c r="O37" s="210"/>
      <c r="P37" s="210"/>
      <c r="Q37" s="210"/>
    </row>
    <row r="38" spans="1:17" ht="34" customHeight="1">
      <c r="A38" s="210"/>
      <c r="B38" s="210"/>
      <c r="D38" s="210"/>
      <c r="E38" s="210"/>
      <c r="F38" s="210"/>
      <c r="G38" s="210"/>
      <c r="H38" s="210"/>
      <c r="I38" s="210"/>
      <c r="J38" s="210"/>
      <c r="K38" s="210"/>
      <c r="M38" s="210"/>
      <c r="N38" s="210"/>
      <c r="O38" s="210"/>
      <c r="P38" s="210"/>
      <c r="Q38" s="210"/>
    </row>
    <row r="39" spans="1:17">
      <c r="A39" s="210"/>
      <c r="B39" s="210"/>
      <c r="C39" s="210"/>
      <c r="D39" s="210"/>
      <c r="E39" s="210"/>
      <c r="F39" s="210"/>
      <c r="G39" s="210"/>
      <c r="H39" s="210"/>
      <c r="I39" s="210"/>
      <c r="J39" s="210"/>
      <c r="K39" s="210"/>
      <c r="L39" s="210"/>
      <c r="M39" s="210"/>
      <c r="N39" s="210"/>
      <c r="O39" s="210"/>
      <c r="P39" s="210"/>
      <c r="Q39" s="210"/>
    </row>
    <row r="40" spans="1:17">
      <c r="A40" s="210"/>
      <c r="B40" s="210"/>
      <c r="C40" s="210"/>
      <c r="D40" s="210"/>
      <c r="E40" s="210"/>
      <c r="F40" s="210"/>
      <c r="G40" s="210"/>
      <c r="H40" s="210"/>
      <c r="I40" s="210"/>
      <c r="J40" s="210"/>
      <c r="K40" s="210"/>
      <c r="L40" s="210"/>
      <c r="M40" s="210"/>
      <c r="N40" s="210"/>
      <c r="O40" s="210"/>
      <c r="P40" s="210"/>
      <c r="Q40" s="210"/>
    </row>
    <row r="41" spans="1:17">
      <c r="A41" s="210"/>
      <c r="B41" s="210"/>
      <c r="C41" s="210"/>
      <c r="D41" s="210"/>
      <c r="E41" s="210"/>
      <c r="F41" s="210"/>
      <c r="G41" s="210"/>
      <c r="H41" s="210"/>
      <c r="I41" s="210"/>
      <c r="J41" s="210"/>
      <c r="K41" s="210"/>
      <c r="L41" s="210"/>
      <c r="M41" s="210"/>
      <c r="N41" s="210"/>
      <c r="O41" s="210"/>
      <c r="P41" s="210"/>
      <c r="Q41" s="210"/>
    </row>
    <row r="45" spans="1:17">
      <c r="B45" s="210"/>
    </row>
    <row r="83" spans="12:28">
      <c r="L83" s="3"/>
      <c r="M83" s="3"/>
      <c r="N83" s="3"/>
      <c r="O83" s="557"/>
      <c r="P83" s="6"/>
      <c r="Q83" s="6"/>
      <c r="R83" s="6"/>
      <c r="U83" s="9"/>
      <c r="V83" s="9"/>
      <c r="W83" s="9"/>
      <c r="X83" s="9"/>
      <c r="Y83" s="9"/>
      <c r="Z83" s="6"/>
      <c r="AA83" s="6"/>
      <c r="AB83" s="6"/>
    </row>
    <row r="84" spans="12:28" ht="60" customHeight="1">
      <c r="L84" s="3"/>
      <c r="M84" s="699"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99"/>
      <c r="O84" s="699"/>
      <c r="P84" s="699"/>
      <c r="Q84" s="699"/>
      <c r="R84" s="699"/>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3" t="s">
        <v>1472</v>
      </c>
      <c r="N86" s="6"/>
      <c r="O86" s="6"/>
      <c r="P86" s="6"/>
      <c r="Q86" s="6"/>
      <c r="R86" s="6"/>
      <c r="T86" s="16" t="s">
        <v>1477</v>
      </c>
      <c r="U86" s="383" t="s">
        <v>1459</v>
      </c>
      <c r="V86" s="383" t="s">
        <v>1460</v>
      </c>
      <c r="W86" s="383" t="s">
        <v>1473</v>
      </c>
      <c r="X86" s="383" t="s">
        <v>1474</v>
      </c>
      <c r="Y86" s="383" t="s">
        <v>1475</v>
      </c>
      <c r="Z86" s="6"/>
      <c r="AA86" s="6"/>
      <c r="AB86" s="6"/>
    </row>
    <row r="87" spans="12:28">
      <c r="L87" s="3"/>
      <c r="M87" s="586"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1">
        <v>#VALUE!</v>
      </c>
      <c r="Y87" s="9">
        <v>3.5</v>
      </c>
      <c r="Z87" s="6"/>
      <c r="AA87" s="6"/>
      <c r="AB87" s="6"/>
    </row>
    <row r="88" spans="12:28">
      <c r="L88" s="3"/>
      <c r="M88" s="3"/>
      <c r="N88" s="3"/>
      <c r="O88" s="6"/>
      <c r="P88" s="6"/>
      <c r="Q88" s="6"/>
      <c r="R88" s="6"/>
      <c r="T88" s="16" t="s">
        <v>1479</v>
      </c>
      <c r="U88" s="9" t="s">
        <v>1464</v>
      </c>
      <c r="V88" s="9" t="s">
        <v>1465</v>
      </c>
      <c r="W88" s="9" t="s">
        <v>1466</v>
      </c>
      <c r="X88" s="558" t="e" vm="52">
        <v>#VALUE!</v>
      </c>
      <c r="Y88" s="9">
        <v>4</v>
      </c>
      <c r="Z88" s="6"/>
      <c r="AA88" s="6"/>
      <c r="AB88" s="6"/>
    </row>
    <row r="89" spans="12:28" ht="15.5">
      <c r="L89" s="3"/>
      <c r="M89" s="3"/>
      <c r="N89" s="3"/>
      <c r="O89" s="6"/>
      <c r="P89" s="6"/>
      <c r="Q89" s="6"/>
      <c r="R89" s="6"/>
      <c r="T89" s="16" t="s">
        <v>1480</v>
      </c>
      <c r="U89" s="9" t="s">
        <v>1467</v>
      </c>
      <c r="V89" s="9" t="s">
        <v>1467</v>
      </c>
      <c r="W89" s="559" t="s">
        <v>1469</v>
      </c>
      <c r="X89" s="558" t="e" vm="53">
        <v>#VALUE!</v>
      </c>
      <c r="Y89" s="9">
        <v>-4</v>
      </c>
      <c r="Z89" s="6"/>
      <c r="AA89" s="6"/>
      <c r="AB89" s="6"/>
    </row>
    <row r="90" spans="12:28" ht="15.5">
      <c r="L90" s="3"/>
      <c r="M90" s="3"/>
      <c r="N90" s="3"/>
      <c r="O90" s="6"/>
      <c r="P90" s="6"/>
      <c r="Q90" s="6"/>
      <c r="R90" s="6"/>
      <c r="T90" s="16" t="s">
        <v>1481</v>
      </c>
      <c r="U90" s="9" t="s">
        <v>1468</v>
      </c>
      <c r="V90" s="9" t="s">
        <v>1471</v>
      </c>
      <c r="W90" s="560" t="s">
        <v>1470</v>
      </c>
      <c r="X90" s="558" t="e" vm="54">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c r="L92" s="3"/>
      <c r="M92" s="3"/>
      <c r="N92" s="383" t="s">
        <v>1459</v>
      </c>
      <c r="O92" s="383" t="s">
        <v>1460</v>
      </c>
      <c r="P92" s="383" t="s">
        <v>1494</v>
      </c>
      <c r="Q92" s="383" t="s">
        <v>1482</v>
      </c>
      <c r="R92" s="383" t="s">
        <v>1474</v>
      </c>
      <c r="Z92" s="6"/>
      <c r="AA92" s="6"/>
      <c r="AB92" s="6"/>
    </row>
    <row r="93" spans="12:28" ht="25" customHeight="1">
      <c r="L93" s="3"/>
      <c r="M93" s="9" t="s">
        <v>1476</v>
      </c>
      <c r="N93" s="561" t="s">
        <v>1515</v>
      </c>
      <c r="O93" s="561" t="s">
        <v>1483</v>
      </c>
      <c r="P93" s="561"/>
      <c r="Q93" s="561"/>
      <c r="R93" s="561"/>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88"/>
      <c r="EZ6119" s="588" t="s">
        <v>78</v>
      </c>
      <c r="FA6119" s="588"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88"/>
      <c r="EZ6120" s="588" t="s">
        <v>1378</v>
      </c>
      <c r="FA6120" s="588"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88"/>
      <c r="EZ6121" s="588" t="s">
        <v>1381</v>
      </c>
      <c r="FA6121" s="588"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88"/>
      <c r="EZ6122" s="588" t="s">
        <v>1262</v>
      </c>
      <c r="FA6122" s="588"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88"/>
      <c r="EZ6123" s="588" t="s">
        <v>1263</v>
      </c>
      <c r="FA6123" s="588"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88"/>
      <c r="EZ6124" s="588" t="s">
        <v>81</v>
      </c>
      <c r="FA6124" s="588"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88"/>
      <c r="EZ6125" s="588" t="s">
        <v>111</v>
      </c>
      <c r="FA6125" s="588"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88"/>
      <c r="EZ6126" s="588" t="s">
        <v>1264</v>
      </c>
      <c r="FA6126" s="588"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88"/>
      <c r="EZ6127" s="588" t="s">
        <v>1384</v>
      </c>
      <c r="FA6127" s="588"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88"/>
      <c r="EZ6128" s="588" t="s">
        <v>1265</v>
      </c>
      <c r="FA6128" s="588"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88"/>
      <c r="EZ6129" s="588" t="s">
        <v>1387</v>
      </c>
      <c r="FA6129" s="588"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88"/>
      <c r="EZ6130" s="588" t="s">
        <v>1336</v>
      </c>
      <c r="FA6130" s="588"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88"/>
      <c r="EZ6131" s="588" t="s">
        <v>1266</v>
      </c>
      <c r="FA6131" s="588"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88"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88"/>
      <c r="EZ6133" s="588" t="s">
        <v>79</v>
      </c>
      <c r="FA6133" s="588"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88"/>
      <c r="EZ6134" s="588" t="s">
        <v>1405</v>
      </c>
      <c r="FA6134" s="588"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88"/>
      <c r="EZ6135" s="588" t="s">
        <v>1267</v>
      </c>
      <c r="FA6135" s="588"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88"/>
      <c r="EZ6136" s="588" t="s">
        <v>1393</v>
      </c>
      <c r="FA6136" s="588"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88"/>
      <c r="EZ6137" s="588" t="s">
        <v>136</v>
      </c>
      <c r="FA6137" s="588"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88"/>
      <c r="EZ6138" s="588" t="s">
        <v>40</v>
      </c>
      <c r="FA6138" s="588"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88"/>
      <c r="EZ6139" s="588" t="s">
        <v>507</v>
      </c>
      <c r="FA6139" s="588"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88"/>
      <c r="EZ6140" s="588" t="s">
        <v>75</v>
      </c>
      <c r="FA6140" s="588"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88"/>
      <c r="EZ6141" s="588" t="s">
        <v>1396</v>
      </c>
      <c r="FA6141" s="588"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88"/>
      <c r="EZ6142" s="588" t="s">
        <v>1404</v>
      </c>
      <c r="FA6142" s="588"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88"/>
      <c r="EZ6143" s="588" t="s">
        <v>77</v>
      </c>
      <c r="FA6143" s="588"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88"/>
      <c r="EZ6144" s="588" t="str">
        <f>N87</f>
        <v>Irán</v>
      </c>
      <c r="FA6144" s="588"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88"/>
      <c r="EZ6145" s="588" t="s">
        <v>1269</v>
      </c>
      <c r="FA6145" s="588"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88"/>
      <c r="EZ6146" s="588" t="s">
        <v>1270</v>
      </c>
      <c r="FA6146" s="588"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88"/>
      <c r="EZ6147" s="588" t="s">
        <v>1337</v>
      </c>
      <c r="FA6147" s="588"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88"/>
      <c r="EZ6148" s="588" t="s">
        <v>1271</v>
      </c>
      <c r="FA6148" s="588"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88"/>
      <c r="EZ6149" s="588" t="s">
        <v>137</v>
      </c>
      <c r="FA6149" s="588"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88"/>
      <c r="EZ6150" s="588" t="s">
        <v>1272</v>
      </c>
      <c r="FA6150" s="588"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88"/>
      <c r="EZ6151" s="588" t="s">
        <v>113</v>
      </c>
      <c r="FA6151" s="588"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88"/>
      <c r="EZ6152" s="588" t="s">
        <v>1403</v>
      </c>
      <c r="FA6152" s="588"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88"/>
      <c r="EZ6153" s="588" t="s">
        <v>1335</v>
      </c>
      <c r="FA6153" s="588"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88"/>
      <c r="EZ6154" s="588" t="s">
        <v>80</v>
      </c>
      <c r="FA6154" s="588"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88"/>
      <c r="EZ6155" s="588" t="s">
        <v>1398</v>
      </c>
      <c r="FA6155" s="588"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88"/>
      <c r="EZ6156" s="588" t="s">
        <v>1400</v>
      </c>
      <c r="FA6156" s="588"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88"/>
      <c r="EZ6157" s="588" t="s">
        <v>76</v>
      </c>
      <c r="FA6157" s="588"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88"/>
      <c r="EZ6158" s="588" t="s">
        <v>1338</v>
      </c>
      <c r="FA6158" s="588"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88"/>
      <c r="EZ6159" s="588" t="s">
        <v>1334</v>
      </c>
      <c r="FA6159" s="588"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88"/>
      <c r="EZ6160" s="588" t="s">
        <v>1273</v>
      </c>
      <c r="FA6160" s="588"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08984375" style="6" bestFit="1" customWidth="1"/>
    <col min="8" max="8" width="20.453125" style="6"/>
    <col min="9" max="9" width="13" style="6" customWidth="1"/>
    <col min="10" max="10" width="12" style="6" customWidth="1"/>
    <col min="11" max="11" width="20.453125" style="6"/>
    <col min="12" max="13" width="0" style="6" hidden="1" customWidth="1"/>
    <col min="14" max="14" width="4.453125" style="590" customWidth="1"/>
    <col min="15" max="16384" width="20.453125" style="591"/>
  </cols>
  <sheetData>
    <row r="1" spans="1:18 8826:8826" ht="15" customHeight="1">
      <c r="A1" s="383" t="s">
        <v>379</v>
      </c>
      <c r="B1" s="383" t="s">
        <v>32</v>
      </c>
      <c r="C1" s="383" t="s">
        <v>73</v>
      </c>
      <c r="D1" s="383" t="s">
        <v>11</v>
      </c>
      <c r="E1" s="9"/>
      <c r="F1" s="9" t="s">
        <v>35</v>
      </c>
      <c r="G1" s="9"/>
      <c r="H1" s="383"/>
      <c r="I1" s="383"/>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5">
        <v>#VALUE!</v>
      </c>
      <c r="MAL2" s="591"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2" t="s">
        <v>147</v>
      </c>
      <c r="M7" s="592" t="e" vm="6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8">
        <v>#VALUE!</v>
      </c>
      <c r="P15" s="593"/>
      <c r="Q15" s="593"/>
      <c r="R15" s="593"/>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7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80">
        <v>#VALUE!</v>
      </c>
      <c r="LS28" s="591" t="s">
        <v>15</v>
      </c>
      <c r="MAL28" s="591"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2">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3">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4">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5">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6">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7">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8">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9">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90">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2">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3">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4">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5">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4" t="s">
        <v>1514</v>
      </c>
      <c r="M44" s="594" t="e" vm="96">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4" t="s">
        <v>1463</v>
      </c>
      <c r="M45" s="594" t="e" vm="97">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5" t="s">
        <v>1508</v>
      </c>
      <c r="M46" s="595" t="e" vm="98">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4" t="s">
        <v>1502</v>
      </c>
      <c r="M47" s="594" t="e" vm="99">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4" t="s">
        <v>1505</v>
      </c>
      <c r="M48" s="594" t="e" vm="100">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4" t="s">
        <v>1511</v>
      </c>
      <c r="M49" s="594" t="e" vm="101">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08984375" style="14" bestFit="1" customWidth="1"/>
    <col min="2" max="2" width="5" style="14" customWidth="1"/>
    <col min="3" max="3" width="12.453125" style="14" customWidth="1"/>
    <col min="4" max="4" width="13.089843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089843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599">
        <f ca="1">+INDEX($S$3:$S$86,MATCH($L$2,$Q$3:$Q$86,0))</f>
        <v>0.16666666666666666</v>
      </c>
      <c r="P2" s="384" t="s">
        <v>379</v>
      </c>
      <c r="Q2" s="384" t="s">
        <v>378</v>
      </c>
      <c r="R2" s="384" t="s">
        <v>363</v>
      </c>
      <c r="S2" s="384" t="s">
        <v>382</v>
      </c>
      <c r="T2" s="384" t="s">
        <v>364</v>
      </c>
      <c r="U2" s="384" t="s">
        <v>365</v>
      </c>
      <c r="V2" s="384" t="s">
        <v>381</v>
      </c>
      <c r="W2" s="597" t="s">
        <v>380</v>
      </c>
      <c r="X2" s="384" t="s">
        <v>364</v>
      </c>
      <c r="AA2" s="384" t="s">
        <v>379</v>
      </c>
      <c r="AB2" s="384" t="s">
        <v>378</v>
      </c>
      <c r="AC2" s="384" t="s">
        <v>363</v>
      </c>
      <c r="AD2" s="384" t="s">
        <v>382</v>
      </c>
      <c r="AE2" s="384" t="s">
        <v>364</v>
      </c>
      <c r="AF2" s="384" t="s">
        <v>365</v>
      </c>
      <c r="AG2" s="384" t="s">
        <v>381</v>
      </c>
      <c r="AH2" s="597" t="s">
        <v>380</v>
      </c>
      <c r="AI2" s="384"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599">
        <f t="shared" ca="1" si="0"/>
        <v>8.3333333333333329E-2</v>
      </c>
      <c r="T3" s="16">
        <f t="shared" ca="1" si="0"/>
        <v>0</v>
      </c>
      <c r="U3" s="16">
        <f t="shared" ca="1" si="0"/>
        <v>6</v>
      </c>
      <c r="V3" s="599">
        <f t="shared" ca="1" si="0"/>
        <v>0.25</v>
      </c>
      <c r="W3" s="16">
        <f t="shared" ca="1" si="0"/>
        <v>1</v>
      </c>
      <c r="X3" s="16">
        <f t="shared" ref="X3:X50" ca="1" si="1">IFERROR(IF(Q3=$L$2,1,0),0)</f>
        <v>0</v>
      </c>
      <c r="AA3" s="16">
        <v>1</v>
      </c>
      <c r="AB3" s="16" t="str">
        <f ca="1">Idiomas!D202</f>
        <v>Alemania</v>
      </c>
      <c r="AC3" s="598">
        <v>2</v>
      </c>
      <c r="AD3" s="599">
        <f>ABS(AC3/24)</f>
        <v>8.3333333333333329E-2</v>
      </c>
      <c r="AE3" s="16">
        <v>0</v>
      </c>
      <c r="AF3" s="16">
        <f ca="1">AC3-$M$2</f>
        <v>6</v>
      </c>
      <c r="AG3" s="599">
        <f ca="1">ABS(AF3/24)</f>
        <v>0.25</v>
      </c>
      <c r="AH3" s="16">
        <f ca="1">IF(AC3&gt;$M$2,1,IF(AC3=$M$2,0,-1))</f>
        <v>1</v>
      </c>
      <c r="AI3" s="16">
        <f ca="1">+COUNTIF($AB$3:$AB$50,"&lt;="&amp;AB3)</f>
        <v>1</v>
      </c>
    </row>
    <row r="4" spans="1:35" ht="15.5">
      <c r="A4" s="568">
        <v>46184.625</v>
      </c>
      <c r="B4" s="16"/>
      <c r="C4" s="568">
        <f t="shared" ref="C4:C9" ca="1" si="2">A4+INDEX($V$3:$V$86,MATCH($C$3,$P$3:$P$86,0))*INDEX($W$3:$W$86,MATCH($C$3,$P$3:$P$86,0))</f>
        <v>46184.875</v>
      </c>
      <c r="D4" s="596"/>
      <c r="E4" s="596"/>
      <c r="P4" s="16">
        <v>2</v>
      </c>
      <c r="Q4" s="16" t="str">
        <f t="shared" ref="Q4:Q50" ca="1" si="3">+INDEX($AB$3:$AB$50,MATCH(P4,$AI$3:$AI$50,0))</f>
        <v>Arabia Saudita</v>
      </c>
      <c r="R4" s="16">
        <f t="shared" ca="1" si="0"/>
        <v>3</v>
      </c>
      <c r="S4" s="599">
        <f t="shared" ca="1" si="0"/>
        <v>0.125</v>
      </c>
      <c r="T4" s="16">
        <f t="shared" ca="1" si="0"/>
        <v>0</v>
      </c>
      <c r="U4" s="16">
        <f t="shared" ca="1" si="0"/>
        <v>7</v>
      </c>
      <c r="V4" s="599">
        <f t="shared" ca="1" si="0"/>
        <v>0.29166666666666669</v>
      </c>
      <c r="W4" s="16">
        <f t="shared" ca="1" si="0"/>
        <v>1</v>
      </c>
      <c r="X4" s="16">
        <f t="shared" ca="1" si="1"/>
        <v>0</v>
      </c>
      <c r="AA4" s="16">
        <v>2</v>
      </c>
      <c r="AB4" s="16" t="str">
        <f ca="1">Idiomas!D203</f>
        <v>Arabia Saudita</v>
      </c>
      <c r="AC4" s="598">
        <v>3</v>
      </c>
      <c r="AD4" s="599">
        <f t="shared" ref="AD4:AD67" si="4">ABS(AC4/24)</f>
        <v>0.125</v>
      </c>
      <c r="AE4" s="16">
        <v>0</v>
      </c>
      <c r="AF4" s="16">
        <f t="shared" ref="AF4:AF50" ca="1" si="5">AC4-$M$2</f>
        <v>7</v>
      </c>
      <c r="AG4" s="599">
        <f t="shared" ref="AG4:AG67" ca="1" si="6">ABS(AF4/24)</f>
        <v>0.29166666666666669</v>
      </c>
      <c r="AH4" s="16">
        <f t="shared" ref="AH4:AH50" ca="1" si="7">IF(AC4&gt;$M$2,1,IF(AC4=$M$2,0,-1))</f>
        <v>1</v>
      </c>
      <c r="AI4" s="16">
        <f t="shared" ref="AI4:AI50" ca="1" si="8">+COUNTIF($AB$3:$AB$50,"&lt;="&amp;AB4)</f>
        <v>2</v>
      </c>
    </row>
    <row r="5" spans="1:35" ht="15.5">
      <c r="A5" s="568">
        <v>46184.916666666664</v>
      </c>
      <c r="B5" s="16"/>
      <c r="C5" s="568">
        <f t="shared" ca="1" si="2"/>
        <v>46185.166666666664</v>
      </c>
      <c r="D5" s="596"/>
      <c r="E5" s="596"/>
      <c r="P5" s="16">
        <v>3</v>
      </c>
      <c r="Q5" s="16" t="str">
        <f t="shared" ca="1" si="3"/>
        <v>Argelia</v>
      </c>
      <c r="R5" s="16">
        <f t="shared" ca="1" si="0"/>
        <v>1</v>
      </c>
      <c r="S5" s="599">
        <f t="shared" ca="1" si="0"/>
        <v>4.1666666666666664E-2</v>
      </c>
      <c r="T5" s="16">
        <f t="shared" ca="1" si="0"/>
        <v>0</v>
      </c>
      <c r="U5" s="16">
        <f t="shared" ca="1" si="0"/>
        <v>5</v>
      </c>
      <c r="V5" s="599">
        <f t="shared" ca="1" si="0"/>
        <v>0.20833333333333334</v>
      </c>
      <c r="W5" s="16">
        <f t="shared" ca="1" si="0"/>
        <v>1</v>
      </c>
      <c r="X5" s="16">
        <f t="shared" ca="1" si="1"/>
        <v>0</v>
      </c>
      <c r="AA5" s="16">
        <v>3</v>
      </c>
      <c r="AB5" s="16" t="str">
        <f ca="1">Idiomas!D204</f>
        <v>Argelia</v>
      </c>
      <c r="AC5" s="598">
        <v>1</v>
      </c>
      <c r="AD5" s="599">
        <f t="shared" si="4"/>
        <v>4.1666666666666664E-2</v>
      </c>
      <c r="AE5" s="16">
        <v>0</v>
      </c>
      <c r="AF5" s="16">
        <f t="shared" ca="1" si="5"/>
        <v>5</v>
      </c>
      <c r="AG5" s="599">
        <f t="shared" ca="1" si="6"/>
        <v>0.20833333333333334</v>
      </c>
      <c r="AH5" s="16">
        <f t="shared" ca="1" si="7"/>
        <v>1</v>
      </c>
      <c r="AI5" s="16">
        <f t="shared" ca="1" si="8"/>
        <v>3</v>
      </c>
    </row>
    <row r="6" spans="1:35" ht="15.5">
      <c r="A6" s="568">
        <v>46191.5</v>
      </c>
      <c r="B6" s="16"/>
      <c r="C6" s="568">
        <f t="shared" ca="1" si="2"/>
        <v>46191.75</v>
      </c>
      <c r="D6" s="596"/>
      <c r="E6" s="596"/>
      <c r="P6" s="16">
        <v>4</v>
      </c>
      <c r="Q6" s="16" t="str">
        <f t="shared" ca="1" si="3"/>
        <v>Argentina</v>
      </c>
      <c r="R6" s="16">
        <f t="shared" ca="1" si="0"/>
        <v>-3</v>
      </c>
      <c r="S6" s="599">
        <f t="shared" ca="1" si="0"/>
        <v>0.125</v>
      </c>
      <c r="T6" s="16">
        <f t="shared" ca="1" si="0"/>
        <v>0</v>
      </c>
      <c r="U6" s="16">
        <f t="shared" ca="1" si="0"/>
        <v>1</v>
      </c>
      <c r="V6" s="599">
        <f t="shared" ca="1" si="0"/>
        <v>4.1666666666666664E-2</v>
      </c>
      <c r="W6" s="16">
        <f t="shared" ca="1" si="0"/>
        <v>1</v>
      </c>
      <c r="X6" s="16">
        <f t="shared" ca="1" si="1"/>
        <v>0</v>
      </c>
      <c r="AA6" s="16">
        <v>4</v>
      </c>
      <c r="AB6" s="16" t="str">
        <f ca="1">Idiomas!D205</f>
        <v>Argentina</v>
      </c>
      <c r="AC6" s="598">
        <v>-3</v>
      </c>
      <c r="AD6" s="599">
        <f t="shared" si="4"/>
        <v>0.125</v>
      </c>
      <c r="AE6" s="16">
        <v>0</v>
      </c>
      <c r="AF6" s="16">
        <f t="shared" ca="1" si="5"/>
        <v>1</v>
      </c>
      <c r="AG6" s="599">
        <f t="shared" ca="1" si="6"/>
        <v>4.1666666666666664E-2</v>
      </c>
      <c r="AH6" s="16">
        <f t="shared" ca="1" si="7"/>
        <v>1</v>
      </c>
      <c r="AI6" s="16">
        <f t="shared" ca="1" si="8"/>
        <v>4</v>
      </c>
    </row>
    <row r="7" spans="1:35" ht="15.5">
      <c r="A7" s="568">
        <v>46191.875</v>
      </c>
      <c r="B7" s="16"/>
      <c r="C7" s="568">
        <f t="shared" ca="1" si="2"/>
        <v>46192.125</v>
      </c>
      <c r="D7" s="596"/>
      <c r="E7" s="596"/>
      <c r="P7" s="16">
        <v>5</v>
      </c>
      <c r="Q7" s="16" t="str">
        <f t="shared" ca="1" si="3"/>
        <v>Australia</v>
      </c>
      <c r="R7" s="16">
        <f t="shared" ca="1" si="0"/>
        <v>10.5</v>
      </c>
      <c r="S7" s="599">
        <f t="shared" ca="1" si="0"/>
        <v>0.4375</v>
      </c>
      <c r="T7" s="16">
        <f t="shared" ca="1" si="0"/>
        <v>0</v>
      </c>
      <c r="U7" s="16">
        <f t="shared" ca="1" si="0"/>
        <v>14.5</v>
      </c>
      <c r="V7" s="599">
        <f t="shared" ca="1" si="0"/>
        <v>0.60416666666666663</v>
      </c>
      <c r="W7" s="16">
        <f t="shared" ca="1" si="0"/>
        <v>1</v>
      </c>
      <c r="X7" s="16">
        <f t="shared" ca="1" si="1"/>
        <v>0</v>
      </c>
      <c r="AA7" s="16">
        <v>5</v>
      </c>
      <c r="AB7" s="16" t="str">
        <f ca="1">Idiomas!D206</f>
        <v>Australia</v>
      </c>
      <c r="AC7" s="598">
        <v>10.5</v>
      </c>
      <c r="AD7" s="599">
        <f t="shared" si="4"/>
        <v>0.4375</v>
      </c>
      <c r="AE7" s="16">
        <v>0</v>
      </c>
      <c r="AF7" s="16">
        <f t="shared" ca="1" si="5"/>
        <v>14.5</v>
      </c>
      <c r="AG7" s="599">
        <f t="shared" ca="1" si="6"/>
        <v>0.60416666666666663</v>
      </c>
      <c r="AH7" s="16">
        <f t="shared" ca="1" si="7"/>
        <v>1</v>
      </c>
      <c r="AI7" s="16">
        <f t="shared" ca="1" si="8"/>
        <v>5</v>
      </c>
    </row>
    <row r="8" spans="1:35" ht="15.5">
      <c r="A8" s="568">
        <v>46197.875</v>
      </c>
      <c r="B8" s="16"/>
      <c r="C8" s="568">
        <f t="shared" ca="1" si="2"/>
        <v>46198.125</v>
      </c>
      <c r="D8" s="596"/>
      <c r="E8" s="596"/>
      <c r="P8" s="16">
        <v>6</v>
      </c>
      <c r="Q8" s="16" t="str">
        <f t="shared" ca="1" si="3"/>
        <v>Austria</v>
      </c>
      <c r="R8" s="16">
        <f t="shared" ca="1" si="0"/>
        <v>2</v>
      </c>
      <c r="S8" s="599">
        <f t="shared" ca="1" si="0"/>
        <v>8.3333333333333329E-2</v>
      </c>
      <c r="T8" s="16">
        <f t="shared" ca="1" si="0"/>
        <v>0</v>
      </c>
      <c r="U8" s="16">
        <f t="shared" ca="1" si="0"/>
        <v>6</v>
      </c>
      <c r="V8" s="599">
        <f t="shared" ca="1" si="0"/>
        <v>0.25</v>
      </c>
      <c r="W8" s="16">
        <f t="shared" ca="1" si="0"/>
        <v>1</v>
      </c>
      <c r="X8" s="16">
        <f t="shared" ca="1" si="1"/>
        <v>0</v>
      </c>
      <c r="AA8" s="16">
        <v>6</v>
      </c>
      <c r="AB8" s="16" t="str">
        <f ca="1">Idiomas!D207</f>
        <v>Austria</v>
      </c>
      <c r="AC8" s="598">
        <v>2</v>
      </c>
      <c r="AD8" s="599">
        <f t="shared" si="4"/>
        <v>8.3333333333333329E-2</v>
      </c>
      <c r="AE8" s="16">
        <v>0</v>
      </c>
      <c r="AF8" s="16">
        <f t="shared" ca="1" si="5"/>
        <v>6</v>
      </c>
      <c r="AG8" s="599">
        <f t="shared" ca="1" si="6"/>
        <v>0.25</v>
      </c>
      <c r="AH8" s="16">
        <f t="shared" ca="1" si="7"/>
        <v>1</v>
      </c>
      <c r="AI8" s="16">
        <f t="shared" ca="1" si="8"/>
        <v>6</v>
      </c>
    </row>
    <row r="9" spans="1:35" ht="15.5">
      <c r="A9" s="568">
        <v>46197.875</v>
      </c>
      <c r="B9" s="16"/>
      <c r="C9" s="568">
        <f t="shared" ca="1" si="2"/>
        <v>46198.125</v>
      </c>
      <c r="D9" s="596"/>
      <c r="E9" s="596"/>
      <c r="P9" s="16">
        <v>7</v>
      </c>
      <c r="Q9" s="16" t="str">
        <f t="shared" ca="1" si="3"/>
        <v>Bélgica</v>
      </c>
      <c r="R9" s="16">
        <f t="shared" ca="1" si="0"/>
        <v>2</v>
      </c>
      <c r="S9" s="599">
        <f t="shared" ca="1" si="0"/>
        <v>8.3333333333333329E-2</v>
      </c>
      <c r="T9" s="16">
        <f t="shared" ca="1" si="0"/>
        <v>0</v>
      </c>
      <c r="U9" s="16">
        <f t="shared" ca="1" si="0"/>
        <v>6</v>
      </c>
      <c r="V9" s="599">
        <f t="shared" ca="1" si="0"/>
        <v>0.25</v>
      </c>
      <c r="W9" s="16">
        <f t="shared" ca="1" si="0"/>
        <v>1</v>
      </c>
      <c r="X9" s="16">
        <f t="shared" ca="1" si="1"/>
        <v>0</v>
      </c>
      <c r="AA9" s="16">
        <v>7</v>
      </c>
      <c r="AB9" s="16" t="str">
        <f ca="1">Idiomas!D208</f>
        <v>Bélgica</v>
      </c>
      <c r="AC9" s="598">
        <v>2</v>
      </c>
      <c r="AD9" s="599">
        <f t="shared" si="4"/>
        <v>8.3333333333333329E-2</v>
      </c>
      <c r="AE9" s="16">
        <v>0</v>
      </c>
      <c r="AF9" s="16">
        <f t="shared" ca="1" si="5"/>
        <v>6</v>
      </c>
      <c r="AG9" s="599">
        <f t="shared" ca="1" si="6"/>
        <v>0.25</v>
      </c>
      <c r="AH9" s="16">
        <f t="shared" ca="1" si="7"/>
        <v>1</v>
      </c>
      <c r="AI9" s="16">
        <f t="shared" ca="1" si="8"/>
        <v>7</v>
      </c>
    </row>
    <row r="10" spans="1:35" ht="15.5">
      <c r="A10" s="16"/>
      <c r="B10" s="16"/>
      <c r="C10" s="568"/>
      <c r="P10" s="16">
        <v>8</v>
      </c>
      <c r="Q10" s="16" t="str">
        <f t="shared" ca="1" si="3"/>
        <v>Bosnia y Herzegovina</v>
      </c>
      <c r="R10" s="16">
        <f t="shared" ca="1" si="0"/>
        <v>2</v>
      </c>
      <c r="S10" s="599">
        <f t="shared" ca="1" si="0"/>
        <v>8.3333333333333329E-2</v>
      </c>
      <c r="T10" s="16">
        <f t="shared" ca="1" si="0"/>
        <v>0</v>
      </c>
      <c r="U10" s="16">
        <f t="shared" ca="1" si="0"/>
        <v>6</v>
      </c>
      <c r="V10" s="599">
        <f t="shared" ca="1" si="0"/>
        <v>0.25</v>
      </c>
      <c r="W10" s="16">
        <f t="shared" ca="1" si="0"/>
        <v>1</v>
      </c>
      <c r="X10" s="16">
        <f t="shared" ca="1" si="1"/>
        <v>0</v>
      </c>
      <c r="AA10" s="16">
        <v>8</v>
      </c>
      <c r="AB10" s="16" t="str">
        <f ca="1">Idiomas!D209</f>
        <v>Brasil</v>
      </c>
      <c r="AC10" s="598">
        <v>-3</v>
      </c>
      <c r="AD10" s="599">
        <f t="shared" si="4"/>
        <v>0.125</v>
      </c>
      <c r="AE10" s="16">
        <v>0</v>
      </c>
      <c r="AF10" s="16">
        <f t="shared" ca="1" si="5"/>
        <v>1</v>
      </c>
      <c r="AG10" s="599">
        <f t="shared" ca="1" si="6"/>
        <v>4.1666666666666664E-2</v>
      </c>
      <c r="AH10" s="16">
        <f t="shared" ca="1" si="7"/>
        <v>1</v>
      </c>
      <c r="AI10" s="16">
        <f t="shared" ca="1" si="8"/>
        <v>9</v>
      </c>
    </row>
    <row r="11" spans="1:35" ht="15.5">
      <c r="A11" s="9" t="s">
        <v>42</v>
      </c>
      <c r="B11" s="16"/>
      <c r="C11" s="568"/>
      <c r="P11" s="16">
        <v>9</v>
      </c>
      <c r="Q11" s="16" t="str">
        <f t="shared" ca="1" si="3"/>
        <v>Brasil</v>
      </c>
      <c r="R11" s="16">
        <f t="shared" ca="1" si="0"/>
        <v>-3</v>
      </c>
      <c r="S11" s="599">
        <f t="shared" ca="1" si="0"/>
        <v>0.125</v>
      </c>
      <c r="T11" s="16">
        <f t="shared" ca="1" si="0"/>
        <v>0</v>
      </c>
      <c r="U11" s="16">
        <f t="shared" ca="1" si="0"/>
        <v>1</v>
      </c>
      <c r="V11" s="599">
        <f t="shared" ca="1" si="0"/>
        <v>4.1666666666666664E-2</v>
      </c>
      <c r="W11" s="16">
        <f t="shared" ca="1" si="0"/>
        <v>1</v>
      </c>
      <c r="X11" s="16">
        <f t="shared" ca="1" si="1"/>
        <v>0</v>
      </c>
      <c r="AA11" s="16">
        <v>9</v>
      </c>
      <c r="AB11" s="16" t="str">
        <f ca="1">Idiomas!D210</f>
        <v>Cabo Verde</v>
      </c>
      <c r="AC11" s="598">
        <v>-1</v>
      </c>
      <c r="AD11" s="599">
        <f t="shared" si="4"/>
        <v>4.1666666666666664E-2</v>
      </c>
      <c r="AE11" s="16">
        <v>0</v>
      </c>
      <c r="AF11" s="16">
        <f t="shared" ca="1" si="5"/>
        <v>3</v>
      </c>
      <c r="AG11" s="599">
        <f t="shared" ca="1" si="6"/>
        <v>0.125</v>
      </c>
      <c r="AH11" s="16">
        <f t="shared" ca="1" si="7"/>
        <v>1</v>
      </c>
      <c r="AI11" s="16">
        <f t="shared" ca="1" si="8"/>
        <v>10</v>
      </c>
    </row>
    <row r="12" spans="1:35" ht="15.5">
      <c r="A12" s="568">
        <v>46185.625</v>
      </c>
      <c r="B12" s="16"/>
      <c r="C12" s="568">
        <f t="shared" ref="C12:C17" ca="1" si="9">A12+INDEX($V$3:$V$86,MATCH($C$3,$P$3:$P$86,0))*INDEX($W$3:$W$86,MATCH($C$3,$P$3:$P$86,0))</f>
        <v>46185.875</v>
      </c>
      <c r="D12" s="596"/>
      <c r="E12" s="596"/>
      <c r="P12" s="16">
        <v>10</v>
      </c>
      <c r="Q12" s="16" t="str">
        <f t="shared" ca="1" si="3"/>
        <v>Cabo Verde</v>
      </c>
      <c r="R12" s="16">
        <f t="shared" ca="1" si="0"/>
        <v>-1</v>
      </c>
      <c r="S12" s="599">
        <f t="shared" ca="1" si="0"/>
        <v>4.1666666666666664E-2</v>
      </c>
      <c r="T12" s="16">
        <f t="shared" ca="1" si="0"/>
        <v>0</v>
      </c>
      <c r="U12" s="16">
        <f t="shared" ca="1" si="0"/>
        <v>3</v>
      </c>
      <c r="V12" s="599">
        <f t="shared" ca="1" si="0"/>
        <v>0.125</v>
      </c>
      <c r="W12" s="16">
        <f t="shared" ca="1" si="0"/>
        <v>1</v>
      </c>
      <c r="X12" s="16">
        <f t="shared" ca="1" si="1"/>
        <v>0</v>
      </c>
      <c r="AA12" s="16">
        <v>10</v>
      </c>
      <c r="AB12" s="16" t="str">
        <f ca="1">Idiomas!D211</f>
        <v>Canadá</v>
      </c>
      <c r="AC12" s="598">
        <v>-4</v>
      </c>
      <c r="AD12" s="599">
        <f t="shared" si="4"/>
        <v>0.16666666666666666</v>
      </c>
      <c r="AE12" s="16">
        <v>0</v>
      </c>
      <c r="AF12" s="16">
        <f t="shared" ca="1" si="5"/>
        <v>0</v>
      </c>
      <c r="AG12" s="599">
        <f t="shared" ca="1" si="6"/>
        <v>0</v>
      </c>
      <c r="AH12" s="16">
        <f t="shared" ca="1" si="7"/>
        <v>0</v>
      </c>
      <c r="AI12" s="16">
        <f t="shared" ca="1" si="8"/>
        <v>11</v>
      </c>
    </row>
    <row r="13" spans="1:35" ht="15.5">
      <c r="A13" s="568">
        <v>46186.625</v>
      </c>
      <c r="B13" s="16"/>
      <c r="C13" s="568">
        <f t="shared" ca="1" si="9"/>
        <v>46186.875</v>
      </c>
      <c r="D13" s="596"/>
      <c r="E13" s="596"/>
      <c r="P13" s="16">
        <v>11</v>
      </c>
      <c r="Q13" s="16" t="str">
        <f t="shared" ca="1" si="3"/>
        <v>Canadá</v>
      </c>
      <c r="R13" s="16">
        <f t="shared" ref="R13:W28" ca="1" si="10">+INDEX($AC$3:$AH$86,MATCH($Q13,$AB$3:$AB$86,0),MATCH(R$2,$AC$2:$AH$2,0))</f>
        <v>-4</v>
      </c>
      <c r="S13" s="599">
        <f t="shared" ca="1" si="10"/>
        <v>0.16666666666666666</v>
      </c>
      <c r="T13" s="16">
        <f t="shared" ca="1" si="0"/>
        <v>0</v>
      </c>
      <c r="U13" s="16">
        <f t="shared" ca="1" si="10"/>
        <v>0</v>
      </c>
      <c r="V13" s="599">
        <f t="shared" ca="1" si="10"/>
        <v>0</v>
      </c>
      <c r="W13" s="16">
        <f t="shared" ca="1" si="10"/>
        <v>0</v>
      </c>
      <c r="X13" s="16">
        <f t="shared" ca="1" si="1"/>
        <v>0</v>
      </c>
      <c r="AA13" s="16">
        <v>11</v>
      </c>
      <c r="AB13" s="16" t="str">
        <f ca="1">Idiomas!D212</f>
        <v>Catar</v>
      </c>
      <c r="AC13" s="598">
        <v>3</v>
      </c>
      <c r="AD13" s="599">
        <f t="shared" si="4"/>
        <v>0.125</v>
      </c>
      <c r="AE13" s="16">
        <v>0</v>
      </c>
      <c r="AF13" s="16">
        <f t="shared" ca="1" si="5"/>
        <v>7</v>
      </c>
      <c r="AG13" s="599">
        <f t="shared" ca="1" si="6"/>
        <v>0.29166666666666669</v>
      </c>
      <c r="AH13" s="16">
        <f t="shared" ca="1" si="7"/>
        <v>1</v>
      </c>
      <c r="AI13" s="16">
        <f t="shared" ca="1" si="8"/>
        <v>12</v>
      </c>
    </row>
    <row r="14" spans="1:35" ht="15.5">
      <c r="A14" s="568">
        <v>46191.625</v>
      </c>
      <c r="B14" s="16"/>
      <c r="C14" s="568">
        <f t="shared" ca="1" si="9"/>
        <v>46191.875</v>
      </c>
      <c r="D14" s="596"/>
      <c r="E14" s="596"/>
      <c r="P14" s="16">
        <v>12</v>
      </c>
      <c r="Q14" s="16" t="str">
        <f t="shared" ca="1" si="3"/>
        <v>Catar</v>
      </c>
      <c r="R14" s="16">
        <f t="shared" ca="1" si="10"/>
        <v>3</v>
      </c>
      <c r="S14" s="599">
        <f t="shared" ca="1" si="10"/>
        <v>0.125</v>
      </c>
      <c r="T14" s="16">
        <f t="shared" ca="1" si="0"/>
        <v>0</v>
      </c>
      <c r="U14" s="16">
        <f t="shared" ca="1" si="10"/>
        <v>7</v>
      </c>
      <c r="V14" s="599">
        <f t="shared" ca="1" si="10"/>
        <v>0.29166666666666669</v>
      </c>
      <c r="W14" s="16">
        <f t="shared" ca="1" si="10"/>
        <v>1</v>
      </c>
      <c r="X14" s="16">
        <f t="shared" ca="1" si="1"/>
        <v>0</v>
      </c>
      <c r="AA14" s="16">
        <v>12</v>
      </c>
      <c r="AB14" s="16" t="str">
        <f ca="1">Idiomas!D213</f>
        <v>Colombia</v>
      </c>
      <c r="AC14" s="598">
        <v>-5</v>
      </c>
      <c r="AD14" s="599">
        <f t="shared" si="4"/>
        <v>0.20833333333333334</v>
      </c>
      <c r="AE14" s="16">
        <v>0</v>
      </c>
      <c r="AF14" s="16">
        <f t="shared" ca="1" si="5"/>
        <v>-1</v>
      </c>
      <c r="AG14" s="599">
        <f t="shared" ca="1" si="6"/>
        <v>4.1666666666666664E-2</v>
      </c>
      <c r="AH14" s="16">
        <f t="shared" ca="1" si="7"/>
        <v>-1</v>
      </c>
      <c r="AI14" s="16">
        <f t="shared" ca="1" si="8"/>
        <v>13</v>
      </c>
    </row>
    <row r="15" spans="1:35" ht="15.5">
      <c r="A15" s="568">
        <v>46191.75</v>
      </c>
      <c r="B15" s="16"/>
      <c r="C15" s="568">
        <f t="shared" ca="1" si="9"/>
        <v>46192</v>
      </c>
      <c r="D15" s="596"/>
      <c r="E15" s="596"/>
      <c r="P15" s="16">
        <v>13</v>
      </c>
      <c r="Q15" s="16" t="str">
        <f t="shared" ca="1" si="3"/>
        <v>Colombia</v>
      </c>
      <c r="R15" s="16">
        <f t="shared" ca="1" si="10"/>
        <v>-5</v>
      </c>
      <c r="S15" s="599">
        <f t="shared" ca="1" si="10"/>
        <v>0.20833333333333334</v>
      </c>
      <c r="T15" s="16">
        <f t="shared" ca="1" si="0"/>
        <v>0</v>
      </c>
      <c r="U15" s="16">
        <f t="shared" ca="1" si="10"/>
        <v>-1</v>
      </c>
      <c r="V15" s="599">
        <f t="shared" ca="1" si="10"/>
        <v>4.1666666666666664E-2</v>
      </c>
      <c r="W15" s="16">
        <f t="shared" ca="1" si="10"/>
        <v>-1</v>
      </c>
      <c r="X15" s="16">
        <f t="shared" ca="1" si="1"/>
        <v>0</v>
      </c>
      <c r="AA15" s="16">
        <v>13</v>
      </c>
      <c r="AB15" s="16" t="str">
        <f ca="1">Idiomas!D214</f>
        <v>Corea del Sur</v>
      </c>
      <c r="AC15" s="598">
        <v>9</v>
      </c>
      <c r="AD15" s="599">
        <f t="shared" si="4"/>
        <v>0.375</v>
      </c>
      <c r="AE15" s="16">
        <v>0</v>
      </c>
      <c r="AF15" s="16">
        <f t="shared" ca="1" si="5"/>
        <v>13</v>
      </c>
      <c r="AG15" s="599">
        <f t="shared" ca="1" si="6"/>
        <v>0.54166666666666663</v>
      </c>
      <c r="AH15" s="16">
        <f t="shared" ca="1" si="7"/>
        <v>1</v>
      </c>
      <c r="AI15" s="16">
        <f t="shared" ca="1" si="8"/>
        <v>14</v>
      </c>
    </row>
    <row r="16" spans="1:35" ht="15.5">
      <c r="A16" s="568">
        <v>46197.625</v>
      </c>
      <c r="B16" s="16"/>
      <c r="C16" s="568">
        <f t="shared" ca="1" si="9"/>
        <v>46197.875</v>
      </c>
      <c r="D16" s="596"/>
      <c r="E16" s="596"/>
      <c r="P16" s="16">
        <v>14</v>
      </c>
      <c r="Q16" s="16" t="str">
        <f t="shared" ca="1" si="3"/>
        <v>Corea del Sur</v>
      </c>
      <c r="R16" s="16">
        <f t="shared" ca="1" si="10"/>
        <v>9</v>
      </c>
      <c r="S16" s="599">
        <f t="shared" ca="1" si="10"/>
        <v>0.375</v>
      </c>
      <c r="T16" s="16">
        <f t="shared" ca="1" si="0"/>
        <v>0</v>
      </c>
      <c r="U16" s="16">
        <f t="shared" ca="1" si="10"/>
        <v>13</v>
      </c>
      <c r="V16" s="599">
        <f t="shared" ca="1" si="10"/>
        <v>0.54166666666666663</v>
      </c>
      <c r="W16" s="16">
        <f t="shared" ca="1" si="10"/>
        <v>1</v>
      </c>
      <c r="X16" s="16">
        <f t="shared" ca="1" si="1"/>
        <v>0</v>
      </c>
      <c r="AA16" s="16">
        <v>14</v>
      </c>
      <c r="AB16" s="16" t="str">
        <f ca="1">Idiomas!D215</f>
        <v>Costa de Marfil</v>
      </c>
      <c r="AC16" s="598">
        <v>0</v>
      </c>
      <c r="AD16" s="599">
        <f t="shared" si="4"/>
        <v>0</v>
      </c>
      <c r="AE16" s="16">
        <v>0</v>
      </c>
      <c r="AF16" s="16">
        <f t="shared" ca="1" si="5"/>
        <v>4</v>
      </c>
      <c r="AG16" s="599">
        <f t="shared" ca="1" si="6"/>
        <v>0.16666666666666666</v>
      </c>
      <c r="AH16" s="16">
        <f t="shared" ca="1" si="7"/>
        <v>1</v>
      </c>
      <c r="AI16" s="16">
        <f t="shared" ca="1" si="8"/>
        <v>15</v>
      </c>
    </row>
    <row r="17" spans="1:35" ht="15.5">
      <c r="A17" s="568">
        <v>46197.625</v>
      </c>
      <c r="B17" s="16"/>
      <c r="C17" s="568">
        <f t="shared" ca="1" si="9"/>
        <v>46197.875</v>
      </c>
      <c r="D17" s="596"/>
      <c r="E17" s="596"/>
      <c r="P17" s="16">
        <v>15</v>
      </c>
      <c r="Q17" s="16" t="str">
        <f t="shared" ca="1" si="3"/>
        <v>Costa de Marfil</v>
      </c>
      <c r="R17" s="16">
        <f t="shared" ca="1" si="10"/>
        <v>0</v>
      </c>
      <c r="S17" s="599">
        <f t="shared" ca="1" si="10"/>
        <v>0</v>
      </c>
      <c r="T17" s="16">
        <f t="shared" ca="1" si="0"/>
        <v>0</v>
      </c>
      <c r="U17" s="16">
        <f t="shared" ca="1" si="10"/>
        <v>4</v>
      </c>
      <c r="V17" s="599">
        <f t="shared" ca="1" si="10"/>
        <v>0.16666666666666666</v>
      </c>
      <c r="W17" s="16">
        <f t="shared" ca="1" si="10"/>
        <v>1</v>
      </c>
      <c r="X17" s="16">
        <f t="shared" ca="1" si="1"/>
        <v>0</v>
      </c>
      <c r="AA17" s="16">
        <v>15</v>
      </c>
      <c r="AB17" s="16" t="str">
        <f ca="1">Idiomas!D216</f>
        <v>Croacia</v>
      </c>
      <c r="AC17" s="598">
        <v>2</v>
      </c>
      <c r="AD17" s="599">
        <f t="shared" si="4"/>
        <v>8.3333333333333329E-2</v>
      </c>
      <c r="AE17" s="16">
        <v>0</v>
      </c>
      <c r="AF17" s="16">
        <f t="shared" ca="1" si="5"/>
        <v>6</v>
      </c>
      <c r="AG17" s="599">
        <f t="shared" ca="1" si="6"/>
        <v>0.25</v>
      </c>
      <c r="AH17" s="16">
        <f t="shared" ca="1" si="7"/>
        <v>1</v>
      </c>
      <c r="AI17" s="16">
        <f t="shared" ca="1" si="8"/>
        <v>16</v>
      </c>
    </row>
    <row r="18" spans="1:35" ht="15.5">
      <c r="A18" s="16"/>
      <c r="B18" s="16"/>
      <c r="C18" s="568"/>
      <c r="P18" s="16">
        <v>16</v>
      </c>
      <c r="Q18" s="16" t="str">
        <f t="shared" ca="1" si="3"/>
        <v>Croacia</v>
      </c>
      <c r="R18" s="16">
        <f t="shared" ca="1" si="10"/>
        <v>2</v>
      </c>
      <c r="S18" s="599">
        <f t="shared" ca="1" si="10"/>
        <v>8.3333333333333329E-2</v>
      </c>
      <c r="T18" s="16">
        <f t="shared" ca="1" si="0"/>
        <v>0</v>
      </c>
      <c r="U18" s="16">
        <f t="shared" ca="1" si="10"/>
        <v>6</v>
      </c>
      <c r="V18" s="599">
        <f t="shared" ca="1" si="10"/>
        <v>0.25</v>
      </c>
      <c r="W18" s="16">
        <f t="shared" ca="1" si="10"/>
        <v>1</v>
      </c>
      <c r="X18" s="16">
        <f t="shared" ca="1" si="1"/>
        <v>0</v>
      </c>
      <c r="AA18" s="16">
        <v>16</v>
      </c>
      <c r="AB18" s="16" t="str">
        <f ca="1">Idiomas!D217</f>
        <v>Curazao</v>
      </c>
      <c r="AC18" s="598">
        <v>-4</v>
      </c>
      <c r="AD18" s="599">
        <f t="shared" si="4"/>
        <v>0.16666666666666666</v>
      </c>
      <c r="AE18" s="16">
        <v>0</v>
      </c>
      <c r="AF18" s="16">
        <f t="shared" ca="1" si="5"/>
        <v>0</v>
      </c>
      <c r="AG18" s="599">
        <f t="shared" ca="1" si="6"/>
        <v>0</v>
      </c>
      <c r="AH18" s="16">
        <f t="shared" ca="1" si="7"/>
        <v>0</v>
      </c>
      <c r="AI18" s="16">
        <f t="shared" ca="1" si="8"/>
        <v>17</v>
      </c>
    </row>
    <row r="19" spans="1:35" ht="15.5">
      <c r="A19" s="9" t="s">
        <v>9</v>
      </c>
      <c r="B19" s="16"/>
      <c r="C19" s="568"/>
      <c r="P19" s="16">
        <v>17</v>
      </c>
      <c r="Q19" s="16" t="str">
        <f t="shared" ca="1" si="3"/>
        <v>Curazao</v>
      </c>
      <c r="R19" s="16">
        <f t="shared" ca="1" si="10"/>
        <v>-4</v>
      </c>
      <c r="S19" s="599">
        <f t="shared" ca="1" si="10"/>
        <v>0.16666666666666666</v>
      </c>
      <c r="T19" s="16">
        <f t="shared" ca="1" si="10"/>
        <v>0</v>
      </c>
      <c r="U19" s="16">
        <f t="shared" ca="1" si="10"/>
        <v>0</v>
      </c>
      <c r="V19" s="599">
        <f t="shared" ca="1" si="10"/>
        <v>0</v>
      </c>
      <c r="W19" s="16">
        <f t="shared" ca="1" si="10"/>
        <v>0</v>
      </c>
      <c r="X19" s="16">
        <f t="shared" ca="1" si="1"/>
        <v>0</v>
      </c>
      <c r="AA19" s="16">
        <v>17</v>
      </c>
      <c r="AB19" s="16" t="str">
        <f ca="1">Idiomas!D218</f>
        <v>Ecuador</v>
      </c>
      <c r="AC19" s="598">
        <v>-5</v>
      </c>
      <c r="AD19" s="599">
        <f t="shared" si="4"/>
        <v>0.20833333333333334</v>
      </c>
      <c r="AE19" s="16">
        <v>0</v>
      </c>
      <c r="AF19" s="16">
        <f t="shared" ca="1" si="5"/>
        <v>-1</v>
      </c>
      <c r="AG19" s="599">
        <f t="shared" ca="1" si="6"/>
        <v>4.1666666666666664E-2</v>
      </c>
      <c r="AH19" s="16">
        <f t="shared" ca="1" si="7"/>
        <v>-1</v>
      </c>
      <c r="AI19" s="16">
        <f t="shared" ca="1" si="8"/>
        <v>18</v>
      </c>
    </row>
    <row r="20" spans="1:35" ht="15.5">
      <c r="A20" s="568">
        <v>46186.75</v>
      </c>
      <c r="B20" s="16"/>
      <c r="C20" s="568">
        <f t="shared" ref="C20:C25" ca="1" si="11">A20+INDEX($V$3:$V$86,MATCH($C$3,$P$3:$P$86,0))*INDEX($W$3:$W$86,MATCH($C$3,$P$3:$P$86,0))</f>
        <v>46187</v>
      </c>
      <c r="D20" s="596"/>
      <c r="E20" s="596"/>
      <c r="P20" s="16">
        <v>18</v>
      </c>
      <c r="Q20" s="16" t="str">
        <f t="shared" ca="1" si="3"/>
        <v>Ecuador</v>
      </c>
      <c r="R20" s="16">
        <f t="shared" ca="1" si="10"/>
        <v>-5</v>
      </c>
      <c r="S20" s="599">
        <f t="shared" ca="1" si="10"/>
        <v>0.20833333333333334</v>
      </c>
      <c r="T20" s="16">
        <f t="shared" ca="1" si="10"/>
        <v>0</v>
      </c>
      <c r="U20" s="16">
        <f t="shared" ca="1" si="10"/>
        <v>-1</v>
      </c>
      <c r="V20" s="599">
        <f t="shared" ca="1" si="10"/>
        <v>4.1666666666666664E-2</v>
      </c>
      <c r="W20" s="16">
        <f t="shared" ca="1" si="10"/>
        <v>-1</v>
      </c>
      <c r="X20" s="16">
        <f t="shared" ca="1" si="1"/>
        <v>0</v>
      </c>
      <c r="AA20" s="16">
        <v>18</v>
      </c>
      <c r="AB20" s="16" t="str">
        <f ca="1">Idiomas!D219</f>
        <v>Egipto</v>
      </c>
      <c r="AC20" s="598">
        <v>3</v>
      </c>
      <c r="AD20" s="599">
        <f t="shared" si="4"/>
        <v>0.125</v>
      </c>
      <c r="AE20" s="16">
        <v>0</v>
      </c>
      <c r="AF20" s="16">
        <f t="shared" ca="1" si="5"/>
        <v>7</v>
      </c>
      <c r="AG20" s="599">
        <f t="shared" ca="1" si="6"/>
        <v>0.29166666666666669</v>
      </c>
      <c r="AH20" s="16">
        <f t="shared" ca="1" si="7"/>
        <v>1</v>
      </c>
      <c r="AI20" s="16">
        <f t="shared" ca="1" si="8"/>
        <v>19</v>
      </c>
    </row>
    <row r="21" spans="1:35" ht="15.5">
      <c r="A21" s="568">
        <v>46186.875</v>
      </c>
      <c r="B21" s="16"/>
      <c r="C21" s="568">
        <f t="shared" ca="1" si="11"/>
        <v>46187.125</v>
      </c>
      <c r="D21" s="596"/>
      <c r="E21" s="596"/>
      <c r="P21" s="16">
        <v>19</v>
      </c>
      <c r="Q21" s="16" t="str">
        <f t="shared" ca="1" si="3"/>
        <v>Egipto</v>
      </c>
      <c r="R21" s="16">
        <f t="shared" ca="1" si="10"/>
        <v>3</v>
      </c>
      <c r="S21" s="599">
        <f t="shared" ca="1" si="10"/>
        <v>0.125</v>
      </c>
      <c r="T21" s="16">
        <f t="shared" ca="1" si="10"/>
        <v>0</v>
      </c>
      <c r="U21" s="16">
        <f t="shared" ca="1" si="10"/>
        <v>7</v>
      </c>
      <c r="V21" s="599">
        <f t="shared" ca="1" si="10"/>
        <v>0.29166666666666669</v>
      </c>
      <c r="W21" s="16">
        <f t="shared" ca="1" si="10"/>
        <v>1</v>
      </c>
      <c r="X21" s="16">
        <f t="shared" ca="1" si="1"/>
        <v>0</v>
      </c>
      <c r="AA21" s="16">
        <v>19</v>
      </c>
      <c r="AB21" s="16" t="str">
        <f ca="1">Idiomas!D220</f>
        <v>Escocia</v>
      </c>
      <c r="AC21" s="598">
        <v>1</v>
      </c>
      <c r="AD21" s="599">
        <f t="shared" si="4"/>
        <v>4.1666666666666664E-2</v>
      </c>
      <c r="AE21" s="16">
        <v>0</v>
      </c>
      <c r="AF21" s="16">
        <f t="shared" ca="1" si="5"/>
        <v>5</v>
      </c>
      <c r="AG21" s="599">
        <f t="shared" ca="1" si="6"/>
        <v>0.20833333333333334</v>
      </c>
      <c r="AH21" s="16">
        <f t="shared" ca="1" si="7"/>
        <v>1</v>
      </c>
      <c r="AI21" s="16">
        <f t="shared" ca="1" si="8"/>
        <v>20</v>
      </c>
    </row>
    <row r="22" spans="1:35" ht="15.5">
      <c r="A22" s="568">
        <v>46192.75</v>
      </c>
      <c r="B22" s="16"/>
      <c r="C22" s="568">
        <f t="shared" ca="1" si="11"/>
        <v>46193</v>
      </c>
      <c r="D22" s="596"/>
      <c r="E22" s="596"/>
      <c r="P22" s="16">
        <v>20</v>
      </c>
      <c r="Q22" s="16" t="str">
        <f t="shared" ca="1" si="3"/>
        <v>Escocia</v>
      </c>
      <c r="R22" s="16">
        <f t="shared" ca="1" si="10"/>
        <v>1</v>
      </c>
      <c r="S22" s="599">
        <f t="shared" ca="1" si="10"/>
        <v>4.1666666666666664E-2</v>
      </c>
      <c r="T22" s="16">
        <f t="shared" ca="1" si="10"/>
        <v>0</v>
      </c>
      <c r="U22" s="16">
        <f t="shared" ca="1" si="10"/>
        <v>5</v>
      </c>
      <c r="V22" s="599">
        <f t="shared" ca="1" si="10"/>
        <v>0.20833333333333334</v>
      </c>
      <c r="W22" s="16">
        <f t="shared" ca="1" si="10"/>
        <v>1</v>
      </c>
      <c r="X22" s="16">
        <f t="shared" ca="1" si="1"/>
        <v>0</v>
      </c>
      <c r="AA22" s="16">
        <v>20</v>
      </c>
      <c r="AB22" s="16" t="str">
        <f ca="1">Idiomas!D221</f>
        <v>España</v>
      </c>
      <c r="AC22" s="598">
        <v>2</v>
      </c>
      <c r="AD22" s="599">
        <f t="shared" si="4"/>
        <v>8.3333333333333329E-2</v>
      </c>
      <c r="AE22" s="16">
        <v>0</v>
      </c>
      <c r="AF22" s="16">
        <f t="shared" ca="1" si="5"/>
        <v>6</v>
      </c>
      <c r="AG22" s="599">
        <f t="shared" ca="1" si="6"/>
        <v>0.25</v>
      </c>
      <c r="AH22" s="16">
        <f t="shared" ca="1" si="7"/>
        <v>1</v>
      </c>
      <c r="AI22" s="16">
        <f t="shared" ca="1" si="8"/>
        <v>21</v>
      </c>
    </row>
    <row r="23" spans="1:35" ht="15.5">
      <c r="A23" s="568">
        <v>46192.854166666664</v>
      </c>
      <c r="B23" s="16"/>
      <c r="C23" s="568">
        <f t="shared" ca="1" si="11"/>
        <v>46193.104166666664</v>
      </c>
      <c r="D23" s="596"/>
      <c r="E23" s="596"/>
      <c r="P23" s="16">
        <v>21</v>
      </c>
      <c r="Q23" s="16" t="str">
        <f t="shared" ca="1" si="3"/>
        <v>España</v>
      </c>
      <c r="R23" s="16">
        <f t="shared" ref="R23:W38" ca="1" si="12">+INDEX($AC$3:$AH$86,MATCH($Q23,$AB$3:$AB$86,0),MATCH(R$2,$AC$2:$AH$2,0))</f>
        <v>2</v>
      </c>
      <c r="S23" s="599">
        <f t="shared" ca="1" si="12"/>
        <v>8.3333333333333329E-2</v>
      </c>
      <c r="T23" s="16">
        <f t="shared" ca="1" si="10"/>
        <v>0</v>
      </c>
      <c r="U23" s="16">
        <f t="shared" ca="1" si="12"/>
        <v>6</v>
      </c>
      <c r="V23" s="599">
        <f t="shared" ca="1" si="12"/>
        <v>0.25</v>
      </c>
      <c r="W23" s="16">
        <f t="shared" ca="1" si="12"/>
        <v>1</v>
      </c>
      <c r="X23" s="16">
        <f t="shared" ca="1" si="1"/>
        <v>0</v>
      </c>
      <c r="AA23" s="16">
        <v>21</v>
      </c>
      <c r="AB23" s="16" t="str">
        <f ca="1">Idiomas!D222</f>
        <v>Estados Unidos</v>
      </c>
      <c r="AC23" s="598">
        <v>-4</v>
      </c>
      <c r="AD23" s="599">
        <f t="shared" si="4"/>
        <v>0.16666666666666666</v>
      </c>
      <c r="AE23" s="16">
        <v>1</v>
      </c>
      <c r="AF23" s="16">
        <f t="shared" ca="1" si="5"/>
        <v>0</v>
      </c>
      <c r="AG23" s="599">
        <f t="shared" ca="1" si="6"/>
        <v>0</v>
      </c>
      <c r="AH23" s="16">
        <f t="shared" ca="1" si="7"/>
        <v>0</v>
      </c>
      <c r="AI23" s="16">
        <f t="shared" ca="1" si="8"/>
        <v>22</v>
      </c>
    </row>
    <row r="24" spans="1:35" ht="15.5">
      <c r="A24" s="568">
        <v>46197.75</v>
      </c>
      <c r="B24" s="16"/>
      <c r="C24" s="568">
        <f t="shared" ca="1" si="11"/>
        <v>46198</v>
      </c>
      <c r="D24" s="596"/>
      <c r="E24" s="596"/>
      <c r="P24" s="16">
        <v>22</v>
      </c>
      <c r="Q24" s="16" t="str">
        <f t="shared" ca="1" si="3"/>
        <v>Estados Unidos</v>
      </c>
      <c r="R24" s="16">
        <f t="shared" ca="1" si="12"/>
        <v>-4</v>
      </c>
      <c r="S24" s="599">
        <f t="shared" ca="1" si="12"/>
        <v>0.16666666666666666</v>
      </c>
      <c r="T24" s="16">
        <f t="shared" ca="1" si="10"/>
        <v>1</v>
      </c>
      <c r="U24" s="16">
        <f t="shared" ca="1" si="12"/>
        <v>0</v>
      </c>
      <c r="V24" s="599">
        <f t="shared" ca="1" si="12"/>
        <v>0</v>
      </c>
      <c r="W24" s="16">
        <f t="shared" ca="1" si="12"/>
        <v>0</v>
      </c>
      <c r="X24" s="16">
        <f t="shared" ca="1" si="1"/>
        <v>1</v>
      </c>
      <c r="AA24" s="16">
        <v>22</v>
      </c>
      <c r="AB24" s="16" t="str">
        <f ca="1">Idiomas!D223</f>
        <v>Francia</v>
      </c>
      <c r="AC24" s="598">
        <v>2</v>
      </c>
      <c r="AD24" s="599">
        <f t="shared" si="4"/>
        <v>8.3333333333333329E-2</v>
      </c>
      <c r="AE24" s="16">
        <v>0</v>
      </c>
      <c r="AF24" s="16">
        <f t="shared" ca="1" si="5"/>
        <v>6</v>
      </c>
      <c r="AG24" s="599">
        <f t="shared" ca="1" si="6"/>
        <v>0.25</v>
      </c>
      <c r="AH24" s="16">
        <f t="shared" ca="1" si="7"/>
        <v>1</v>
      </c>
      <c r="AI24" s="16">
        <f t="shared" ca="1" si="8"/>
        <v>23</v>
      </c>
    </row>
    <row r="25" spans="1:35" ht="15.5">
      <c r="A25" s="568">
        <v>46197.75</v>
      </c>
      <c r="B25" s="16"/>
      <c r="C25" s="568">
        <f t="shared" ca="1" si="11"/>
        <v>46198</v>
      </c>
      <c r="D25" s="596"/>
      <c r="E25" s="596"/>
      <c r="P25" s="16">
        <v>23</v>
      </c>
      <c r="Q25" s="16" t="str">
        <f t="shared" ca="1" si="3"/>
        <v>Francia</v>
      </c>
      <c r="R25" s="16">
        <f t="shared" ca="1" si="12"/>
        <v>2</v>
      </c>
      <c r="S25" s="599">
        <f t="shared" ca="1" si="12"/>
        <v>8.3333333333333329E-2</v>
      </c>
      <c r="T25" s="16">
        <f t="shared" ca="1" si="10"/>
        <v>0</v>
      </c>
      <c r="U25" s="16">
        <f t="shared" ca="1" si="12"/>
        <v>6</v>
      </c>
      <c r="V25" s="599">
        <f t="shared" ca="1" si="12"/>
        <v>0.25</v>
      </c>
      <c r="W25" s="16">
        <f t="shared" ca="1" si="12"/>
        <v>1</v>
      </c>
      <c r="X25" s="16">
        <f t="shared" ca="1" si="1"/>
        <v>0</v>
      </c>
      <c r="AA25" s="16">
        <v>23</v>
      </c>
      <c r="AB25" s="16" t="str">
        <f ca="1">Idiomas!D224</f>
        <v>Ghana</v>
      </c>
      <c r="AC25" s="598">
        <v>0</v>
      </c>
      <c r="AD25" s="599">
        <f t="shared" si="4"/>
        <v>0</v>
      </c>
      <c r="AE25" s="16">
        <v>0</v>
      </c>
      <c r="AF25" s="16">
        <f t="shared" ca="1" si="5"/>
        <v>4</v>
      </c>
      <c r="AG25" s="599">
        <f t="shared" ca="1" si="6"/>
        <v>0.16666666666666666</v>
      </c>
      <c r="AH25" s="16">
        <f t="shared" ca="1" si="7"/>
        <v>1</v>
      </c>
      <c r="AI25" s="16">
        <f t="shared" ca="1" si="8"/>
        <v>24</v>
      </c>
    </row>
    <row r="26" spans="1:35" ht="15.5">
      <c r="A26" s="16"/>
      <c r="B26" s="16"/>
      <c r="C26" s="568"/>
      <c r="E26" s="596"/>
      <c r="P26" s="16">
        <v>24</v>
      </c>
      <c r="Q26" s="16" t="str">
        <f t="shared" ca="1" si="3"/>
        <v>Ghana</v>
      </c>
      <c r="R26" s="16">
        <f t="shared" ca="1" si="12"/>
        <v>0</v>
      </c>
      <c r="S26" s="599">
        <f t="shared" ca="1" si="12"/>
        <v>0</v>
      </c>
      <c r="T26" s="16">
        <f t="shared" ca="1" si="10"/>
        <v>0</v>
      </c>
      <c r="U26" s="16">
        <f t="shared" ca="1" si="12"/>
        <v>4</v>
      </c>
      <c r="V26" s="599">
        <f t="shared" ca="1" si="12"/>
        <v>0.16666666666666666</v>
      </c>
      <c r="W26" s="16">
        <f t="shared" ca="1" si="12"/>
        <v>1</v>
      </c>
      <c r="X26" s="16">
        <f t="shared" ca="1" si="1"/>
        <v>0</v>
      </c>
      <c r="AA26" s="16">
        <v>24</v>
      </c>
      <c r="AB26" s="16" t="str">
        <f ca="1">Idiomas!D225</f>
        <v>Haití</v>
      </c>
      <c r="AC26" s="598">
        <v>-4</v>
      </c>
      <c r="AD26" s="599">
        <f t="shared" si="4"/>
        <v>0.16666666666666666</v>
      </c>
      <c r="AE26" s="16">
        <v>0</v>
      </c>
      <c r="AF26" s="16">
        <f t="shared" ca="1" si="5"/>
        <v>0</v>
      </c>
      <c r="AG26" s="599">
        <f t="shared" ca="1" si="6"/>
        <v>0</v>
      </c>
      <c r="AH26" s="16">
        <f t="shared" ca="1" si="7"/>
        <v>0</v>
      </c>
      <c r="AI26" s="16">
        <f t="shared" ca="1" si="8"/>
        <v>25</v>
      </c>
    </row>
    <row r="27" spans="1:35" ht="15.5">
      <c r="A27" s="9" t="s">
        <v>82</v>
      </c>
      <c r="B27" s="16"/>
      <c r="C27" s="568"/>
      <c r="E27" s="596"/>
      <c r="P27" s="16">
        <v>25</v>
      </c>
      <c r="Q27" s="16" t="str">
        <f t="shared" ca="1" si="3"/>
        <v>Haití</v>
      </c>
      <c r="R27" s="16">
        <f t="shared" ca="1" si="12"/>
        <v>-4</v>
      </c>
      <c r="S27" s="599">
        <f t="shared" ca="1" si="12"/>
        <v>0.16666666666666666</v>
      </c>
      <c r="T27" s="16">
        <f t="shared" ca="1" si="10"/>
        <v>0</v>
      </c>
      <c r="U27" s="16">
        <f t="shared" ca="1" si="12"/>
        <v>0</v>
      </c>
      <c r="V27" s="599">
        <f t="shared" ca="1" si="12"/>
        <v>0</v>
      </c>
      <c r="W27" s="16">
        <f t="shared" ca="1" si="12"/>
        <v>0</v>
      </c>
      <c r="X27" s="16">
        <f t="shared" ca="1" si="1"/>
        <v>0</v>
      </c>
      <c r="AA27" s="16">
        <v>25</v>
      </c>
      <c r="AB27" s="16" t="str">
        <f ca="1">Idiomas!D226</f>
        <v>Inglaterra</v>
      </c>
      <c r="AC27" s="598">
        <v>1</v>
      </c>
      <c r="AD27" s="599">
        <f t="shared" si="4"/>
        <v>4.1666666666666664E-2</v>
      </c>
      <c r="AE27" s="16">
        <v>0</v>
      </c>
      <c r="AF27" s="16">
        <f t="shared" ca="1" si="5"/>
        <v>5</v>
      </c>
      <c r="AG27" s="599">
        <f t="shared" ca="1" si="6"/>
        <v>0.20833333333333334</v>
      </c>
      <c r="AH27" s="16">
        <f t="shared" ca="1" si="7"/>
        <v>1</v>
      </c>
      <c r="AI27" s="16">
        <f t="shared" ca="1" si="8"/>
        <v>26</v>
      </c>
    </row>
    <row r="28" spans="1:35" ht="15.5">
      <c r="A28" s="568">
        <v>46185.875</v>
      </c>
      <c r="B28" s="16"/>
      <c r="C28" s="568">
        <f t="shared" ref="C28:C33" ca="1" si="13">A28+INDEX($V$3:$V$86,MATCH($C$3,$P$3:$P$86,0))*INDEX($W$3:$W$86,MATCH($C$3,$P$3:$P$86,0))</f>
        <v>46186.125</v>
      </c>
      <c r="D28" s="596"/>
      <c r="E28" s="596"/>
      <c r="P28" s="16">
        <v>26</v>
      </c>
      <c r="Q28" s="16" t="str">
        <f t="shared" ca="1" si="3"/>
        <v>Inglaterra</v>
      </c>
      <c r="R28" s="16">
        <f t="shared" ca="1" si="12"/>
        <v>1</v>
      </c>
      <c r="S28" s="599">
        <f t="shared" ca="1" si="12"/>
        <v>4.1666666666666664E-2</v>
      </c>
      <c r="T28" s="16">
        <f t="shared" ca="1" si="10"/>
        <v>0</v>
      </c>
      <c r="U28" s="16">
        <f t="shared" ca="1" si="12"/>
        <v>5</v>
      </c>
      <c r="V28" s="599">
        <f t="shared" ca="1" si="12"/>
        <v>0.20833333333333334</v>
      </c>
      <c r="W28" s="16">
        <f t="shared" ca="1" si="12"/>
        <v>1</v>
      </c>
      <c r="X28" s="16">
        <f t="shared" ca="1" si="1"/>
        <v>0</v>
      </c>
      <c r="AA28" s="16">
        <v>26</v>
      </c>
      <c r="AB28" s="16" t="str">
        <f ca="1">Idiomas!D227</f>
        <v>Irán</v>
      </c>
      <c r="AC28" s="598">
        <f>+INDEX(Credits!$Y$87:$Y$91,MATCH(Credits!$EZ$6144,Credits!$U$87:$U$91,0))</f>
        <v>3.5</v>
      </c>
      <c r="AD28" s="599">
        <f t="shared" si="4"/>
        <v>0.14583333333333334</v>
      </c>
      <c r="AE28" s="16">
        <v>0</v>
      </c>
      <c r="AF28" s="16">
        <f t="shared" ca="1" si="5"/>
        <v>7.5</v>
      </c>
      <c r="AG28" s="599">
        <f t="shared" ca="1" si="6"/>
        <v>0.3125</v>
      </c>
      <c r="AH28" s="16">
        <f t="shared" ca="1" si="7"/>
        <v>1</v>
      </c>
      <c r="AI28" s="16">
        <f t="shared" ca="1" si="8"/>
        <v>28</v>
      </c>
    </row>
    <row r="29" spans="1:35" ht="15.5">
      <c r="A29" s="568">
        <v>46187</v>
      </c>
      <c r="B29" s="16"/>
      <c r="C29" s="568">
        <f t="shared" ca="1" si="13"/>
        <v>46187.25</v>
      </c>
      <c r="D29" s="596"/>
      <c r="E29" s="596"/>
      <c r="P29" s="16">
        <v>27</v>
      </c>
      <c r="Q29" s="16" t="str">
        <f t="shared" ca="1" si="3"/>
        <v>Irak</v>
      </c>
      <c r="R29" s="16">
        <f t="shared" ca="1" si="12"/>
        <v>3</v>
      </c>
      <c r="S29" s="599">
        <f t="shared" ca="1" si="12"/>
        <v>0.125</v>
      </c>
      <c r="T29" s="16">
        <f t="shared" ca="1" si="12"/>
        <v>0</v>
      </c>
      <c r="U29" s="16">
        <f t="shared" ca="1" si="12"/>
        <v>7</v>
      </c>
      <c r="V29" s="599">
        <f t="shared" ca="1" si="12"/>
        <v>0.29166666666666669</v>
      </c>
      <c r="W29" s="16">
        <f t="shared" ca="1" si="12"/>
        <v>1</v>
      </c>
      <c r="X29" s="16">
        <f t="shared" ca="1" si="1"/>
        <v>0</v>
      </c>
      <c r="AA29" s="16">
        <v>27</v>
      </c>
      <c r="AB29" s="16" t="str">
        <f ca="1">Idiomas!D228</f>
        <v>Japón</v>
      </c>
      <c r="AC29" s="598">
        <v>9</v>
      </c>
      <c r="AD29" s="599">
        <f t="shared" si="4"/>
        <v>0.375</v>
      </c>
      <c r="AE29" s="16">
        <v>0</v>
      </c>
      <c r="AF29" s="16">
        <f t="shared" ca="1" si="5"/>
        <v>13</v>
      </c>
      <c r="AG29" s="599">
        <f t="shared" ca="1" si="6"/>
        <v>0.54166666666666663</v>
      </c>
      <c r="AH29" s="16">
        <f t="shared" ca="1" si="7"/>
        <v>1</v>
      </c>
      <c r="AI29" s="16">
        <f t="shared" ca="1" si="8"/>
        <v>29</v>
      </c>
    </row>
    <row r="30" spans="1:35" ht="15.5">
      <c r="A30" s="568">
        <v>46192.625</v>
      </c>
      <c r="B30" s="16"/>
      <c r="C30" s="568">
        <f t="shared" ca="1" si="13"/>
        <v>46192.875</v>
      </c>
      <c r="D30" s="596"/>
      <c r="E30" s="596"/>
      <c r="P30" s="16">
        <v>28</v>
      </c>
      <c r="Q30" s="16" t="str">
        <f t="shared" ca="1" si="3"/>
        <v>Irán</v>
      </c>
      <c r="R30" s="16">
        <f t="shared" ca="1" si="12"/>
        <v>3.5</v>
      </c>
      <c r="S30" s="599">
        <f t="shared" ca="1" si="12"/>
        <v>0.14583333333333334</v>
      </c>
      <c r="T30" s="16">
        <f t="shared" ca="1" si="12"/>
        <v>0</v>
      </c>
      <c r="U30" s="16">
        <f t="shared" ca="1" si="12"/>
        <v>7.5</v>
      </c>
      <c r="V30" s="599">
        <f t="shared" ca="1" si="12"/>
        <v>0.3125</v>
      </c>
      <c r="W30" s="16">
        <f t="shared" ca="1" si="12"/>
        <v>1</v>
      </c>
      <c r="X30" s="16">
        <f t="shared" ca="1" si="1"/>
        <v>0</v>
      </c>
      <c r="AA30" s="16">
        <v>28</v>
      </c>
      <c r="AB30" s="16" t="str">
        <f ca="1">Idiomas!D229</f>
        <v>Jordania</v>
      </c>
      <c r="AC30" s="598">
        <v>3</v>
      </c>
      <c r="AD30" s="599">
        <f t="shared" si="4"/>
        <v>0.125</v>
      </c>
      <c r="AE30" s="16">
        <v>0</v>
      </c>
      <c r="AF30" s="16">
        <f t="shared" ca="1" si="5"/>
        <v>7</v>
      </c>
      <c r="AG30" s="599">
        <f t="shared" ca="1" si="6"/>
        <v>0.29166666666666669</v>
      </c>
      <c r="AH30" s="16">
        <f t="shared" ca="1" si="7"/>
        <v>1</v>
      </c>
      <c r="AI30" s="16">
        <f t="shared" ca="1" si="8"/>
        <v>30</v>
      </c>
    </row>
    <row r="31" spans="1:35" ht="15.5">
      <c r="A31" s="568">
        <v>46192.958333333336</v>
      </c>
      <c r="B31" s="16"/>
      <c r="C31" s="568">
        <f t="shared" ca="1" si="13"/>
        <v>46193.208333333336</v>
      </c>
      <c r="D31" s="596"/>
      <c r="E31" s="596"/>
      <c r="P31" s="16">
        <v>29</v>
      </c>
      <c r="Q31" s="16" t="str">
        <f t="shared" ca="1" si="3"/>
        <v>Japón</v>
      </c>
      <c r="R31" s="16">
        <f t="shared" ca="1" si="12"/>
        <v>9</v>
      </c>
      <c r="S31" s="599">
        <f t="shared" ca="1" si="12"/>
        <v>0.375</v>
      </c>
      <c r="T31" s="16">
        <f t="shared" ca="1" si="12"/>
        <v>0</v>
      </c>
      <c r="U31" s="16">
        <f t="shared" ca="1" si="12"/>
        <v>13</v>
      </c>
      <c r="V31" s="599">
        <f t="shared" ca="1" si="12"/>
        <v>0.54166666666666663</v>
      </c>
      <c r="W31" s="16">
        <f t="shared" ca="1" si="12"/>
        <v>1</v>
      </c>
      <c r="X31" s="16">
        <f t="shared" ca="1" si="1"/>
        <v>0</v>
      </c>
      <c r="AA31" s="16">
        <v>29</v>
      </c>
      <c r="AB31" s="16" t="str">
        <f ca="1">Idiomas!D230</f>
        <v>Marruecos</v>
      </c>
      <c r="AC31" s="598">
        <v>1</v>
      </c>
      <c r="AD31" s="599">
        <f t="shared" si="4"/>
        <v>4.1666666666666664E-2</v>
      </c>
      <c r="AE31" s="16">
        <v>0</v>
      </c>
      <c r="AF31" s="16">
        <f t="shared" ca="1" si="5"/>
        <v>5</v>
      </c>
      <c r="AG31" s="599">
        <f t="shared" ca="1" si="6"/>
        <v>0.20833333333333334</v>
      </c>
      <c r="AH31" s="16">
        <f t="shared" ca="1" si="7"/>
        <v>1</v>
      </c>
      <c r="AI31" s="16">
        <f t="shared" ca="1" si="8"/>
        <v>31</v>
      </c>
    </row>
    <row r="32" spans="1:35" ht="15.5">
      <c r="A32" s="568">
        <v>46198.916666666664</v>
      </c>
      <c r="B32" s="16"/>
      <c r="C32" s="568">
        <f t="shared" ca="1" si="13"/>
        <v>46199.166666666664</v>
      </c>
      <c r="D32" s="596"/>
      <c r="E32" s="596"/>
      <c r="P32" s="16">
        <v>30</v>
      </c>
      <c r="Q32" s="16" t="str">
        <f t="shared" ca="1" si="3"/>
        <v>Jordania</v>
      </c>
      <c r="R32" s="16">
        <f t="shared" ca="1" si="12"/>
        <v>3</v>
      </c>
      <c r="S32" s="599">
        <f t="shared" ca="1" si="12"/>
        <v>0.125</v>
      </c>
      <c r="T32" s="16">
        <f t="shared" ca="1" si="12"/>
        <v>0</v>
      </c>
      <c r="U32" s="16">
        <f t="shared" ca="1" si="12"/>
        <v>7</v>
      </c>
      <c r="V32" s="599">
        <f t="shared" ca="1" si="12"/>
        <v>0.29166666666666669</v>
      </c>
      <c r="W32" s="16">
        <f t="shared" ca="1" si="12"/>
        <v>1</v>
      </c>
      <c r="X32" s="16">
        <f t="shared" ca="1" si="1"/>
        <v>0</v>
      </c>
      <c r="AA32" s="16">
        <v>30</v>
      </c>
      <c r="AB32" s="16" t="str">
        <f ca="1">Idiomas!D231</f>
        <v>México</v>
      </c>
      <c r="AC32" s="598">
        <v>-6</v>
      </c>
      <c r="AD32" s="599">
        <f t="shared" si="4"/>
        <v>0.25</v>
      </c>
      <c r="AE32" s="16">
        <v>0</v>
      </c>
      <c r="AF32" s="16">
        <f t="shared" ca="1" si="5"/>
        <v>-2</v>
      </c>
      <c r="AG32" s="599">
        <f t="shared" ca="1" si="6"/>
        <v>8.3333333333333329E-2</v>
      </c>
      <c r="AH32" s="16">
        <f t="shared" ca="1" si="7"/>
        <v>-1</v>
      </c>
      <c r="AI32" s="16">
        <f t="shared" ca="1" si="8"/>
        <v>32</v>
      </c>
    </row>
    <row r="33" spans="1:35" ht="15.5">
      <c r="A33" s="568">
        <v>46198.916666666664</v>
      </c>
      <c r="B33" s="16"/>
      <c r="C33" s="568">
        <f t="shared" ca="1" si="13"/>
        <v>46199.166666666664</v>
      </c>
      <c r="D33" s="596"/>
      <c r="P33" s="16">
        <v>31</v>
      </c>
      <c r="Q33" s="16" t="str">
        <f t="shared" ca="1" si="3"/>
        <v>Marruecos</v>
      </c>
      <c r="R33" s="16">
        <f t="shared" ref="R33:W48" ca="1" si="14">+INDEX($AC$3:$AH$86,MATCH($Q33,$AB$3:$AB$86,0),MATCH(R$2,$AC$2:$AH$2,0))</f>
        <v>1</v>
      </c>
      <c r="S33" s="599">
        <f t="shared" ca="1" si="14"/>
        <v>4.1666666666666664E-2</v>
      </c>
      <c r="T33" s="16">
        <f t="shared" ca="1" si="12"/>
        <v>0</v>
      </c>
      <c r="U33" s="16">
        <f t="shared" ca="1" si="12"/>
        <v>5</v>
      </c>
      <c r="V33" s="599">
        <f t="shared" ca="1" si="14"/>
        <v>0.20833333333333334</v>
      </c>
      <c r="W33" s="16">
        <f t="shared" ca="1" si="14"/>
        <v>1</v>
      </c>
      <c r="X33" s="16">
        <f t="shared" ca="1" si="1"/>
        <v>0</v>
      </c>
      <c r="AA33" s="16">
        <v>31</v>
      </c>
      <c r="AB33" s="16" t="str">
        <f ca="1">Idiomas!D232</f>
        <v>Noruega</v>
      </c>
      <c r="AC33" s="598">
        <v>2</v>
      </c>
      <c r="AD33" s="599">
        <f t="shared" si="4"/>
        <v>8.3333333333333329E-2</v>
      </c>
      <c r="AE33" s="16">
        <v>0</v>
      </c>
      <c r="AF33" s="16">
        <f t="shared" ca="1" si="5"/>
        <v>6</v>
      </c>
      <c r="AG33" s="599">
        <f t="shared" ca="1" si="6"/>
        <v>0.25</v>
      </c>
      <c r="AH33" s="16">
        <f t="shared" ca="1" si="7"/>
        <v>1</v>
      </c>
      <c r="AI33" s="16">
        <f t="shared" ca="1" si="8"/>
        <v>33</v>
      </c>
    </row>
    <row r="34" spans="1:35" ht="15.5">
      <c r="A34" s="16"/>
      <c r="B34" s="16"/>
      <c r="C34" s="568"/>
      <c r="P34" s="16">
        <v>32</v>
      </c>
      <c r="Q34" s="16" t="str">
        <f t="shared" ca="1" si="3"/>
        <v>México</v>
      </c>
      <c r="R34" s="16">
        <f t="shared" ca="1" si="14"/>
        <v>-6</v>
      </c>
      <c r="S34" s="599">
        <f t="shared" ca="1" si="14"/>
        <v>0.25</v>
      </c>
      <c r="T34" s="16">
        <f t="shared" ca="1" si="12"/>
        <v>0</v>
      </c>
      <c r="U34" s="16">
        <f t="shared" ca="1" si="12"/>
        <v>-2</v>
      </c>
      <c r="V34" s="599">
        <f t="shared" ca="1" si="14"/>
        <v>8.3333333333333329E-2</v>
      </c>
      <c r="W34" s="16">
        <f t="shared" ca="1" si="14"/>
        <v>-1</v>
      </c>
      <c r="X34" s="16">
        <f t="shared" ca="1" si="1"/>
        <v>0</v>
      </c>
      <c r="AA34" s="16">
        <v>32</v>
      </c>
      <c r="AB34" s="16" t="str">
        <f ca="1">Idiomas!D233</f>
        <v>Nueva Zelanda</v>
      </c>
      <c r="AC34" s="598">
        <v>12</v>
      </c>
      <c r="AD34" s="599">
        <f t="shared" si="4"/>
        <v>0.5</v>
      </c>
      <c r="AE34" s="16">
        <v>0</v>
      </c>
      <c r="AF34" s="16">
        <f t="shared" ca="1" si="5"/>
        <v>16</v>
      </c>
      <c r="AG34" s="599">
        <f t="shared" ca="1" si="6"/>
        <v>0.66666666666666663</v>
      </c>
      <c r="AH34" s="16">
        <f t="shared" ca="1" si="7"/>
        <v>1</v>
      </c>
      <c r="AI34" s="16">
        <f t="shared" ca="1" si="8"/>
        <v>34</v>
      </c>
    </row>
    <row r="35" spans="1:35" ht="15.5">
      <c r="A35" s="9" t="s">
        <v>83</v>
      </c>
      <c r="B35" s="16"/>
      <c r="C35" s="568"/>
      <c r="P35" s="16">
        <v>33</v>
      </c>
      <c r="Q35" s="16" t="str">
        <f t="shared" ca="1" si="3"/>
        <v>Noruega</v>
      </c>
      <c r="R35" s="16">
        <f t="shared" ca="1" si="14"/>
        <v>2</v>
      </c>
      <c r="S35" s="599">
        <f t="shared" ca="1" si="14"/>
        <v>8.3333333333333329E-2</v>
      </c>
      <c r="T35" s="16">
        <f t="shared" ca="1" si="12"/>
        <v>0</v>
      </c>
      <c r="U35" s="16">
        <f t="shared" ca="1" si="12"/>
        <v>6</v>
      </c>
      <c r="V35" s="599">
        <f t="shared" ca="1" si="14"/>
        <v>0.25</v>
      </c>
      <c r="W35" s="16">
        <f t="shared" ca="1" si="14"/>
        <v>1</v>
      </c>
      <c r="X35" s="16">
        <f t="shared" ca="1" si="1"/>
        <v>0</v>
      </c>
      <c r="AA35" s="16">
        <v>33</v>
      </c>
      <c r="AB35" s="16" t="str">
        <f ca="1">Idiomas!D234</f>
        <v>Países Bajos</v>
      </c>
      <c r="AC35" s="598">
        <v>2</v>
      </c>
      <c r="AD35" s="599">
        <f t="shared" si="4"/>
        <v>8.3333333333333329E-2</v>
      </c>
      <c r="AE35" s="16">
        <v>0</v>
      </c>
      <c r="AF35" s="16">
        <f t="shared" ca="1" si="5"/>
        <v>6</v>
      </c>
      <c r="AG35" s="599">
        <f t="shared" ca="1" si="6"/>
        <v>0.25</v>
      </c>
      <c r="AH35" s="16">
        <f t="shared" ca="1" si="7"/>
        <v>1</v>
      </c>
      <c r="AI35" s="16">
        <f t="shared" ca="1" si="8"/>
        <v>35</v>
      </c>
    </row>
    <row r="36" spans="1:35" ht="15.5">
      <c r="A36" s="568">
        <v>46187.541666666664</v>
      </c>
      <c r="B36" s="16"/>
      <c r="C36" s="568">
        <f t="shared" ref="C36:C41" ca="1" si="15">A36+INDEX($V$3:$V$86,MATCH($C$3,$P$3:$P$86,0))*INDEX($W$3:$W$86,MATCH($C$3,$P$3:$P$86,0))</f>
        <v>46187.791666666664</v>
      </c>
      <c r="D36" s="596"/>
      <c r="P36" s="16">
        <v>34</v>
      </c>
      <c r="Q36" s="16" t="str">
        <f t="shared" ca="1" si="3"/>
        <v>Nueva Zelanda</v>
      </c>
      <c r="R36" s="16">
        <f t="shared" ca="1" si="14"/>
        <v>12</v>
      </c>
      <c r="S36" s="599">
        <f t="shared" ca="1" si="14"/>
        <v>0.5</v>
      </c>
      <c r="T36" s="16">
        <f t="shared" ca="1" si="12"/>
        <v>0</v>
      </c>
      <c r="U36" s="16">
        <f t="shared" ca="1" si="12"/>
        <v>16</v>
      </c>
      <c r="V36" s="599">
        <f t="shared" ca="1" si="14"/>
        <v>0.66666666666666663</v>
      </c>
      <c r="W36" s="16">
        <f t="shared" ca="1" si="14"/>
        <v>1</v>
      </c>
      <c r="X36" s="16">
        <f t="shared" ca="1" si="1"/>
        <v>0</v>
      </c>
      <c r="AA36" s="16">
        <v>34</v>
      </c>
      <c r="AB36" s="16" t="str">
        <f ca="1">Idiomas!D235</f>
        <v>Panamá</v>
      </c>
      <c r="AC36" s="598">
        <v>-5</v>
      </c>
      <c r="AD36" s="599">
        <f t="shared" si="4"/>
        <v>0.20833333333333334</v>
      </c>
      <c r="AE36" s="16">
        <v>0</v>
      </c>
      <c r="AF36" s="16">
        <f t="shared" ca="1" si="5"/>
        <v>-1</v>
      </c>
      <c r="AG36" s="599">
        <f t="shared" ca="1" si="6"/>
        <v>4.1666666666666664E-2</v>
      </c>
      <c r="AH36" s="16">
        <f t="shared" ca="1" si="7"/>
        <v>-1</v>
      </c>
      <c r="AI36" s="16">
        <f t="shared" ca="1" si="8"/>
        <v>36</v>
      </c>
    </row>
    <row r="37" spans="1:35" ht="15.5">
      <c r="A37" s="568">
        <v>46187.791666666664</v>
      </c>
      <c r="B37" s="16"/>
      <c r="C37" s="568">
        <f t="shared" ca="1" si="15"/>
        <v>46188.041666666664</v>
      </c>
      <c r="D37" s="596"/>
      <c r="P37" s="16">
        <v>35</v>
      </c>
      <c r="Q37" s="16" t="str">
        <f t="shared" ca="1" si="3"/>
        <v>Países Bajos</v>
      </c>
      <c r="R37" s="16">
        <f t="shared" ca="1" si="14"/>
        <v>2</v>
      </c>
      <c r="S37" s="599">
        <f t="shared" ca="1" si="14"/>
        <v>8.3333333333333329E-2</v>
      </c>
      <c r="T37" s="16">
        <f t="shared" ca="1" si="12"/>
        <v>0</v>
      </c>
      <c r="U37" s="16">
        <f t="shared" ca="1" si="12"/>
        <v>6</v>
      </c>
      <c r="V37" s="599">
        <f t="shared" ca="1" si="14"/>
        <v>0.25</v>
      </c>
      <c r="W37" s="16">
        <f t="shared" ca="1" si="14"/>
        <v>1</v>
      </c>
      <c r="X37" s="16">
        <f t="shared" ca="1" si="1"/>
        <v>0</v>
      </c>
      <c r="AA37" s="16">
        <v>35</v>
      </c>
      <c r="AB37" s="16" t="str">
        <f ca="1">Idiomas!D236</f>
        <v>Paraguay</v>
      </c>
      <c r="AC37" s="598">
        <v>-4</v>
      </c>
      <c r="AD37" s="599">
        <f t="shared" si="4"/>
        <v>0.16666666666666666</v>
      </c>
      <c r="AE37" s="16">
        <v>0</v>
      </c>
      <c r="AF37" s="16">
        <f t="shared" ca="1" si="5"/>
        <v>0</v>
      </c>
      <c r="AG37" s="599">
        <f t="shared" ca="1" si="6"/>
        <v>0</v>
      </c>
      <c r="AH37" s="16">
        <f t="shared" ca="1" si="7"/>
        <v>0</v>
      </c>
      <c r="AI37" s="16">
        <f t="shared" ca="1" si="8"/>
        <v>37</v>
      </c>
    </row>
    <row r="38" spans="1:35" ht="15.5">
      <c r="A38" s="568">
        <v>46193.666666666664</v>
      </c>
      <c r="B38" s="16"/>
      <c r="C38" s="568">
        <f t="shared" ca="1" si="15"/>
        <v>46193.916666666664</v>
      </c>
      <c r="D38" s="596"/>
      <c r="P38" s="16">
        <v>36</v>
      </c>
      <c r="Q38" s="16" t="str">
        <f t="shared" ca="1" si="3"/>
        <v>Panamá</v>
      </c>
      <c r="R38" s="16">
        <f t="shared" ca="1" si="14"/>
        <v>-5</v>
      </c>
      <c r="S38" s="599">
        <f t="shared" ca="1" si="14"/>
        <v>0.20833333333333334</v>
      </c>
      <c r="T38" s="16">
        <f t="shared" ca="1" si="12"/>
        <v>0</v>
      </c>
      <c r="U38" s="16">
        <f t="shared" ca="1" si="12"/>
        <v>-1</v>
      </c>
      <c r="V38" s="599">
        <f t="shared" ca="1" si="14"/>
        <v>4.1666666666666664E-2</v>
      </c>
      <c r="W38" s="16">
        <f t="shared" ca="1" si="14"/>
        <v>-1</v>
      </c>
      <c r="X38" s="16">
        <f t="shared" ca="1" si="1"/>
        <v>0</v>
      </c>
      <c r="AA38" s="16">
        <v>36</v>
      </c>
      <c r="AB38" s="16" t="str">
        <f ca="1">Idiomas!D237</f>
        <v>Portugal</v>
      </c>
      <c r="AC38" s="598">
        <v>1</v>
      </c>
      <c r="AD38" s="599">
        <f t="shared" si="4"/>
        <v>4.1666666666666664E-2</v>
      </c>
      <c r="AE38" s="16">
        <v>0</v>
      </c>
      <c r="AF38" s="16">
        <f t="shared" ca="1" si="5"/>
        <v>5</v>
      </c>
      <c r="AG38" s="599">
        <f t="shared" ca="1" si="6"/>
        <v>0.20833333333333334</v>
      </c>
      <c r="AH38" s="16">
        <f t="shared" ca="1" si="7"/>
        <v>1</v>
      </c>
      <c r="AI38" s="16">
        <f t="shared" ca="1" si="8"/>
        <v>38</v>
      </c>
    </row>
    <row r="39" spans="1:35" ht="15.5">
      <c r="A39" s="568">
        <v>46193.833333333336</v>
      </c>
      <c r="B39" s="16"/>
      <c r="C39" s="568">
        <f t="shared" ca="1" si="15"/>
        <v>46194.083333333336</v>
      </c>
      <c r="D39" s="596"/>
      <c r="P39" s="16">
        <v>37</v>
      </c>
      <c r="Q39" s="16" t="str">
        <f t="shared" ca="1" si="3"/>
        <v>Paraguay</v>
      </c>
      <c r="R39" s="16">
        <f t="shared" ca="1" si="14"/>
        <v>-4</v>
      </c>
      <c r="S39" s="599">
        <f t="shared" ca="1" si="14"/>
        <v>0.16666666666666666</v>
      </c>
      <c r="T39" s="16">
        <f t="shared" ca="1" si="14"/>
        <v>0</v>
      </c>
      <c r="U39" s="16">
        <f t="shared" ca="1" si="14"/>
        <v>0</v>
      </c>
      <c r="V39" s="599">
        <f t="shared" ca="1" si="14"/>
        <v>0</v>
      </c>
      <c r="W39" s="16">
        <f t="shared" ca="1" si="14"/>
        <v>0</v>
      </c>
      <c r="X39" s="16">
        <f t="shared" ca="1" si="1"/>
        <v>0</v>
      </c>
      <c r="AA39" s="16">
        <v>37</v>
      </c>
      <c r="AB39" s="16" t="str">
        <f ca="1">Idiomas!D238</f>
        <v>Senegal</v>
      </c>
      <c r="AC39" s="598">
        <v>0</v>
      </c>
      <c r="AD39" s="599">
        <f t="shared" si="4"/>
        <v>0</v>
      </c>
      <c r="AE39" s="16">
        <v>0</v>
      </c>
      <c r="AF39" s="16">
        <f t="shared" ca="1" si="5"/>
        <v>4</v>
      </c>
      <c r="AG39" s="599">
        <f t="shared" ca="1" si="6"/>
        <v>0.16666666666666666</v>
      </c>
      <c r="AH39" s="16">
        <f t="shared" ca="1" si="7"/>
        <v>1</v>
      </c>
      <c r="AI39" s="16">
        <f t="shared" ca="1" si="8"/>
        <v>41</v>
      </c>
    </row>
    <row r="40" spans="1:35" ht="15.5">
      <c r="A40" s="568">
        <v>46198.666666666664</v>
      </c>
      <c r="B40" s="16"/>
      <c r="C40" s="568">
        <f t="shared" ca="1" si="15"/>
        <v>46198.916666666664</v>
      </c>
      <c r="D40" s="596"/>
      <c r="P40" s="16">
        <v>38</v>
      </c>
      <c r="Q40" s="16" t="str">
        <f t="shared" ca="1" si="3"/>
        <v>Portugal</v>
      </c>
      <c r="R40" s="16">
        <f t="shared" ca="1" si="14"/>
        <v>1</v>
      </c>
      <c r="S40" s="599">
        <f t="shared" ca="1" si="14"/>
        <v>4.1666666666666664E-2</v>
      </c>
      <c r="T40" s="16">
        <f t="shared" ca="1" si="14"/>
        <v>0</v>
      </c>
      <c r="U40" s="16">
        <f t="shared" ca="1" si="14"/>
        <v>5</v>
      </c>
      <c r="V40" s="599">
        <f t="shared" ca="1" si="14"/>
        <v>0.20833333333333334</v>
      </c>
      <c r="W40" s="16">
        <f t="shared" ca="1" si="14"/>
        <v>1</v>
      </c>
      <c r="X40" s="16">
        <f t="shared" ca="1" si="1"/>
        <v>0</v>
      </c>
      <c r="AA40" s="16">
        <v>38</v>
      </c>
      <c r="AB40" s="16" t="str">
        <f ca="1">Idiomas!D239</f>
        <v>Sudáfrica</v>
      </c>
      <c r="AC40" s="598">
        <v>2</v>
      </c>
      <c r="AD40" s="599">
        <f t="shared" si="4"/>
        <v>8.3333333333333329E-2</v>
      </c>
      <c r="AE40" s="16">
        <v>0</v>
      </c>
      <c r="AF40" s="16">
        <f t="shared" ca="1" si="5"/>
        <v>6</v>
      </c>
      <c r="AG40" s="599">
        <f t="shared" ca="1" si="6"/>
        <v>0.25</v>
      </c>
      <c r="AH40" s="16">
        <f t="shared" ca="1" si="7"/>
        <v>1</v>
      </c>
      <c r="AI40" s="16">
        <f t="shared" ca="1" si="8"/>
        <v>42</v>
      </c>
    </row>
    <row r="41" spans="1:35" ht="15.5">
      <c r="A41" s="568">
        <v>46198.666666666664</v>
      </c>
      <c r="B41" s="16"/>
      <c r="C41" s="568">
        <f t="shared" ca="1" si="15"/>
        <v>46198.916666666664</v>
      </c>
      <c r="D41" s="596"/>
      <c r="P41" s="16">
        <v>39</v>
      </c>
      <c r="Q41" s="16" t="str">
        <f t="shared" ca="1" si="3"/>
        <v>RD Congo</v>
      </c>
      <c r="R41" s="16">
        <f t="shared" ca="1" si="14"/>
        <v>1</v>
      </c>
      <c r="S41" s="599">
        <f t="shared" ca="1" si="14"/>
        <v>4.1666666666666664E-2</v>
      </c>
      <c r="T41" s="16">
        <f t="shared" ca="1" si="14"/>
        <v>0</v>
      </c>
      <c r="U41" s="16">
        <f t="shared" ca="1" si="14"/>
        <v>5</v>
      </c>
      <c r="V41" s="599">
        <f t="shared" ca="1" si="14"/>
        <v>0.20833333333333334</v>
      </c>
      <c r="W41" s="16">
        <f t="shared" ca="1" si="14"/>
        <v>1</v>
      </c>
      <c r="X41" s="16">
        <f t="shared" ca="1" si="1"/>
        <v>0</v>
      </c>
      <c r="AA41" s="16">
        <v>39</v>
      </c>
      <c r="AB41" s="16" t="str">
        <f ca="1">Idiomas!D240</f>
        <v>Suiza</v>
      </c>
      <c r="AC41" s="598">
        <v>2</v>
      </c>
      <c r="AD41" s="599">
        <f t="shared" si="4"/>
        <v>8.3333333333333329E-2</v>
      </c>
      <c r="AE41" s="16">
        <v>0</v>
      </c>
      <c r="AF41" s="16">
        <f t="shared" ca="1" si="5"/>
        <v>6</v>
      </c>
      <c r="AG41" s="599">
        <f t="shared" ca="1" si="6"/>
        <v>0.25</v>
      </c>
      <c r="AH41" s="16">
        <f t="shared" ca="1" si="7"/>
        <v>1</v>
      </c>
      <c r="AI41" s="16">
        <f t="shared" ca="1" si="8"/>
        <v>44</v>
      </c>
    </row>
    <row r="42" spans="1:35" ht="15.5">
      <c r="A42" s="16"/>
      <c r="B42" s="16"/>
      <c r="C42" s="568"/>
      <c r="P42" s="16">
        <v>40</v>
      </c>
      <c r="Q42" s="16" t="str">
        <f t="shared" ca="1" si="3"/>
        <v>República Checa</v>
      </c>
      <c r="R42" s="16">
        <f t="shared" ca="1" si="14"/>
        <v>2</v>
      </c>
      <c r="S42" s="599">
        <f t="shared" ca="1" si="14"/>
        <v>8.3333333333333329E-2</v>
      </c>
      <c r="T42" s="16">
        <f t="shared" ca="1" si="14"/>
        <v>0</v>
      </c>
      <c r="U42" s="16">
        <f t="shared" ca="1" si="14"/>
        <v>6</v>
      </c>
      <c r="V42" s="599">
        <f t="shared" ca="1" si="14"/>
        <v>0.25</v>
      </c>
      <c r="W42" s="16">
        <f t="shared" ca="1" si="14"/>
        <v>1</v>
      </c>
      <c r="X42" s="16">
        <f t="shared" ca="1" si="1"/>
        <v>0</v>
      </c>
      <c r="AA42" s="16">
        <v>40</v>
      </c>
      <c r="AB42" s="16" t="str">
        <f ca="1">Idiomas!D241</f>
        <v>Túnez</v>
      </c>
      <c r="AC42" s="598">
        <v>1</v>
      </c>
      <c r="AD42" s="599">
        <f t="shared" si="4"/>
        <v>4.1666666666666664E-2</v>
      </c>
      <c r="AE42" s="16">
        <v>0</v>
      </c>
      <c r="AF42" s="16">
        <f t="shared" ca="1" si="5"/>
        <v>5</v>
      </c>
      <c r="AG42" s="599">
        <f t="shared" ca="1" si="6"/>
        <v>0.20833333333333334</v>
      </c>
      <c r="AH42" s="16">
        <f t="shared" ca="1" si="7"/>
        <v>1</v>
      </c>
      <c r="AI42" s="16">
        <f t="shared" ca="1" si="8"/>
        <v>45</v>
      </c>
    </row>
    <row r="43" spans="1:35" ht="15.5">
      <c r="A43" s="9" t="s">
        <v>8</v>
      </c>
      <c r="B43" s="16"/>
      <c r="C43" s="568"/>
      <c r="P43" s="16">
        <v>41</v>
      </c>
      <c r="Q43" s="16" t="str">
        <f t="shared" ca="1" si="3"/>
        <v>Senegal</v>
      </c>
      <c r="R43" s="16">
        <f t="shared" ref="R43:W58" ca="1" si="16">+INDEX($AC$3:$AH$86,MATCH($Q43,$AB$3:$AB$86,0),MATCH(R$2,$AC$2:$AH$2,0))</f>
        <v>0</v>
      </c>
      <c r="S43" s="599">
        <f t="shared" ca="1" si="16"/>
        <v>0</v>
      </c>
      <c r="T43" s="16">
        <f t="shared" ca="1" si="14"/>
        <v>0</v>
      </c>
      <c r="U43" s="16">
        <f t="shared" ca="1" si="14"/>
        <v>4</v>
      </c>
      <c r="V43" s="599">
        <f t="shared" ca="1" si="16"/>
        <v>0.16666666666666666</v>
      </c>
      <c r="W43" s="16">
        <f t="shared" ca="1" si="16"/>
        <v>1</v>
      </c>
      <c r="X43" s="16">
        <f t="shared" ca="1" si="1"/>
        <v>0</v>
      </c>
      <c r="AA43" s="16">
        <v>41</v>
      </c>
      <c r="AB43" s="16" t="str">
        <f ca="1">Idiomas!D242</f>
        <v>Uruguay</v>
      </c>
      <c r="AC43" s="598">
        <v>-3</v>
      </c>
      <c r="AD43" s="599">
        <f t="shared" si="4"/>
        <v>0.125</v>
      </c>
      <c r="AE43" s="16">
        <v>0</v>
      </c>
      <c r="AF43" s="16">
        <f t="shared" ca="1" si="5"/>
        <v>1</v>
      </c>
      <c r="AG43" s="599">
        <f t="shared" ca="1" si="6"/>
        <v>4.1666666666666664E-2</v>
      </c>
      <c r="AH43" s="16">
        <f t="shared" ca="1" si="7"/>
        <v>1</v>
      </c>
      <c r="AI43" s="16">
        <f t="shared" ca="1" si="8"/>
        <v>47</v>
      </c>
    </row>
    <row r="44" spans="1:35" ht="15.5">
      <c r="A44" s="568">
        <v>46187.666666666664</v>
      </c>
      <c r="B44" s="16"/>
      <c r="C44" s="568">
        <f t="shared" ref="C44:C49" ca="1" si="17">A44+INDEX($V$3:$V$86,MATCH($C$3,$P$3:$P$86,0))*INDEX($W$3:$W$86,MATCH($C$3,$P$3:$P$86,0))</f>
        <v>46187.916666666664</v>
      </c>
      <c r="D44" s="596"/>
      <c r="P44" s="16">
        <v>42</v>
      </c>
      <c r="Q44" s="16" t="str">
        <f t="shared" ca="1" si="3"/>
        <v>Sudáfrica</v>
      </c>
      <c r="R44" s="16">
        <f t="shared" ca="1" si="16"/>
        <v>2</v>
      </c>
      <c r="S44" s="599">
        <f t="shared" ca="1" si="16"/>
        <v>8.3333333333333329E-2</v>
      </c>
      <c r="T44" s="16">
        <f t="shared" ca="1" si="14"/>
        <v>0</v>
      </c>
      <c r="U44" s="16">
        <f t="shared" ca="1" si="14"/>
        <v>6</v>
      </c>
      <c r="V44" s="599">
        <f t="shared" ca="1" si="16"/>
        <v>0.25</v>
      </c>
      <c r="W44" s="16">
        <f t="shared" ca="1" si="16"/>
        <v>1</v>
      </c>
      <c r="X44" s="16">
        <f t="shared" ca="1" si="1"/>
        <v>0</v>
      </c>
      <c r="AA44" s="16">
        <v>42</v>
      </c>
      <c r="AB44" s="16" t="str">
        <f ca="1">Idiomas!D243</f>
        <v>Uzbekistán</v>
      </c>
      <c r="AC44" s="598">
        <v>5</v>
      </c>
      <c r="AD44" s="599">
        <f t="shared" si="4"/>
        <v>0.20833333333333334</v>
      </c>
      <c r="AE44" s="16">
        <v>0</v>
      </c>
      <c r="AF44" s="16">
        <f t="shared" ca="1" si="5"/>
        <v>9</v>
      </c>
      <c r="AG44" s="599">
        <f t="shared" ca="1" si="6"/>
        <v>0.375</v>
      </c>
      <c r="AH44" s="16">
        <f t="shared" ca="1" si="7"/>
        <v>1</v>
      </c>
      <c r="AI44" s="16">
        <f t="shared" ca="1" si="8"/>
        <v>48</v>
      </c>
    </row>
    <row r="45" spans="1:35">
      <c r="A45" s="568">
        <v>46187.916666666664</v>
      </c>
      <c r="B45" s="16"/>
      <c r="C45" s="568">
        <f t="shared" ca="1" si="17"/>
        <v>46188.166666666664</v>
      </c>
      <c r="D45" s="596"/>
      <c r="P45" s="16">
        <v>43</v>
      </c>
      <c r="Q45" s="16" t="str">
        <f t="shared" ca="1" si="3"/>
        <v>Suecia</v>
      </c>
      <c r="R45" s="16">
        <f t="shared" ca="1" si="16"/>
        <v>2</v>
      </c>
      <c r="S45" s="599">
        <f t="shared" ca="1" si="16"/>
        <v>8.3333333333333329E-2</v>
      </c>
      <c r="T45" s="16">
        <f t="shared" ca="1" si="14"/>
        <v>0</v>
      </c>
      <c r="U45" s="16">
        <f t="shared" ca="1" si="14"/>
        <v>6</v>
      </c>
      <c r="V45" s="599">
        <f t="shared" ca="1" si="16"/>
        <v>0.25</v>
      </c>
      <c r="W45" s="16">
        <f t="shared" ca="1" si="16"/>
        <v>1</v>
      </c>
      <c r="X45" s="16">
        <f t="shared" ca="1" si="1"/>
        <v>0</v>
      </c>
      <c r="AA45" s="16">
        <v>43</v>
      </c>
      <c r="AB45" s="16" t="str">
        <f ca="1">Idiomas!D244</f>
        <v>RD Congo</v>
      </c>
      <c r="AC45" s="16">
        <v>1</v>
      </c>
      <c r="AD45" s="599">
        <f t="shared" si="4"/>
        <v>4.1666666666666664E-2</v>
      </c>
      <c r="AE45" s="16">
        <v>0</v>
      </c>
      <c r="AF45" s="16">
        <f t="shared" ca="1" si="5"/>
        <v>5</v>
      </c>
      <c r="AG45" s="599">
        <f t="shared" ca="1" si="6"/>
        <v>0.20833333333333334</v>
      </c>
      <c r="AH45" s="16">
        <f t="shared" ca="1" si="7"/>
        <v>1</v>
      </c>
      <c r="AI45" s="16">
        <f t="shared" ca="1" si="8"/>
        <v>39</v>
      </c>
    </row>
    <row r="46" spans="1:35">
      <c r="A46" s="568">
        <v>46193.541666666664</v>
      </c>
      <c r="B46" s="16"/>
      <c r="C46" s="568">
        <f t="shared" ca="1" si="17"/>
        <v>46193.791666666664</v>
      </c>
      <c r="D46" s="596"/>
      <c r="P46" s="16">
        <v>44</v>
      </c>
      <c r="Q46" s="16" t="str">
        <f t="shared" ca="1" si="3"/>
        <v>Suiza</v>
      </c>
      <c r="R46" s="16">
        <f t="shared" ca="1" si="16"/>
        <v>2</v>
      </c>
      <c r="S46" s="599">
        <f t="shared" ca="1" si="16"/>
        <v>8.3333333333333329E-2</v>
      </c>
      <c r="T46" s="16">
        <f t="shared" ca="1" si="14"/>
        <v>0</v>
      </c>
      <c r="U46" s="16">
        <f t="shared" ca="1" si="14"/>
        <v>6</v>
      </c>
      <c r="V46" s="599">
        <f t="shared" ca="1" si="16"/>
        <v>0.25</v>
      </c>
      <c r="W46" s="16">
        <f t="shared" ca="1" si="16"/>
        <v>1</v>
      </c>
      <c r="X46" s="16">
        <f t="shared" ca="1" si="1"/>
        <v>0</v>
      </c>
      <c r="AA46" s="16">
        <v>44</v>
      </c>
      <c r="AB46" s="16" t="str">
        <f ca="1">Idiomas!D245</f>
        <v>Irak</v>
      </c>
      <c r="AC46" s="16">
        <v>3</v>
      </c>
      <c r="AD46" s="599">
        <f t="shared" si="4"/>
        <v>0.125</v>
      </c>
      <c r="AE46" s="16">
        <v>0</v>
      </c>
      <c r="AF46" s="16">
        <f t="shared" ca="1" si="5"/>
        <v>7</v>
      </c>
      <c r="AG46" s="599">
        <f t="shared" ca="1" si="6"/>
        <v>0.29166666666666669</v>
      </c>
      <c r="AH46" s="16">
        <f t="shared" ca="1" si="7"/>
        <v>1</v>
      </c>
      <c r="AI46" s="16">
        <f t="shared" ca="1" si="8"/>
        <v>27</v>
      </c>
    </row>
    <row r="47" spans="1:35">
      <c r="A47" s="568">
        <v>46194</v>
      </c>
      <c r="B47" s="16"/>
      <c r="C47" s="568">
        <f t="shared" ca="1" si="17"/>
        <v>46194.25</v>
      </c>
      <c r="D47" s="596"/>
      <c r="P47" s="16">
        <v>45</v>
      </c>
      <c r="Q47" s="16" t="str">
        <f t="shared" ca="1" si="3"/>
        <v>Túnez</v>
      </c>
      <c r="R47" s="16">
        <f t="shared" ca="1" si="16"/>
        <v>1</v>
      </c>
      <c r="S47" s="599">
        <f t="shared" ca="1" si="16"/>
        <v>4.1666666666666664E-2</v>
      </c>
      <c r="T47" s="16">
        <f t="shared" ca="1" si="14"/>
        <v>0</v>
      </c>
      <c r="U47" s="16">
        <f t="shared" ca="1" si="14"/>
        <v>5</v>
      </c>
      <c r="V47" s="599">
        <f t="shared" ca="1" si="16"/>
        <v>0.20833333333333334</v>
      </c>
      <c r="W47" s="16">
        <f t="shared" ca="1" si="16"/>
        <v>1</v>
      </c>
      <c r="X47" s="16">
        <f t="shared" ca="1" si="1"/>
        <v>0</v>
      </c>
      <c r="AA47" s="16">
        <v>45</v>
      </c>
      <c r="AB47" s="16" t="str">
        <f ca="1">Idiomas!D246</f>
        <v>Bosnia y Herzegovina</v>
      </c>
      <c r="AC47" s="16">
        <v>2</v>
      </c>
      <c r="AD47" s="599">
        <f t="shared" si="4"/>
        <v>8.3333333333333329E-2</v>
      </c>
      <c r="AE47" s="16">
        <v>0</v>
      </c>
      <c r="AF47" s="16">
        <f t="shared" ca="1" si="5"/>
        <v>6</v>
      </c>
      <c r="AG47" s="599">
        <f t="shared" ca="1" si="6"/>
        <v>0.25</v>
      </c>
      <c r="AH47" s="16">
        <f t="shared" ca="1" si="7"/>
        <v>1</v>
      </c>
      <c r="AI47" s="16">
        <f t="shared" ca="1" si="8"/>
        <v>8</v>
      </c>
    </row>
    <row r="48" spans="1:35">
      <c r="A48" s="568">
        <v>46198.791666666664</v>
      </c>
      <c r="B48" s="16"/>
      <c r="C48" s="568">
        <f t="shared" ca="1" si="17"/>
        <v>46199.041666666664</v>
      </c>
      <c r="D48" s="596"/>
      <c r="P48" s="16">
        <v>46</v>
      </c>
      <c r="Q48" s="16" t="str">
        <f t="shared" ca="1" si="3"/>
        <v>Turquía</v>
      </c>
      <c r="R48" s="16">
        <f t="shared" ca="1" si="16"/>
        <v>3</v>
      </c>
      <c r="S48" s="599">
        <f t="shared" ca="1" si="16"/>
        <v>0.125</v>
      </c>
      <c r="T48" s="16">
        <f t="shared" ca="1" si="14"/>
        <v>0</v>
      </c>
      <c r="U48" s="16">
        <f t="shared" ca="1" si="14"/>
        <v>7</v>
      </c>
      <c r="V48" s="599">
        <f t="shared" ca="1" si="16"/>
        <v>0.29166666666666669</v>
      </c>
      <c r="W48" s="16">
        <f t="shared" ca="1" si="16"/>
        <v>1</v>
      </c>
      <c r="X48" s="16">
        <f t="shared" ca="1" si="1"/>
        <v>0</v>
      </c>
      <c r="AA48" s="16">
        <v>46</v>
      </c>
      <c r="AB48" s="16" t="str">
        <f ca="1">Idiomas!D247</f>
        <v>Suecia</v>
      </c>
      <c r="AC48" s="16">
        <v>2</v>
      </c>
      <c r="AD48" s="599">
        <f t="shared" si="4"/>
        <v>8.3333333333333329E-2</v>
      </c>
      <c r="AE48" s="16">
        <v>0</v>
      </c>
      <c r="AF48" s="16">
        <f t="shared" ca="1" si="5"/>
        <v>6</v>
      </c>
      <c r="AG48" s="599">
        <f t="shared" ca="1" si="6"/>
        <v>0.25</v>
      </c>
      <c r="AH48" s="16">
        <f t="shared" ca="1" si="7"/>
        <v>1</v>
      </c>
      <c r="AI48" s="16">
        <f t="shared" ca="1" si="8"/>
        <v>43</v>
      </c>
    </row>
    <row r="49" spans="1:35">
      <c r="A49" s="568">
        <v>46198.791666666664</v>
      </c>
      <c r="B49" s="16"/>
      <c r="C49" s="568">
        <f t="shared" ca="1" si="17"/>
        <v>46199.041666666664</v>
      </c>
      <c r="D49" s="596"/>
      <c r="P49" s="16">
        <v>47</v>
      </c>
      <c r="Q49" s="16" t="str">
        <f t="shared" ca="1" si="3"/>
        <v>Uruguay</v>
      </c>
      <c r="R49" s="16">
        <f t="shared" ca="1" si="16"/>
        <v>-3</v>
      </c>
      <c r="S49" s="599">
        <f t="shared" ca="1" si="16"/>
        <v>0.125</v>
      </c>
      <c r="T49" s="16">
        <f t="shared" ca="1" si="16"/>
        <v>0</v>
      </c>
      <c r="U49" s="16">
        <f t="shared" ca="1" si="16"/>
        <v>1</v>
      </c>
      <c r="V49" s="599">
        <f t="shared" ca="1" si="16"/>
        <v>4.1666666666666664E-2</v>
      </c>
      <c r="W49" s="16">
        <f t="shared" ca="1" si="16"/>
        <v>1</v>
      </c>
      <c r="X49" s="16">
        <f t="shared" ca="1" si="1"/>
        <v>0</v>
      </c>
      <c r="AA49" s="16">
        <v>47</v>
      </c>
      <c r="AB49" s="16" t="str">
        <f ca="1">Idiomas!D248</f>
        <v>Turquía</v>
      </c>
      <c r="AC49" s="16">
        <v>3</v>
      </c>
      <c r="AD49" s="599">
        <f t="shared" si="4"/>
        <v>0.125</v>
      </c>
      <c r="AE49" s="16">
        <v>0</v>
      </c>
      <c r="AF49" s="16">
        <f t="shared" ca="1" si="5"/>
        <v>7</v>
      </c>
      <c r="AG49" s="599">
        <f t="shared" ca="1" si="6"/>
        <v>0.29166666666666669</v>
      </c>
      <c r="AH49" s="16">
        <f t="shared" ca="1" si="7"/>
        <v>1</v>
      </c>
      <c r="AI49" s="16">
        <f t="shared" ca="1" si="8"/>
        <v>46</v>
      </c>
    </row>
    <row r="50" spans="1:35">
      <c r="A50" s="16"/>
      <c r="B50" s="16"/>
      <c r="C50" s="568"/>
      <c r="P50" s="16">
        <v>48</v>
      </c>
      <c r="Q50" s="16" t="str">
        <f t="shared" ca="1" si="3"/>
        <v>Uzbekistán</v>
      </c>
      <c r="R50" s="16">
        <f t="shared" ca="1" si="16"/>
        <v>5</v>
      </c>
      <c r="S50" s="599">
        <f t="shared" ca="1" si="16"/>
        <v>0.20833333333333334</v>
      </c>
      <c r="T50" s="16">
        <f t="shared" ca="1" si="16"/>
        <v>0</v>
      </c>
      <c r="U50" s="16">
        <f t="shared" ca="1" si="16"/>
        <v>9</v>
      </c>
      <c r="V50" s="599">
        <f t="shared" ca="1" si="16"/>
        <v>0.375</v>
      </c>
      <c r="W50" s="16">
        <f t="shared" ca="1" si="16"/>
        <v>1</v>
      </c>
      <c r="X50" s="16">
        <f t="shared" ca="1" si="1"/>
        <v>0</v>
      </c>
      <c r="AA50" s="16">
        <v>48</v>
      </c>
      <c r="AB50" s="16" t="str">
        <f ca="1">Idiomas!D249</f>
        <v>República Checa</v>
      </c>
      <c r="AC50" s="16">
        <v>2</v>
      </c>
      <c r="AD50" s="599">
        <f t="shared" si="4"/>
        <v>8.3333333333333329E-2</v>
      </c>
      <c r="AE50" s="16">
        <v>0</v>
      </c>
      <c r="AF50" s="16">
        <f t="shared" ca="1" si="5"/>
        <v>6</v>
      </c>
      <c r="AG50" s="599">
        <f t="shared" ca="1" si="6"/>
        <v>0.25</v>
      </c>
      <c r="AH50" s="16">
        <f t="shared" ca="1" si="7"/>
        <v>1</v>
      </c>
      <c r="AI50" s="16">
        <f t="shared" ca="1" si="8"/>
        <v>40</v>
      </c>
    </row>
    <row r="51" spans="1:35">
      <c r="A51" s="9" t="s">
        <v>494</v>
      </c>
      <c r="B51" s="16"/>
      <c r="C51" s="568"/>
      <c r="P51" s="16">
        <v>49</v>
      </c>
      <c r="Q51" s="16" t="s">
        <v>152</v>
      </c>
      <c r="R51" s="16">
        <f t="shared" ca="1" si="16"/>
        <v>-12</v>
      </c>
      <c r="S51" s="599">
        <f t="shared" ca="1" si="16"/>
        <v>0.5</v>
      </c>
      <c r="T51" s="16">
        <f t="shared" ca="1" si="16"/>
        <v>0</v>
      </c>
      <c r="U51" s="16">
        <f t="shared" ca="1" si="16"/>
        <v>-8</v>
      </c>
      <c r="V51" s="599">
        <f t="shared" ca="1" si="16"/>
        <v>0.33333333333333331</v>
      </c>
      <c r="W51" s="16">
        <f t="shared" ref="W51:W60" ca="1" si="18">IF(R51&gt;$M$2,1,IF(R51=$M$2,0,-1))</f>
        <v>-1</v>
      </c>
      <c r="X51" s="16"/>
      <c r="AA51" s="16">
        <v>49</v>
      </c>
      <c r="AB51" s="16" t="s">
        <v>152</v>
      </c>
      <c r="AC51" s="16">
        <v>-12</v>
      </c>
      <c r="AD51" s="599">
        <f t="shared" si="4"/>
        <v>0.5</v>
      </c>
      <c r="AE51" s="16">
        <v>0</v>
      </c>
      <c r="AF51" s="16">
        <f t="shared" ref="AF51:AF60" ca="1" si="19">AC51-$M$2</f>
        <v>-8</v>
      </c>
      <c r="AG51" s="599">
        <f t="shared" ca="1" si="6"/>
        <v>0.33333333333333331</v>
      </c>
      <c r="AH51" s="16">
        <f t="shared" ref="AH51:AH60" ca="1" si="20">IF(AC51&gt;$M$2,1,IF(AC51=$M$2,0,-1))</f>
        <v>-1</v>
      </c>
      <c r="AI51" s="16"/>
    </row>
    <row r="52" spans="1:35">
      <c r="A52" s="568">
        <v>46188.625</v>
      </c>
      <c r="B52" s="16"/>
      <c r="C52" s="568">
        <f t="shared" ref="C52:C57" ca="1" si="21">A52+INDEX($V$3:$V$86,MATCH($C$3,$P$3:$P$86,0))*INDEX($W$3:$W$86,MATCH($C$3,$P$3:$P$86,0))</f>
        <v>46188.875</v>
      </c>
      <c r="D52" s="596"/>
      <c r="P52" s="16">
        <v>50</v>
      </c>
      <c r="Q52" s="16" t="s">
        <v>153</v>
      </c>
      <c r="R52" s="16">
        <f t="shared" ca="1" si="16"/>
        <v>-11</v>
      </c>
      <c r="S52" s="599">
        <f t="shared" ca="1" si="16"/>
        <v>0.45833333333333331</v>
      </c>
      <c r="T52" s="16">
        <f t="shared" ca="1" si="16"/>
        <v>0</v>
      </c>
      <c r="U52" s="16">
        <f t="shared" ca="1" si="16"/>
        <v>-7</v>
      </c>
      <c r="V52" s="599">
        <f t="shared" ca="1" si="16"/>
        <v>0.29166666666666669</v>
      </c>
      <c r="W52" s="16">
        <f t="shared" ca="1" si="18"/>
        <v>-1</v>
      </c>
      <c r="X52" s="16"/>
      <c r="AA52" s="16">
        <v>50</v>
      </c>
      <c r="AB52" s="16" t="s">
        <v>153</v>
      </c>
      <c r="AC52" s="16">
        <v>-11</v>
      </c>
      <c r="AD52" s="599">
        <f t="shared" si="4"/>
        <v>0.45833333333333331</v>
      </c>
      <c r="AE52" s="16">
        <v>0</v>
      </c>
      <c r="AF52" s="16">
        <f t="shared" ca="1" si="19"/>
        <v>-7</v>
      </c>
      <c r="AG52" s="599">
        <f t="shared" ca="1" si="6"/>
        <v>0.29166666666666669</v>
      </c>
      <c r="AH52" s="16">
        <f t="shared" ca="1" si="20"/>
        <v>-1</v>
      </c>
      <c r="AI52" s="16"/>
    </row>
    <row r="53" spans="1:35">
      <c r="A53" s="568">
        <v>46188.875</v>
      </c>
      <c r="B53" s="16"/>
      <c r="C53" s="568">
        <f t="shared" ca="1" si="21"/>
        <v>46189.125</v>
      </c>
      <c r="D53" s="596"/>
      <c r="P53" s="16">
        <v>51</v>
      </c>
      <c r="Q53" s="16" t="s">
        <v>154</v>
      </c>
      <c r="R53" s="16">
        <f t="shared" ca="1" si="16"/>
        <v>-10</v>
      </c>
      <c r="S53" s="599">
        <f t="shared" ca="1" si="16"/>
        <v>0.41666666666666669</v>
      </c>
      <c r="T53" s="16">
        <f t="shared" ca="1" si="16"/>
        <v>0</v>
      </c>
      <c r="U53" s="16">
        <f t="shared" ca="1" si="16"/>
        <v>-6</v>
      </c>
      <c r="V53" s="599">
        <f t="shared" ca="1" si="16"/>
        <v>0.25</v>
      </c>
      <c r="W53" s="16">
        <f t="shared" ca="1" si="18"/>
        <v>-1</v>
      </c>
      <c r="X53" s="16"/>
      <c r="AA53" s="16">
        <v>51</v>
      </c>
      <c r="AB53" s="16" t="s">
        <v>154</v>
      </c>
      <c r="AC53" s="16">
        <v>-10</v>
      </c>
      <c r="AD53" s="599">
        <f t="shared" si="4"/>
        <v>0.41666666666666669</v>
      </c>
      <c r="AE53" s="16">
        <v>0</v>
      </c>
      <c r="AF53" s="16">
        <f t="shared" ca="1" si="19"/>
        <v>-6</v>
      </c>
      <c r="AG53" s="599">
        <f t="shared" ca="1" si="6"/>
        <v>0.25</v>
      </c>
      <c r="AH53" s="16">
        <f t="shared" ca="1" si="20"/>
        <v>-1</v>
      </c>
      <c r="AI53" s="16"/>
    </row>
    <row r="54" spans="1:35">
      <c r="A54" s="568">
        <v>46194.625</v>
      </c>
      <c r="B54" s="16"/>
      <c r="C54" s="568">
        <f t="shared" ca="1" si="21"/>
        <v>46194.875</v>
      </c>
      <c r="D54" s="596"/>
      <c r="P54" s="16">
        <v>52</v>
      </c>
      <c r="Q54" s="16" t="s">
        <v>155</v>
      </c>
      <c r="R54" s="16">
        <f t="shared" ca="1" si="16"/>
        <v>-9</v>
      </c>
      <c r="S54" s="599">
        <f t="shared" ca="1" si="16"/>
        <v>0.375</v>
      </c>
      <c r="T54" s="16">
        <f t="shared" ca="1" si="16"/>
        <v>0</v>
      </c>
      <c r="U54" s="16">
        <f t="shared" ca="1" si="16"/>
        <v>-5</v>
      </c>
      <c r="V54" s="599">
        <f t="shared" ca="1" si="16"/>
        <v>0.20833333333333334</v>
      </c>
      <c r="W54" s="16">
        <f t="shared" ca="1" si="18"/>
        <v>-1</v>
      </c>
      <c r="X54" s="16"/>
      <c r="AA54" s="16">
        <v>52</v>
      </c>
      <c r="AB54" s="16" t="s">
        <v>155</v>
      </c>
      <c r="AC54" s="16">
        <v>-9</v>
      </c>
      <c r="AD54" s="599">
        <f t="shared" si="4"/>
        <v>0.375</v>
      </c>
      <c r="AE54" s="16">
        <v>0</v>
      </c>
      <c r="AF54" s="16">
        <f t="shared" ca="1" si="19"/>
        <v>-5</v>
      </c>
      <c r="AG54" s="599">
        <f t="shared" ca="1" si="6"/>
        <v>0.20833333333333334</v>
      </c>
      <c r="AH54" s="16">
        <f t="shared" ca="1" si="20"/>
        <v>-1</v>
      </c>
      <c r="AI54" s="16"/>
    </row>
    <row r="55" spans="1:35">
      <c r="A55" s="568">
        <v>46194.875</v>
      </c>
      <c r="B55" s="16"/>
      <c r="C55" s="568">
        <f t="shared" ca="1" si="21"/>
        <v>46195.125</v>
      </c>
      <c r="D55" s="596"/>
      <c r="P55" s="16">
        <v>53</v>
      </c>
      <c r="Q55" s="16" t="s">
        <v>156</v>
      </c>
      <c r="R55" s="16">
        <f t="shared" ca="1" si="16"/>
        <v>-8</v>
      </c>
      <c r="S55" s="599">
        <f t="shared" ca="1" si="16"/>
        <v>0.33333333333333331</v>
      </c>
      <c r="T55" s="16">
        <f t="shared" ca="1" si="16"/>
        <v>0</v>
      </c>
      <c r="U55" s="16">
        <f t="shared" ca="1" si="16"/>
        <v>-4</v>
      </c>
      <c r="V55" s="599">
        <f t="shared" ca="1" si="16"/>
        <v>0.16666666666666666</v>
      </c>
      <c r="W55" s="16">
        <f t="shared" ca="1" si="18"/>
        <v>-1</v>
      </c>
      <c r="X55" s="16"/>
      <c r="AA55" s="16">
        <v>53</v>
      </c>
      <c r="AB55" s="16" t="s">
        <v>156</v>
      </c>
      <c r="AC55" s="16">
        <v>-8</v>
      </c>
      <c r="AD55" s="599">
        <f t="shared" si="4"/>
        <v>0.33333333333333331</v>
      </c>
      <c r="AE55" s="16">
        <v>0</v>
      </c>
      <c r="AF55" s="16">
        <f t="shared" ca="1" si="19"/>
        <v>-4</v>
      </c>
      <c r="AG55" s="599">
        <f t="shared" ca="1" si="6"/>
        <v>0.16666666666666666</v>
      </c>
      <c r="AH55" s="16">
        <f t="shared" ca="1" si="20"/>
        <v>-1</v>
      </c>
      <c r="AI55" s="16"/>
    </row>
    <row r="56" spans="1:35">
      <c r="A56" s="568">
        <v>46199.958333333336</v>
      </c>
      <c r="B56" s="16"/>
      <c r="C56" s="568">
        <f t="shared" ca="1" si="21"/>
        <v>46200.208333333336</v>
      </c>
      <c r="D56" s="596"/>
      <c r="P56" s="16">
        <v>54</v>
      </c>
      <c r="Q56" s="16" t="s">
        <v>157</v>
      </c>
      <c r="R56" s="16">
        <f t="shared" ca="1" si="16"/>
        <v>-7</v>
      </c>
      <c r="S56" s="599">
        <f t="shared" ca="1" si="16"/>
        <v>0.29166666666666669</v>
      </c>
      <c r="T56" s="16">
        <f t="shared" ca="1" si="16"/>
        <v>0</v>
      </c>
      <c r="U56" s="16">
        <f t="shared" ca="1" si="16"/>
        <v>-3</v>
      </c>
      <c r="V56" s="599">
        <f t="shared" ca="1" si="16"/>
        <v>0.125</v>
      </c>
      <c r="W56" s="16">
        <f t="shared" ca="1" si="18"/>
        <v>-1</v>
      </c>
      <c r="X56" s="16"/>
      <c r="AA56" s="16">
        <v>54</v>
      </c>
      <c r="AB56" s="16" t="s">
        <v>157</v>
      </c>
      <c r="AC56" s="16">
        <v>-7</v>
      </c>
      <c r="AD56" s="599">
        <f t="shared" si="4"/>
        <v>0.29166666666666669</v>
      </c>
      <c r="AE56" s="16">
        <v>0</v>
      </c>
      <c r="AF56" s="16">
        <f t="shared" ca="1" si="19"/>
        <v>-3</v>
      </c>
      <c r="AG56" s="599">
        <f t="shared" ca="1" si="6"/>
        <v>0.125</v>
      </c>
      <c r="AH56" s="16">
        <f t="shared" ca="1" si="20"/>
        <v>-1</v>
      </c>
      <c r="AI56" s="16"/>
    </row>
    <row r="57" spans="1:35">
      <c r="A57" s="568">
        <v>46199.958333333336</v>
      </c>
      <c r="B57" s="16"/>
      <c r="C57" s="568">
        <f t="shared" ca="1" si="21"/>
        <v>46200.208333333336</v>
      </c>
      <c r="D57" s="596"/>
      <c r="P57" s="16">
        <v>55</v>
      </c>
      <c r="Q57" s="16" t="s">
        <v>158</v>
      </c>
      <c r="R57" s="16">
        <f t="shared" ca="1" si="16"/>
        <v>-6</v>
      </c>
      <c r="S57" s="599">
        <f t="shared" ca="1" si="16"/>
        <v>0.25</v>
      </c>
      <c r="T57" s="16">
        <f t="shared" ca="1" si="16"/>
        <v>0</v>
      </c>
      <c r="U57" s="16">
        <f t="shared" ca="1" si="16"/>
        <v>-2</v>
      </c>
      <c r="V57" s="599">
        <f t="shared" ca="1" si="16"/>
        <v>8.3333333333333329E-2</v>
      </c>
      <c r="W57" s="16">
        <f t="shared" ca="1" si="18"/>
        <v>-1</v>
      </c>
      <c r="X57" s="16"/>
      <c r="AA57" s="16">
        <v>55</v>
      </c>
      <c r="AB57" s="16" t="s">
        <v>158</v>
      </c>
      <c r="AC57" s="16">
        <v>-6</v>
      </c>
      <c r="AD57" s="599">
        <f t="shared" si="4"/>
        <v>0.25</v>
      </c>
      <c r="AE57" s="16">
        <v>0</v>
      </c>
      <c r="AF57" s="16">
        <f t="shared" ca="1" si="19"/>
        <v>-2</v>
      </c>
      <c r="AG57" s="599">
        <f t="shared" ca="1" si="6"/>
        <v>8.3333333333333329E-2</v>
      </c>
      <c r="AH57" s="16">
        <f t="shared" ca="1" si="20"/>
        <v>-1</v>
      </c>
      <c r="AI57" s="16"/>
    </row>
    <row r="58" spans="1:35">
      <c r="A58" s="16"/>
      <c r="B58" s="16"/>
      <c r="C58" s="568"/>
      <c r="P58" s="16">
        <v>56</v>
      </c>
      <c r="Q58" s="16" t="s">
        <v>159</v>
      </c>
      <c r="R58" s="16">
        <f t="shared" ca="1" si="16"/>
        <v>-5</v>
      </c>
      <c r="S58" s="599">
        <f t="shared" ca="1" si="16"/>
        <v>0.20833333333333334</v>
      </c>
      <c r="T58" s="16">
        <f t="shared" ca="1" si="16"/>
        <v>0</v>
      </c>
      <c r="U58" s="16">
        <f t="shared" ca="1" si="16"/>
        <v>-1</v>
      </c>
      <c r="V58" s="599">
        <f t="shared" ca="1" si="16"/>
        <v>4.1666666666666664E-2</v>
      </c>
      <c r="W58" s="16">
        <f t="shared" ca="1" si="18"/>
        <v>-1</v>
      </c>
      <c r="X58" s="16"/>
      <c r="AA58" s="16">
        <v>56</v>
      </c>
      <c r="AB58" s="16" t="s">
        <v>159</v>
      </c>
      <c r="AC58" s="16">
        <v>-5</v>
      </c>
      <c r="AD58" s="599">
        <f t="shared" si="4"/>
        <v>0.20833333333333334</v>
      </c>
      <c r="AE58" s="16">
        <v>0</v>
      </c>
      <c r="AF58" s="16">
        <f t="shared" ca="1" si="19"/>
        <v>-1</v>
      </c>
      <c r="AG58" s="599">
        <f t="shared" ca="1" si="6"/>
        <v>4.1666666666666664E-2</v>
      </c>
      <c r="AH58" s="16">
        <f t="shared" ca="1" si="20"/>
        <v>-1</v>
      </c>
      <c r="AI58" s="16"/>
    </row>
    <row r="59" spans="1:35">
      <c r="A59" s="9" t="s">
        <v>495</v>
      </c>
      <c r="B59" s="16"/>
      <c r="C59" s="568"/>
      <c r="P59" s="16">
        <v>57</v>
      </c>
      <c r="Q59" s="16" t="s">
        <v>160</v>
      </c>
      <c r="R59" s="16">
        <f t="shared" ref="R59:R86" ca="1" si="22">+INDEX($AC$3:$AH$86,MATCH($Q59,$AB$3:$AB$86,0),MATCH(R$2,$AC$2:$AH$2,0))</f>
        <v>-4</v>
      </c>
      <c r="S59" s="599">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599">
        <f t="shared" ref="V59:V86" ca="1" si="26">+INDEX($AC$3:$AH$86,MATCH($Q59,$AB$3:$AB$86,0),MATCH(V$2,$AC$2:$AH$2,0))</f>
        <v>0</v>
      </c>
      <c r="W59" s="16">
        <f t="shared" ca="1" si="18"/>
        <v>0</v>
      </c>
      <c r="X59" s="16"/>
      <c r="AA59" s="16">
        <v>57</v>
      </c>
      <c r="AB59" s="16" t="s">
        <v>160</v>
      </c>
      <c r="AC59" s="16">
        <v>-4</v>
      </c>
      <c r="AD59" s="599">
        <f t="shared" si="4"/>
        <v>0.16666666666666666</v>
      </c>
      <c r="AE59" s="16">
        <v>0</v>
      </c>
      <c r="AF59" s="16">
        <f t="shared" ca="1" si="19"/>
        <v>0</v>
      </c>
      <c r="AG59" s="599">
        <f t="shared" ca="1" si="6"/>
        <v>0</v>
      </c>
      <c r="AH59" s="16">
        <f t="shared" ca="1" si="20"/>
        <v>0</v>
      </c>
      <c r="AI59" s="16"/>
    </row>
    <row r="60" spans="1:35">
      <c r="A60" s="568">
        <v>46188.5</v>
      </c>
      <c r="B60" s="16"/>
      <c r="C60" s="568">
        <f t="shared" ref="C60:C65" ca="1" si="27">A60+INDEX($V$3:$V$86,MATCH($C$3,$P$3:$P$86,0))*INDEX($W$3:$W$86,MATCH($C$3,$P$3:$P$86,0))</f>
        <v>46188.75</v>
      </c>
      <c r="D60" s="596"/>
      <c r="P60" s="16">
        <v>58</v>
      </c>
      <c r="Q60" s="16" t="s">
        <v>376</v>
      </c>
      <c r="R60" s="16">
        <f t="shared" ca="1" si="22"/>
        <v>-3.5</v>
      </c>
      <c r="S60" s="599">
        <f t="shared" ca="1" si="23"/>
        <v>0.14583333333333334</v>
      </c>
      <c r="T60" s="16">
        <f t="shared" ca="1" si="24"/>
        <v>0</v>
      </c>
      <c r="U60" s="16">
        <f t="shared" ca="1" si="25"/>
        <v>0.5</v>
      </c>
      <c r="V60" s="599">
        <f t="shared" ca="1" si="26"/>
        <v>2.0833333333333332E-2</v>
      </c>
      <c r="W60" s="16">
        <f t="shared" ca="1" si="18"/>
        <v>1</v>
      </c>
      <c r="X60" s="16"/>
      <c r="AA60" s="16">
        <v>58</v>
      </c>
      <c r="AB60" s="16" t="s">
        <v>376</v>
      </c>
      <c r="AC60" s="16">
        <v>-3.5</v>
      </c>
      <c r="AD60" s="599">
        <f t="shared" si="4"/>
        <v>0.14583333333333334</v>
      </c>
      <c r="AE60" s="16">
        <v>0</v>
      </c>
      <c r="AF60" s="16">
        <f t="shared" ca="1" si="19"/>
        <v>0.5</v>
      </c>
      <c r="AG60" s="599">
        <f t="shared" ca="1" si="6"/>
        <v>2.0833333333333332E-2</v>
      </c>
      <c r="AH60" s="16">
        <f t="shared" ca="1" si="20"/>
        <v>1</v>
      </c>
      <c r="AI60" s="16"/>
    </row>
    <row r="61" spans="1:35">
      <c r="A61" s="568">
        <v>46188.75</v>
      </c>
      <c r="B61" s="16"/>
      <c r="C61" s="568">
        <f t="shared" ca="1" si="27"/>
        <v>46189</v>
      </c>
      <c r="D61" s="596"/>
      <c r="P61" s="16">
        <v>59</v>
      </c>
      <c r="Q61" s="16" t="s">
        <v>161</v>
      </c>
      <c r="R61" s="16">
        <f t="shared" ca="1" si="22"/>
        <v>-3</v>
      </c>
      <c r="S61" s="599">
        <f t="shared" ca="1" si="23"/>
        <v>0.125</v>
      </c>
      <c r="T61" s="16">
        <f t="shared" ca="1" si="24"/>
        <v>0</v>
      </c>
      <c r="U61" s="16">
        <f t="shared" ca="1" si="25"/>
        <v>1</v>
      </c>
      <c r="V61" s="599">
        <f t="shared" ca="1" si="26"/>
        <v>4.1666666666666664E-2</v>
      </c>
      <c r="W61" s="16">
        <f t="shared" ref="W61:W86" ca="1" si="28">IF(R61&gt;$M$2,1,IF(R61=$M$2,0,-1))</f>
        <v>1</v>
      </c>
      <c r="X61" s="16"/>
      <c r="AA61" s="16">
        <v>59</v>
      </c>
      <c r="AB61" s="16" t="s">
        <v>161</v>
      </c>
      <c r="AC61" s="16">
        <v>-3</v>
      </c>
      <c r="AD61" s="599">
        <f t="shared" si="4"/>
        <v>0.125</v>
      </c>
      <c r="AE61" s="16">
        <v>0</v>
      </c>
      <c r="AF61" s="16">
        <f t="shared" ref="AF61:AF86" ca="1" si="29">AC61-$M$2</f>
        <v>1</v>
      </c>
      <c r="AG61" s="599">
        <f t="shared" ca="1" si="6"/>
        <v>4.1666666666666664E-2</v>
      </c>
      <c r="AH61" s="16">
        <f t="shared" ref="AH61:AH86" ca="1" si="30">IF(AC61&gt;$M$2,1,IF(AC61=$M$2,0,-1))</f>
        <v>1</v>
      </c>
      <c r="AI61" s="16"/>
    </row>
    <row r="62" spans="1:35">
      <c r="A62" s="568">
        <v>46194.5</v>
      </c>
      <c r="B62" s="16"/>
      <c r="C62" s="568">
        <f t="shared" ca="1" si="27"/>
        <v>46194.75</v>
      </c>
      <c r="D62" s="596"/>
      <c r="P62" s="16">
        <v>60</v>
      </c>
      <c r="Q62" s="16" t="s">
        <v>162</v>
      </c>
      <c r="R62" s="16">
        <f t="shared" ca="1" si="22"/>
        <v>-2</v>
      </c>
      <c r="S62" s="599">
        <f t="shared" ca="1" si="23"/>
        <v>8.3333333333333329E-2</v>
      </c>
      <c r="T62" s="16">
        <f t="shared" ca="1" si="24"/>
        <v>0</v>
      </c>
      <c r="U62" s="16">
        <f t="shared" ca="1" si="25"/>
        <v>2</v>
      </c>
      <c r="V62" s="599">
        <f t="shared" ca="1" si="26"/>
        <v>8.3333333333333329E-2</v>
      </c>
      <c r="W62" s="16">
        <f t="shared" ca="1" si="28"/>
        <v>1</v>
      </c>
      <c r="X62" s="16"/>
      <c r="AA62" s="16">
        <v>60</v>
      </c>
      <c r="AB62" s="16" t="s">
        <v>162</v>
      </c>
      <c r="AC62" s="16">
        <v>-2</v>
      </c>
      <c r="AD62" s="599">
        <f t="shared" si="4"/>
        <v>8.3333333333333329E-2</v>
      </c>
      <c r="AE62" s="16">
        <v>0</v>
      </c>
      <c r="AF62" s="16">
        <f t="shared" ca="1" si="29"/>
        <v>2</v>
      </c>
      <c r="AG62" s="599">
        <f t="shared" ca="1" si="6"/>
        <v>8.3333333333333329E-2</v>
      </c>
      <c r="AH62" s="16">
        <f t="shared" ca="1" si="30"/>
        <v>1</v>
      </c>
      <c r="AI62" s="16"/>
    </row>
    <row r="63" spans="1:35">
      <c r="A63" s="568">
        <v>46194.75</v>
      </c>
      <c r="B63" s="16"/>
      <c r="C63" s="568">
        <f t="shared" ca="1" si="27"/>
        <v>46195</v>
      </c>
      <c r="D63" s="596"/>
      <c r="P63" s="16">
        <v>61</v>
      </c>
      <c r="Q63" s="16" t="s">
        <v>163</v>
      </c>
      <c r="R63" s="16">
        <f t="shared" ca="1" si="22"/>
        <v>-1</v>
      </c>
      <c r="S63" s="599">
        <f t="shared" ca="1" si="23"/>
        <v>4.1666666666666664E-2</v>
      </c>
      <c r="T63" s="16">
        <f t="shared" ca="1" si="24"/>
        <v>0</v>
      </c>
      <c r="U63" s="16">
        <f t="shared" ca="1" si="25"/>
        <v>3</v>
      </c>
      <c r="V63" s="599">
        <f t="shared" ca="1" si="26"/>
        <v>0.125</v>
      </c>
      <c r="W63" s="16">
        <f t="shared" ca="1" si="28"/>
        <v>1</v>
      </c>
      <c r="X63" s="16"/>
      <c r="AA63" s="16">
        <v>61</v>
      </c>
      <c r="AB63" s="16" t="s">
        <v>163</v>
      </c>
      <c r="AC63" s="16">
        <v>-1</v>
      </c>
      <c r="AD63" s="599">
        <f t="shared" si="4"/>
        <v>4.1666666666666664E-2</v>
      </c>
      <c r="AE63" s="16">
        <v>0</v>
      </c>
      <c r="AF63" s="16">
        <f t="shared" ca="1" si="29"/>
        <v>3</v>
      </c>
      <c r="AG63" s="599">
        <f t="shared" ca="1" si="6"/>
        <v>0.125</v>
      </c>
      <c r="AH63" s="16">
        <f t="shared" ca="1" si="30"/>
        <v>1</v>
      </c>
      <c r="AI63" s="16"/>
    </row>
    <row r="64" spans="1:35">
      <c r="A64" s="568">
        <v>46199.833333333336</v>
      </c>
      <c r="B64" s="16"/>
      <c r="C64" s="568">
        <f t="shared" ca="1" si="27"/>
        <v>46200.083333333336</v>
      </c>
      <c r="D64" s="596"/>
      <c r="P64" s="16">
        <v>62</v>
      </c>
      <c r="Q64" s="16" t="s">
        <v>151</v>
      </c>
      <c r="R64" s="16">
        <f t="shared" ca="1" si="22"/>
        <v>0</v>
      </c>
      <c r="S64" s="599">
        <f t="shared" ca="1" si="23"/>
        <v>0</v>
      </c>
      <c r="T64" s="16">
        <f t="shared" ca="1" si="24"/>
        <v>0</v>
      </c>
      <c r="U64" s="16">
        <f t="shared" ca="1" si="25"/>
        <v>4</v>
      </c>
      <c r="V64" s="599">
        <f t="shared" ca="1" si="26"/>
        <v>0.16666666666666666</v>
      </c>
      <c r="W64" s="16">
        <f t="shared" ca="1" si="28"/>
        <v>1</v>
      </c>
      <c r="X64" s="16"/>
      <c r="AA64" s="16">
        <v>62</v>
      </c>
      <c r="AB64" s="16" t="s">
        <v>151</v>
      </c>
      <c r="AC64" s="16">
        <v>0</v>
      </c>
      <c r="AD64" s="599">
        <f t="shared" si="4"/>
        <v>0</v>
      </c>
      <c r="AE64" s="16">
        <v>0</v>
      </c>
      <c r="AF64" s="16">
        <f t="shared" ca="1" si="29"/>
        <v>4</v>
      </c>
      <c r="AG64" s="599">
        <f t="shared" ca="1" si="6"/>
        <v>0.16666666666666666</v>
      </c>
      <c r="AH64" s="16">
        <f t="shared" ca="1" si="30"/>
        <v>1</v>
      </c>
      <c r="AI64" s="16"/>
    </row>
    <row r="65" spans="1:35">
      <c r="A65" s="568">
        <v>46199.833333333336</v>
      </c>
      <c r="B65" s="16"/>
      <c r="C65" s="568">
        <f t="shared" ca="1" si="27"/>
        <v>46200.083333333336</v>
      </c>
      <c r="D65" s="596"/>
      <c r="P65" s="16">
        <v>63</v>
      </c>
      <c r="Q65" s="16" t="s">
        <v>164</v>
      </c>
      <c r="R65" s="16">
        <f t="shared" ca="1" si="22"/>
        <v>1</v>
      </c>
      <c r="S65" s="599">
        <f t="shared" ca="1" si="23"/>
        <v>4.1666666666666664E-2</v>
      </c>
      <c r="T65" s="16">
        <f t="shared" ca="1" si="24"/>
        <v>0</v>
      </c>
      <c r="U65" s="16">
        <f t="shared" ca="1" si="25"/>
        <v>5</v>
      </c>
      <c r="V65" s="599">
        <f t="shared" ca="1" si="26"/>
        <v>0.20833333333333334</v>
      </c>
      <c r="W65" s="16">
        <f t="shared" ca="1" si="28"/>
        <v>1</v>
      </c>
      <c r="X65" s="16"/>
      <c r="AA65" s="16">
        <v>63</v>
      </c>
      <c r="AB65" s="16" t="s">
        <v>164</v>
      </c>
      <c r="AC65" s="16">
        <v>1</v>
      </c>
      <c r="AD65" s="599">
        <f t="shared" si="4"/>
        <v>4.1666666666666664E-2</v>
      </c>
      <c r="AE65" s="16">
        <v>0</v>
      </c>
      <c r="AF65" s="16">
        <f t="shared" ca="1" si="29"/>
        <v>5</v>
      </c>
      <c r="AG65" s="599">
        <f t="shared" ca="1" si="6"/>
        <v>0.20833333333333334</v>
      </c>
      <c r="AH65" s="16">
        <f t="shared" ca="1" si="30"/>
        <v>1</v>
      </c>
      <c r="AI65" s="16"/>
    </row>
    <row r="66" spans="1:35">
      <c r="A66" s="16"/>
      <c r="B66" s="16"/>
      <c r="C66" s="568"/>
      <c r="P66" s="16">
        <v>64</v>
      </c>
      <c r="Q66" s="16" t="s">
        <v>165</v>
      </c>
      <c r="R66" s="16">
        <f t="shared" ca="1" si="22"/>
        <v>2</v>
      </c>
      <c r="S66" s="599">
        <f t="shared" ca="1" si="23"/>
        <v>8.3333333333333329E-2</v>
      </c>
      <c r="T66" s="16">
        <f t="shared" ca="1" si="24"/>
        <v>0</v>
      </c>
      <c r="U66" s="16">
        <f t="shared" ca="1" si="25"/>
        <v>6</v>
      </c>
      <c r="V66" s="599">
        <f t="shared" ca="1" si="26"/>
        <v>0.25</v>
      </c>
      <c r="W66" s="16">
        <f t="shared" ca="1" si="28"/>
        <v>1</v>
      </c>
      <c r="X66" s="16"/>
      <c r="AA66" s="16">
        <v>64</v>
      </c>
      <c r="AB66" s="16" t="s">
        <v>165</v>
      </c>
      <c r="AC66" s="16">
        <v>2</v>
      </c>
      <c r="AD66" s="599">
        <f t="shared" si="4"/>
        <v>8.3333333333333329E-2</v>
      </c>
      <c r="AE66" s="16">
        <v>0</v>
      </c>
      <c r="AF66" s="16">
        <f t="shared" ca="1" si="29"/>
        <v>6</v>
      </c>
      <c r="AG66" s="599">
        <f t="shared" ca="1" si="6"/>
        <v>0.25</v>
      </c>
      <c r="AH66" s="16">
        <f t="shared" ca="1" si="30"/>
        <v>1</v>
      </c>
      <c r="AI66" s="16"/>
    </row>
    <row r="67" spans="1:35">
      <c r="A67" s="9" t="s">
        <v>496</v>
      </c>
      <c r="B67" s="16"/>
      <c r="C67" s="568"/>
      <c r="P67" s="16">
        <v>65</v>
      </c>
      <c r="Q67" s="16" t="s">
        <v>166</v>
      </c>
      <c r="R67" s="16">
        <f t="shared" ca="1" si="22"/>
        <v>3</v>
      </c>
      <c r="S67" s="599">
        <f t="shared" ca="1" si="23"/>
        <v>0.125</v>
      </c>
      <c r="T67" s="16">
        <f t="shared" ca="1" si="24"/>
        <v>0</v>
      </c>
      <c r="U67" s="16">
        <f t="shared" ca="1" si="25"/>
        <v>7</v>
      </c>
      <c r="V67" s="599">
        <f t="shared" ca="1" si="26"/>
        <v>0.29166666666666669</v>
      </c>
      <c r="W67" s="16">
        <f t="shared" ca="1" si="28"/>
        <v>1</v>
      </c>
      <c r="X67" s="16"/>
      <c r="AA67" s="16">
        <v>65</v>
      </c>
      <c r="AB67" s="16" t="s">
        <v>166</v>
      </c>
      <c r="AC67" s="16">
        <v>3</v>
      </c>
      <c r="AD67" s="599">
        <f t="shared" si="4"/>
        <v>0.125</v>
      </c>
      <c r="AE67" s="16">
        <v>0</v>
      </c>
      <c r="AF67" s="16">
        <f t="shared" ca="1" si="29"/>
        <v>7</v>
      </c>
      <c r="AG67" s="599">
        <f t="shared" ca="1" si="6"/>
        <v>0.29166666666666669</v>
      </c>
      <c r="AH67" s="16">
        <f t="shared" ca="1" si="30"/>
        <v>1</v>
      </c>
      <c r="AI67" s="16"/>
    </row>
    <row r="68" spans="1:35">
      <c r="A68" s="568">
        <v>46189.625</v>
      </c>
      <c r="B68" s="16"/>
      <c r="C68" s="568">
        <f t="shared" ref="C68:C73" ca="1" si="31">A68+INDEX($V$3:$V$86,MATCH($C$3,$P$3:$P$86,0))*INDEX($W$3:$W$86,MATCH($C$3,$P$3:$P$86,0))</f>
        <v>46189.875</v>
      </c>
      <c r="D68" s="596"/>
      <c r="P68" s="16">
        <v>66</v>
      </c>
      <c r="Q68" s="16" t="s">
        <v>366</v>
      </c>
      <c r="R68" s="16">
        <f t="shared" ca="1" si="22"/>
        <v>3.5</v>
      </c>
      <c r="S68" s="599">
        <f t="shared" ca="1" si="23"/>
        <v>0.14583333333333334</v>
      </c>
      <c r="T68" s="16">
        <f t="shared" ca="1" si="24"/>
        <v>0</v>
      </c>
      <c r="U68" s="16">
        <f t="shared" ca="1" si="25"/>
        <v>7.5</v>
      </c>
      <c r="V68" s="599">
        <f t="shared" ca="1" si="26"/>
        <v>0.3125</v>
      </c>
      <c r="W68" s="16">
        <f t="shared" ca="1" si="28"/>
        <v>1</v>
      </c>
      <c r="X68" s="16"/>
      <c r="AA68" s="16">
        <v>66</v>
      </c>
      <c r="AB68" s="16" t="s">
        <v>366</v>
      </c>
      <c r="AC68" s="16">
        <v>3.5</v>
      </c>
      <c r="AD68" s="599">
        <f t="shared" ref="AD68:AD86" si="32">ABS(AC68/24)</f>
        <v>0.14583333333333334</v>
      </c>
      <c r="AE68" s="16">
        <v>0</v>
      </c>
      <c r="AF68" s="16">
        <f t="shared" ca="1" si="29"/>
        <v>7.5</v>
      </c>
      <c r="AG68" s="599">
        <f t="shared" ref="AG68:AG86" ca="1" si="33">ABS(AF68/24)</f>
        <v>0.3125</v>
      </c>
      <c r="AH68" s="16">
        <f t="shared" ca="1" si="30"/>
        <v>1</v>
      </c>
      <c r="AI68" s="16"/>
    </row>
    <row r="69" spans="1:35">
      <c r="A69" s="568">
        <v>46189.75</v>
      </c>
      <c r="B69" s="16"/>
      <c r="C69" s="568">
        <f t="shared" ca="1" si="31"/>
        <v>46190</v>
      </c>
      <c r="D69" s="596"/>
      <c r="P69" s="16">
        <v>67</v>
      </c>
      <c r="Q69" s="16" t="s">
        <v>167</v>
      </c>
      <c r="R69" s="16">
        <f t="shared" ca="1" si="22"/>
        <v>4</v>
      </c>
      <c r="S69" s="599">
        <f t="shared" ca="1" si="23"/>
        <v>0.16666666666666666</v>
      </c>
      <c r="T69" s="16">
        <f t="shared" ca="1" si="24"/>
        <v>0</v>
      </c>
      <c r="U69" s="16">
        <f t="shared" ca="1" si="25"/>
        <v>8</v>
      </c>
      <c r="V69" s="599">
        <f t="shared" ca="1" si="26"/>
        <v>0.33333333333333331</v>
      </c>
      <c r="W69" s="16">
        <f t="shared" ca="1" si="28"/>
        <v>1</v>
      </c>
      <c r="X69" s="16"/>
      <c r="AA69" s="16">
        <v>67</v>
      </c>
      <c r="AB69" s="16" t="s">
        <v>167</v>
      </c>
      <c r="AC69" s="16">
        <v>4</v>
      </c>
      <c r="AD69" s="599">
        <f t="shared" si="32"/>
        <v>0.16666666666666666</v>
      </c>
      <c r="AE69" s="16">
        <v>0</v>
      </c>
      <c r="AF69" s="16">
        <f t="shared" ca="1" si="29"/>
        <v>8</v>
      </c>
      <c r="AG69" s="599">
        <f t="shared" ca="1" si="33"/>
        <v>0.33333333333333331</v>
      </c>
      <c r="AH69" s="16">
        <f t="shared" ca="1" si="30"/>
        <v>1</v>
      </c>
      <c r="AI69" s="16"/>
    </row>
    <row r="70" spans="1:35">
      <c r="A70" s="568">
        <v>46195.708333333336</v>
      </c>
      <c r="B70" s="16"/>
      <c r="C70" s="568">
        <f t="shared" ca="1" si="31"/>
        <v>46195.958333333336</v>
      </c>
      <c r="D70" s="596"/>
      <c r="P70" s="16">
        <v>68</v>
      </c>
      <c r="Q70" s="16" t="s">
        <v>367</v>
      </c>
      <c r="R70" s="16">
        <f t="shared" ca="1" si="22"/>
        <v>4.5</v>
      </c>
      <c r="S70" s="599">
        <f t="shared" ca="1" si="23"/>
        <v>0.1875</v>
      </c>
      <c r="T70" s="16">
        <f t="shared" ca="1" si="24"/>
        <v>0</v>
      </c>
      <c r="U70" s="16">
        <f t="shared" ca="1" si="25"/>
        <v>8.5</v>
      </c>
      <c r="V70" s="599">
        <f t="shared" ca="1" si="26"/>
        <v>0.35416666666666669</v>
      </c>
      <c r="W70" s="16">
        <f t="shared" ca="1" si="28"/>
        <v>1</v>
      </c>
      <c r="X70" s="16"/>
      <c r="AA70" s="16">
        <v>68</v>
      </c>
      <c r="AB70" s="16" t="s">
        <v>367</v>
      </c>
      <c r="AC70" s="16">
        <v>4.5</v>
      </c>
      <c r="AD70" s="599">
        <f t="shared" si="32"/>
        <v>0.1875</v>
      </c>
      <c r="AE70" s="16">
        <v>0</v>
      </c>
      <c r="AF70" s="16">
        <f t="shared" ca="1" si="29"/>
        <v>8.5</v>
      </c>
      <c r="AG70" s="599">
        <f t="shared" ca="1" si="33"/>
        <v>0.35416666666666669</v>
      </c>
      <c r="AH70" s="16">
        <f t="shared" ca="1" si="30"/>
        <v>1</v>
      </c>
      <c r="AI70" s="16"/>
    </row>
    <row r="71" spans="1:35">
      <c r="A71" s="568">
        <v>46195.833333333336</v>
      </c>
      <c r="B71" s="16"/>
      <c r="C71" s="568">
        <f t="shared" ca="1" si="31"/>
        <v>46196.083333333336</v>
      </c>
      <c r="D71" s="596"/>
      <c r="P71" s="16">
        <v>69</v>
      </c>
      <c r="Q71" s="16" t="s">
        <v>168</v>
      </c>
      <c r="R71" s="16">
        <f t="shared" ca="1" si="22"/>
        <v>5</v>
      </c>
      <c r="S71" s="599">
        <f t="shared" ca="1" si="23"/>
        <v>0.20833333333333334</v>
      </c>
      <c r="T71" s="16">
        <f t="shared" ca="1" si="24"/>
        <v>0</v>
      </c>
      <c r="U71" s="16">
        <f t="shared" ca="1" si="25"/>
        <v>9</v>
      </c>
      <c r="V71" s="599">
        <f t="shared" ca="1" si="26"/>
        <v>0.375</v>
      </c>
      <c r="W71" s="16">
        <f t="shared" ca="1" si="28"/>
        <v>1</v>
      </c>
      <c r="X71" s="16"/>
      <c r="AA71" s="16">
        <v>69</v>
      </c>
      <c r="AB71" s="16" t="s">
        <v>168</v>
      </c>
      <c r="AC71" s="16">
        <v>5</v>
      </c>
      <c r="AD71" s="599">
        <f t="shared" si="32"/>
        <v>0.20833333333333334</v>
      </c>
      <c r="AE71" s="16">
        <v>0</v>
      </c>
      <c r="AF71" s="16">
        <f t="shared" ca="1" si="29"/>
        <v>9</v>
      </c>
      <c r="AG71" s="599">
        <f t="shared" ca="1" si="33"/>
        <v>0.375</v>
      </c>
      <c r="AH71" s="16">
        <f t="shared" ca="1" si="30"/>
        <v>1</v>
      </c>
      <c r="AI71" s="16"/>
    </row>
    <row r="72" spans="1:35">
      <c r="A72" s="568">
        <v>46199.625</v>
      </c>
      <c r="B72" s="16"/>
      <c r="C72" s="568">
        <f t="shared" ca="1" si="31"/>
        <v>46199.875</v>
      </c>
      <c r="D72" s="596"/>
      <c r="P72" s="16">
        <v>70</v>
      </c>
      <c r="Q72" s="16" t="s">
        <v>368</v>
      </c>
      <c r="R72" s="16">
        <f t="shared" ca="1" si="22"/>
        <v>5.5</v>
      </c>
      <c r="S72" s="599">
        <f t="shared" ca="1" si="23"/>
        <v>0.22916666666666666</v>
      </c>
      <c r="T72" s="16">
        <f t="shared" ca="1" si="24"/>
        <v>0</v>
      </c>
      <c r="U72" s="16">
        <f t="shared" ca="1" si="25"/>
        <v>9.5</v>
      </c>
      <c r="V72" s="599">
        <f t="shared" ca="1" si="26"/>
        <v>0.39583333333333331</v>
      </c>
      <c r="W72" s="16">
        <f t="shared" ca="1" si="28"/>
        <v>1</v>
      </c>
      <c r="X72" s="16"/>
      <c r="AA72" s="16">
        <v>70</v>
      </c>
      <c r="AB72" s="16" t="s">
        <v>368</v>
      </c>
      <c r="AC72" s="16">
        <v>5.5</v>
      </c>
      <c r="AD72" s="599">
        <f t="shared" si="32"/>
        <v>0.22916666666666666</v>
      </c>
      <c r="AE72" s="16">
        <v>0</v>
      </c>
      <c r="AF72" s="16">
        <f t="shared" ca="1" si="29"/>
        <v>9.5</v>
      </c>
      <c r="AG72" s="599">
        <f t="shared" ca="1" si="33"/>
        <v>0.39583333333333331</v>
      </c>
      <c r="AH72" s="16">
        <f t="shared" ca="1" si="30"/>
        <v>1</v>
      </c>
      <c r="AI72" s="16"/>
    </row>
    <row r="73" spans="1:35">
      <c r="A73" s="568">
        <v>46199.625</v>
      </c>
      <c r="B73" s="16"/>
      <c r="C73" s="568">
        <f t="shared" ca="1" si="31"/>
        <v>46199.875</v>
      </c>
      <c r="D73" s="596"/>
      <c r="P73" s="16">
        <v>71</v>
      </c>
      <c r="Q73" s="16" t="s">
        <v>369</v>
      </c>
      <c r="R73" s="16">
        <f t="shared" ca="1" si="22"/>
        <v>5.75</v>
      </c>
      <c r="S73" s="599">
        <f t="shared" ca="1" si="23"/>
        <v>0.23958333333333334</v>
      </c>
      <c r="T73" s="16">
        <f t="shared" ca="1" si="24"/>
        <v>0</v>
      </c>
      <c r="U73" s="16">
        <f t="shared" ca="1" si="25"/>
        <v>9.75</v>
      </c>
      <c r="V73" s="599">
        <f t="shared" ca="1" si="26"/>
        <v>0.40625</v>
      </c>
      <c r="W73" s="16">
        <f t="shared" ca="1" si="28"/>
        <v>1</v>
      </c>
      <c r="X73" s="16"/>
      <c r="AA73" s="16">
        <v>71</v>
      </c>
      <c r="AB73" s="16" t="s">
        <v>369</v>
      </c>
      <c r="AC73" s="16">
        <v>5.75</v>
      </c>
      <c r="AD73" s="599">
        <f t="shared" si="32"/>
        <v>0.23958333333333334</v>
      </c>
      <c r="AE73" s="16">
        <v>0</v>
      </c>
      <c r="AF73" s="16">
        <f t="shared" ca="1" si="29"/>
        <v>9.75</v>
      </c>
      <c r="AG73" s="599">
        <f t="shared" ca="1" si="33"/>
        <v>0.40625</v>
      </c>
      <c r="AH73" s="16">
        <f t="shared" ca="1" si="30"/>
        <v>1</v>
      </c>
      <c r="AI73" s="16"/>
    </row>
    <row r="74" spans="1:35">
      <c r="A74" s="16"/>
      <c r="B74" s="16"/>
      <c r="C74" s="568"/>
      <c r="P74" s="16">
        <v>72</v>
      </c>
      <c r="Q74" s="16" t="s">
        <v>169</v>
      </c>
      <c r="R74" s="16">
        <f t="shared" ca="1" si="22"/>
        <v>6</v>
      </c>
      <c r="S74" s="599">
        <f t="shared" ca="1" si="23"/>
        <v>0.25</v>
      </c>
      <c r="T74" s="16">
        <f t="shared" ca="1" si="24"/>
        <v>0</v>
      </c>
      <c r="U74" s="16">
        <f t="shared" ca="1" si="25"/>
        <v>10</v>
      </c>
      <c r="V74" s="599">
        <f t="shared" ca="1" si="26"/>
        <v>0.41666666666666669</v>
      </c>
      <c r="W74" s="16">
        <f t="shared" ca="1" si="28"/>
        <v>1</v>
      </c>
      <c r="X74" s="16"/>
      <c r="AA74" s="16">
        <v>72</v>
      </c>
      <c r="AB74" s="16" t="s">
        <v>169</v>
      </c>
      <c r="AC74" s="16">
        <v>6</v>
      </c>
      <c r="AD74" s="599">
        <f t="shared" si="32"/>
        <v>0.25</v>
      </c>
      <c r="AE74" s="16">
        <v>0</v>
      </c>
      <c r="AF74" s="16">
        <f t="shared" ca="1" si="29"/>
        <v>10</v>
      </c>
      <c r="AG74" s="599">
        <f t="shared" ca="1" si="33"/>
        <v>0.41666666666666669</v>
      </c>
      <c r="AH74" s="16">
        <f t="shared" ca="1" si="30"/>
        <v>1</v>
      </c>
      <c r="AI74" s="16"/>
    </row>
    <row r="75" spans="1:35">
      <c r="A75" s="9" t="s">
        <v>497</v>
      </c>
      <c r="B75" s="16"/>
      <c r="C75" s="568"/>
      <c r="P75" s="16">
        <v>73</v>
      </c>
      <c r="Q75" s="16" t="s">
        <v>370</v>
      </c>
      <c r="R75" s="16">
        <f t="shared" ca="1" si="22"/>
        <v>6.5</v>
      </c>
      <c r="S75" s="599">
        <f t="shared" ca="1" si="23"/>
        <v>0.27083333333333331</v>
      </c>
      <c r="T75" s="16">
        <f t="shared" ca="1" si="24"/>
        <v>0</v>
      </c>
      <c r="U75" s="16">
        <f t="shared" ca="1" si="25"/>
        <v>10.5</v>
      </c>
      <c r="V75" s="599">
        <f t="shared" ca="1" si="26"/>
        <v>0.4375</v>
      </c>
      <c r="W75" s="16">
        <f t="shared" ca="1" si="28"/>
        <v>1</v>
      </c>
      <c r="X75" s="16"/>
      <c r="AA75" s="16">
        <v>73</v>
      </c>
      <c r="AB75" s="16" t="s">
        <v>370</v>
      </c>
      <c r="AC75" s="16">
        <v>6.5</v>
      </c>
      <c r="AD75" s="599">
        <f t="shared" si="32"/>
        <v>0.27083333333333331</v>
      </c>
      <c r="AE75" s="16">
        <v>0</v>
      </c>
      <c r="AF75" s="16">
        <f t="shared" ca="1" si="29"/>
        <v>10.5</v>
      </c>
      <c r="AG75" s="599">
        <f t="shared" ca="1" si="33"/>
        <v>0.4375</v>
      </c>
      <c r="AH75" s="16">
        <f t="shared" ca="1" si="30"/>
        <v>1</v>
      </c>
      <c r="AI75" s="16"/>
    </row>
    <row r="76" spans="1:35">
      <c r="A76" s="568">
        <v>46189.875</v>
      </c>
      <c r="B76" s="16"/>
      <c r="C76" s="568">
        <f t="shared" ref="C76:C81" ca="1" si="34">A76+INDEX($V$3:$V$86,MATCH($C$3,$P$3:$P$86,0))*INDEX($W$3:$W$86,MATCH($C$3,$P$3:$P$86,0))</f>
        <v>46190.125</v>
      </c>
      <c r="D76" s="596"/>
      <c r="P76" s="16">
        <v>74</v>
      </c>
      <c r="Q76" s="16" t="s">
        <v>170</v>
      </c>
      <c r="R76" s="16">
        <f t="shared" ca="1" si="22"/>
        <v>7</v>
      </c>
      <c r="S76" s="599">
        <f t="shared" ca="1" si="23"/>
        <v>0.29166666666666669</v>
      </c>
      <c r="T76" s="16">
        <f t="shared" ca="1" si="24"/>
        <v>0</v>
      </c>
      <c r="U76" s="16">
        <f t="shared" ca="1" si="25"/>
        <v>11</v>
      </c>
      <c r="V76" s="599">
        <f t="shared" ca="1" si="26"/>
        <v>0.45833333333333331</v>
      </c>
      <c r="W76" s="16">
        <f t="shared" ca="1" si="28"/>
        <v>1</v>
      </c>
      <c r="X76" s="16"/>
      <c r="AA76" s="16">
        <v>74</v>
      </c>
      <c r="AB76" s="16" t="s">
        <v>170</v>
      </c>
      <c r="AC76" s="16">
        <v>7</v>
      </c>
      <c r="AD76" s="599">
        <f t="shared" si="32"/>
        <v>0.29166666666666669</v>
      </c>
      <c r="AE76" s="16">
        <v>0</v>
      </c>
      <c r="AF76" s="16">
        <f t="shared" ca="1" si="29"/>
        <v>11</v>
      </c>
      <c r="AG76" s="599">
        <f t="shared" ca="1" si="33"/>
        <v>0.45833333333333331</v>
      </c>
      <c r="AH76" s="16">
        <f t="shared" ca="1" si="30"/>
        <v>1</v>
      </c>
      <c r="AI76" s="16"/>
    </row>
    <row r="77" spans="1:35">
      <c r="A77" s="568">
        <v>46190</v>
      </c>
      <c r="B77" s="16"/>
      <c r="C77" s="568">
        <f t="shared" ca="1" si="34"/>
        <v>46190.25</v>
      </c>
      <c r="D77" s="596"/>
      <c r="P77" s="16">
        <v>75</v>
      </c>
      <c r="Q77" s="16" t="s">
        <v>171</v>
      </c>
      <c r="R77" s="16">
        <f t="shared" ca="1" si="22"/>
        <v>8</v>
      </c>
      <c r="S77" s="599">
        <f t="shared" ca="1" si="23"/>
        <v>0.33333333333333331</v>
      </c>
      <c r="T77" s="16">
        <f t="shared" ca="1" si="24"/>
        <v>0</v>
      </c>
      <c r="U77" s="16">
        <f t="shared" ca="1" si="25"/>
        <v>12</v>
      </c>
      <c r="V77" s="599">
        <f t="shared" ca="1" si="26"/>
        <v>0.5</v>
      </c>
      <c r="W77" s="16">
        <f t="shared" ca="1" si="28"/>
        <v>1</v>
      </c>
      <c r="X77" s="16"/>
      <c r="AA77" s="16">
        <v>75</v>
      </c>
      <c r="AB77" s="16" t="s">
        <v>171</v>
      </c>
      <c r="AC77" s="16">
        <v>8</v>
      </c>
      <c r="AD77" s="599">
        <f t="shared" si="32"/>
        <v>0.33333333333333331</v>
      </c>
      <c r="AE77" s="16">
        <v>0</v>
      </c>
      <c r="AF77" s="16">
        <f t="shared" ca="1" si="29"/>
        <v>12</v>
      </c>
      <c r="AG77" s="599">
        <f t="shared" ca="1" si="33"/>
        <v>0.5</v>
      </c>
      <c r="AH77" s="16">
        <f t="shared" ca="1" si="30"/>
        <v>1</v>
      </c>
      <c r="AI77" s="16"/>
    </row>
    <row r="78" spans="1:35">
      <c r="A78" s="568">
        <v>46195.541666666664</v>
      </c>
      <c r="B78" s="16"/>
      <c r="C78" s="568">
        <f t="shared" ca="1" si="34"/>
        <v>46195.791666666664</v>
      </c>
      <c r="D78" s="596"/>
      <c r="P78" s="16">
        <v>76</v>
      </c>
      <c r="Q78" s="16" t="s">
        <v>172</v>
      </c>
      <c r="R78" s="16">
        <f t="shared" ca="1" si="22"/>
        <v>9</v>
      </c>
      <c r="S78" s="599">
        <f t="shared" ca="1" si="23"/>
        <v>0.375</v>
      </c>
      <c r="T78" s="16">
        <f t="shared" ca="1" si="24"/>
        <v>0</v>
      </c>
      <c r="U78" s="16">
        <f t="shared" ca="1" si="25"/>
        <v>13</v>
      </c>
      <c r="V78" s="599">
        <f t="shared" ca="1" si="26"/>
        <v>0.54166666666666663</v>
      </c>
      <c r="W78" s="16">
        <f t="shared" ca="1" si="28"/>
        <v>1</v>
      </c>
      <c r="X78" s="16"/>
      <c r="AA78" s="16">
        <v>76</v>
      </c>
      <c r="AB78" s="16" t="s">
        <v>172</v>
      </c>
      <c r="AC78" s="16">
        <v>9</v>
      </c>
      <c r="AD78" s="599">
        <f t="shared" si="32"/>
        <v>0.375</v>
      </c>
      <c r="AE78" s="16">
        <v>0</v>
      </c>
      <c r="AF78" s="16">
        <f t="shared" ca="1" si="29"/>
        <v>13</v>
      </c>
      <c r="AG78" s="599">
        <f t="shared" ca="1" si="33"/>
        <v>0.54166666666666663</v>
      </c>
      <c r="AH78" s="16">
        <f t="shared" ca="1" si="30"/>
        <v>1</v>
      </c>
      <c r="AI78" s="16"/>
    </row>
    <row r="79" spans="1:35">
      <c r="A79" s="568">
        <v>46195.958333333336</v>
      </c>
      <c r="B79" s="16"/>
      <c r="C79" s="568">
        <f t="shared" ca="1" si="34"/>
        <v>46196.208333333336</v>
      </c>
      <c r="D79" s="596"/>
      <c r="P79" s="16">
        <v>77</v>
      </c>
      <c r="Q79" s="16" t="s">
        <v>371</v>
      </c>
      <c r="R79" s="16">
        <f t="shared" ca="1" si="22"/>
        <v>9.5</v>
      </c>
      <c r="S79" s="599">
        <f t="shared" ca="1" si="23"/>
        <v>0.39583333333333331</v>
      </c>
      <c r="T79" s="16">
        <f t="shared" ca="1" si="24"/>
        <v>0</v>
      </c>
      <c r="U79" s="16">
        <f t="shared" ca="1" si="25"/>
        <v>13.5</v>
      </c>
      <c r="V79" s="599">
        <f t="shared" ca="1" si="26"/>
        <v>0.5625</v>
      </c>
      <c r="W79" s="16">
        <f t="shared" ca="1" si="28"/>
        <v>1</v>
      </c>
      <c r="X79" s="16"/>
      <c r="AA79" s="16">
        <v>77</v>
      </c>
      <c r="AB79" s="16" t="s">
        <v>371</v>
      </c>
      <c r="AC79" s="16">
        <v>9.5</v>
      </c>
      <c r="AD79" s="599">
        <f t="shared" si="32"/>
        <v>0.39583333333333331</v>
      </c>
      <c r="AE79" s="16">
        <v>0</v>
      </c>
      <c r="AF79" s="16">
        <f t="shared" ca="1" si="29"/>
        <v>13.5</v>
      </c>
      <c r="AG79" s="599">
        <f t="shared" ca="1" si="33"/>
        <v>0.5625</v>
      </c>
      <c r="AH79" s="16">
        <f t="shared" ca="1" si="30"/>
        <v>1</v>
      </c>
      <c r="AI79" s="16"/>
    </row>
    <row r="80" spans="1:35">
      <c r="A80" s="568">
        <v>46200.916666666664</v>
      </c>
      <c r="B80" s="16"/>
      <c r="C80" s="568">
        <f t="shared" ca="1" si="34"/>
        <v>46201.166666666664</v>
      </c>
      <c r="D80" s="596"/>
      <c r="P80" s="16">
        <v>78</v>
      </c>
      <c r="Q80" s="16" t="s">
        <v>173</v>
      </c>
      <c r="R80" s="16">
        <f t="shared" ca="1" si="22"/>
        <v>10</v>
      </c>
      <c r="S80" s="599">
        <f t="shared" ca="1" si="23"/>
        <v>0.41666666666666669</v>
      </c>
      <c r="T80" s="16">
        <f t="shared" ca="1" si="24"/>
        <v>0</v>
      </c>
      <c r="U80" s="16">
        <f t="shared" ca="1" si="25"/>
        <v>14</v>
      </c>
      <c r="V80" s="599">
        <f t="shared" ca="1" si="26"/>
        <v>0.58333333333333337</v>
      </c>
      <c r="W80" s="16">
        <f t="shared" ca="1" si="28"/>
        <v>1</v>
      </c>
      <c r="X80" s="16"/>
      <c r="AA80" s="16">
        <v>78</v>
      </c>
      <c r="AB80" s="16" t="s">
        <v>173</v>
      </c>
      <c r="AC80" s="16">
        <v>10</v>
      </c>
      <c r="AD80" s="599">
        <f t="shared" si="32"/>
        <v>0.41666666666666669</v>
      </c>
      <c r="AE80" s="16">
        <v>0</v>
      </c>
      <c r="AF80" s="16">
        <f t="shared" ca="1" si="29"/>
        <v>14</v>
      </c>
      <c r="AG80" s="599">
        <f t="shared" ca="1" si="33"/>
        <v>0.58333333333333337</v>
      </c>
      <c r="AH80" s="16">
        <f t="shared" ca="1" si="30"/>
        <v>1</v>
      </c>
      <c r="AI80" s="16"/>
    </row>
    <row r="81" spans="1:35">
      <c r="A81" s="568">
        <v>46200.916666666664</v>
      </c>
      <c r="B81" s="16"/>
      <c r="C81" s="568">
        <f t="shared" ca="1" si="34"/>
        <v>46201.166666666664</v>
      </c>
      <c r="D81" s="596"/>
      <c r="P81" s="16">
        <v>79</v>
      </c>
      <c r="Q81" s="16" t="s">
        <v>372</v>
      </c>
      <c r="R81" s="16">
        <f t="shared" ca="1" si="22"/>
        <v>10.5</v>
      </c>
      <c r="S81" s="599">
        <f t="shared" ca="1" si="23"/>
        <v>0.4375</v>
      </c>
      <c r="T81" s="16">
        <f t="shared" ca="1" si="24"/>
        <v>0</v>
      </c>
      <c r="U81" s="16">
        <f t="shared" ca="1" si="25"/>
        <v>14.5</v>
      </c>
      <c r="V81" s="599">
        <f t="shared" ca="1" si="26"/>
        <v>0.60416666666666663</v>
      </c>
      <c r="W81" s="16">
        <f t="shared" ca="1" si="28"/>
        <v>1</v>
      </c>
      <c r="X81" s="16"/>
      <c r="AA81" s="16">
        <v>79</v>
      </c>
      <c r="AB81" s="16" t="s">
        <v>372</v>
      </c>
      <c r="AC81" s="16">
        <v>10.5</v>
      </c>
      <c r="AD81" s="599">
        <f t="shared" si="32"/>
        <v>0.4375</v>
      </c>
      <c r="AE81" s="16">
        <v>0</v>
      </c>
      <c r="AF81" s="16">
        <f t="shared" ca="1" si="29"/>
        <v>14.5</v>
      </c>
      <c r="AG81" s="599">
        <f t="shared" ca="1" si="33"/>
        <v>0.60416666666666663</v>
      </c>
      <c r="AH81" s="16">
        <f t="shared" ca="1" si="30"/>
        <v>1</v>
      </c>
      <c r="AI81" s="16"/>
    </row>
    <row r="82" spans="1:35">
      <c r="A82" s="16"/>
      <c r="B82" s="16"/>
      <c r="C82" s="568"/>
      <c r="P82" s="16">
        <v>80</v>
      </c>
      <c r="Q82" s="16" t="s">
        <v>174</v>
      </c>
      <c r="R82" s="16">
        <f t="shared" ca="1" si="22"/>
        <v>11</v>
      </c>
      <c r="S82" s="599">
        <f t="shared" ca="1" si="23"/>
        <v>0.45833333333333331</v>
      </c>
      <c r="T82" s="16">
        <f t="shared" ca="1" si="24"/>
        <v>0</v>
      </c>
      <c r="U82" s="16">
        <f t="shared" ca="1" si="25"/>
        <v>15</v>
      </c>
      <c r="V82" s="599">
        <f t="shared" ca="1" si="26"/>
        <v>0.625</v>
      </c>
      <c r="W82" s="16">
        <f t="shared" ca="1" si="28"/>
        <v>1</v>
      </c>
      <c r="X82" s="16"/>
      <c r="AA82" s="16">
        <v>80</v>
      </c>
      <c r="AB82" s="16" t="s">
        <v>174</v>
      </c>
      <c r="AC82" s="16">
        <v>11</v>
      </c>
      <c r="AD82" s="599">
        <f t="shared" si="32"/>
        <v>0.45833333333333331</v>
      </c>
      <c r="AE82" s="16">
        <v>0</v>
      </c>
      <c r="AF82" s="16">
        <f t="shared" ca="1" si="29"/>
        <v>15</v>
      </c>
      <c r="AG82" s="599">
        <f t="shared" ca="1" si="33"/>
        <v>0.625</v>
      </c>
      <c r="AH82" s="16">
        <f t="shared" ca="1" si="30"/>
        <v>1</v>
      </c>
      <c r="AI82" s="16"/>
    </row>
    <row r="83" spans="1:35">
      <c r="A83" s="9" t="s">
        <v>498</v>
      </c>
      <c r="B83" s="16"/>
      <c r="C83" s="568"/>
      <c r="P83" s="16">
        <v>81</v>
      </c>
      <c r="Q83" s="16" t="s">
        <v>175</v>
      </c>
      <c r="R83" s="16">
        <f t="shared" ca="1" si="22"/>
        <v>12</v>
      </c>
      <c r="S83" s="599">
        <f t="shared" ca="1" si="23"/>
        <v>0.5</v>
      </c>
      <c r="T83" s="16">
        <f t="shared" ca="1" si="24"/>
        <v>0</v>
      </c>
      <c r="U83" s="16">
        <f t="shared" ca="1" si="25"/>
        <v>16</v>
      </c>
      <c r="V83" s="599">
        <f t="shared" ca="1" si="26"/>
        <v>0.66666666666666663</v>
      </c>
      <c r="W83" s="16">
        <f t="shared" ca="1" si="28"/>
        <v>1</v>
      </c>
      <c r="X83" s="16"/>
      <c r="AA83" s="16">
        <v>81</v>
      </c>
      <c r="AB83" s="16" t="s">
        <v>175</v>
      </c>
      <c r="AC83" s="16">
        <v>12</v>
      </c>
      <c r="AD83" s="599">
        <f t="shared" si="32"/>
        <v>0.5</v>
      </c>
      <c r="AE83" s="16">
        <v>0</v>
      </c>
      <c r="AF83" s="16">
        <f t="shared" ca="1" si="29"/>
        <v>16</v>
      </c>
      <c r="AG83" s="599">
        <f t="shared" ca="1" si="33"/>
        <v>0.66666666666666663</v>
      </c>
      <c r="AH83" s="16">
        <f t="shared" ca="1" si="30"/>
        <v>1</v>
      </c>
      <c r="AI83" s="16"/>
    </row>
    <row r="84" spans="1:35">
      <c r="A84" s="568">
        <v>46190.541666666664</v>
      </c>
      <c r="B84" s="16"/>
      <c r="C84" s="568">
        <f t="shared" ref="C84:C89" ca="1" si="35">A84+INDEX($V$3:$V$86,MATCH($C$3,$P$3:$P$86,0))*INDEX($W$3:$W$86,MATCH($C$3,$P$3:$P$86,0))</f>
        <v>46190.791666666664</v>
      </c>
      <c r="D84" s="596"/>
      <c r="P84" s="16">
        <v>82</v>
      </c>
      <c r="Q84" s="16" t="s">
        <v>373</v>
      </c>
      <c r="R84" s="16">
        <f t="shared" ca="1" si="22"/>
        <v>12.75</v>
      </c>
      <c r="S84" s="599">
        <f t="shared" ca="1" si="23"/>
        <v>0.53125</v>
      </c>
      <c r="T84" s="16">
        <f t="shared" ca="1" si="24"/>
        <v>0</v>
      </c>
      <c r="U84" s="16">
        <f t="shared" ca="1" si="25"/>
        <v>16.75</v>
      </c>
      <c r="V84" s="599">
        <f t="shared" ca="1" si="26"/>
        <v>0.69791666666666663</v>
      </c>
      <c r="W84" s="16">
        <f t="shared" ca="1" si="28"/>
        <v>1</v>
      </c>
      <c r="X84" s="16"/>
      <c r="AA84" s="16">
        <v>82</v>
      </c>
      <c r="AB84" s="16" t="s">
        <v>373</v>
      </c>
      <c r="AC84" s="16">
        <v>12.75</v>
      </c>
      <c r="AD84" s="599">
        <f t="shared" si="32"/>
        <v>0.53125</v>
      </c>
      <c r="AE84" s="16">
        <v>0</v>
      </c>
      <c r="AF84" s="16">
        <f t="shared" ca="1" si="29"/>
        <v>16.75</v>
      </c>
      <c r="AG84" s="599">
        <f t="shared" ca="1" si="33"/>
        <v>0.69791666666666663</v>
      </c>
      <c r="AH84" s="16">
        <f t="shared" ca="1" si="30"/>
        <v>1</v>
      </c>
      <c r="AI84" s="16"/>
    </row>
    <row r="85" spans="1:35">
      <c r="A85" s="568">
        <v>46190.916666666664</v>
      </c>
      <c r="B85" s="16"/>
      <c r="C85" s="568">
        <f t="shared" ca="1" si="35"/>
        <v>46191.166666666664</v>
      </c>
      <c r="D85" s="596"/>
      <c r="P85" s="16">
        <v>83</v>
      </c>
      <c r="Q85" s="16" t="s">
        <v>374</v>
      </c>
      <c r="R85" s="16">
        <f t="shared" ca="1" si="22"/>
        <v>13</v>
      </c>
      <c r="S85" s="599">
        <f t="shared" ca="1" si="23"/>
        <v>0.54166666666666663</v>
      </c>
      <c r="T85" s="16">
        <f t="shared" ca="1" si="24"/>
        <v>0</v>
      </c>
      <c r="U85" s="16">
        <f t="shared" ca="1" si="25"/>
        <v>17</v>
      </c>
      <c r="V85" s="599">
        <f t="shared" ca="1" si="26"/>
        <v>0.70833333333333337</v>
      </c>
      <c r="W85" s="16">
        <f t="shared" ca="1" si="28"/>
        <v>1</v>
      </c>
      <c r="X85" s="16"/>
      <c r="AA85" s="16">
        <v>83</v>
      </c>
      <c r="AB85" s="16" t="s">
        <v>374</v>
      </c>
      <c r="AC85" s="16">
        <v>13</v>
      </c>
      <c r="AD85" s="599">
        <f t="shared" si="32"/>
        <v>0.54166666666666663</v>
      </c>
      <c r="AE85" s="16">
        <v>0</v>
      </c>
      <c r="AF85" s="16">
        <f t="shared" ca="1" si="29"/>
        <v>17</v>
      </c>
      <c r="AG85" s="599">
        <f t="shared" ca="1" si="33"/>
        <v>0.70833333333333337</v>
      </c>
      <c r="AH85" s="16">
        <f t="shared" ca="1" si="30"/>
        <v>1</v>
      </c>
      <c r="AI85" s="16"/>
    </row>
    <row r="86" spans="1:35">
      <c r="A86" s="568">
        <v>46196.541666666664</v>
      </c>
      <c r="B86" s="16"/>
      <c r="C86" s="568">
        <f t="shared" ca="1" si="35"/>
        <v>46196.791666666664</v>
      </c>
      <c r="D86" s="596"/>
      <c r="P86" s="16">
        <v>84</v>
      </c>
      <c r="Q86" s="16" t="s">
        <v>375</v>
      </c>
      <c r="R86" s="16">
        <f t="shared" ca="1" si="22"/>
        <v>14</v>
      </c>
      <c r="S86" s="599">
        <f t="shared" ca="1" si="23"/>
        <v>0.58333333333333337</v>
      </c>
      <c r="T86" s="16">
        <f t="shared" ca="1" si="24"/>
        <v>0</v>
      </c>
      <c r="U86" s="16">
        <f t="shared" ca="1" si="25"/>
        <v>18</v>
      </c>
      <c r="V86" s="599">
        <f t="shared" ca="1" si="26"/>
        <v>0.75</v>
      </c>
      <c r="W86" s="16">
        <f t="shared" ca="1" si="28"/>
        <v>1</v>
      </c>
      <c r="X86" s="16"/>
      <c r="AA86" s="16">
        <v>84</v>
      </c>
      <c r="AB86" s="16" t="s">
        <v>375</v>
      </c>
      <c r="AC86" s="16">
        <v>14</v>
      </c>
      <c r="AD86" s="599">
        <f t="shared" si="32"/>
        <v>0.58333333333333337</v>
      </c>
      <c r="AE86" s="16">
        <v>0</v>
      </c>
      <c r="AF86" s="16">
        <f t="shared" ca="1" si="29"/>
        <v>18</v>
      </c>
      <c r="AG86" s="599">
        <f t="shared" ca="1" si="33"/>
        <v>0.75</v>
      </c>
      <c r="AH86" s="16">
        <f t="shared" ca="1" si="30"/>
        <v>1</v>
      </c>
      <c r="AI86" s="16"/>
    </row>
    <row r="87" spans="1:35">
      <c r="A87" s="568">
        <v>46196.916666666664</v>
      </c>
      <c r="B87" s="16"/>
      <c r="C87" s="568">
        <f t="shared" ca="1" si="35"/>
        <v>46197.166666666664</v>
      </c>
      <c r="D87" s="596"/>
    </row>
    <row r="88" spans="1:35">
      <c r="A88" s="568">
        <v>46200.8125</v>
      </c>
      <c r="B88" s="16"/>
      <c r="C88" s="568">
        <f t="shared" ca="1" si="35"/>
        <v>46201.0625</v>
      </c>
      <c r="D88" s="596"/>
    </row>
    <row r="89" spans="1:35">
      <c r="A89" s="568">
        <v>46200.8125</v>
      </c>
      <c r="B89" s="16"/>
      <c r="C89" s="568">
        <f t="shared" ca="1" si="35"/>
        <v>46201.0625</v>
      </c>
      <c r="D89" s="596"/>
    </row>
    <row r="90" spans="1:35">
      <c r="A90" s="16"/>
      <c r="B90" s="16"/>
      <c r="C90" s="568"/>
    </row>
    <row r="91" spans="1:35">
      <c r="A91" s="9" t="s">
        <v>499</v>
      </c>
      <c r="B91" s="16"/>
      <c r="C91" s="568"/>
    </row>
    <row r="92" spans="1:35">
      <c r="A92" s="568">
        <v>46190.666666666664</v>
      </c>
      <c r="B92" s="16"/>
      <c r="C92" s="568">
        <f t="shared" ref="C92:C97" ca="1" si="36">A92+INDEX($V$3:$V$86,MATCH($C$3,$P$3:$P$86,0))*INDEX($W$3:$W$86,MATCH($C$3,$P$3:$P$86,0))</f>
        <v>46190.916666666664</v>
      </c>
      <c r="D92" s="596"/>
    </row>
    <row r="93" spans="1:35">
      <c r="A93" s="568">
        <v>46190.791666666664</v>
      </c>
      <c r="B93" s="16"/>
      <c r="C93" s="568">
        <f t="shared" ca="1" si="36"/>
        <v>46191.041666666664</v>
      </c>
      <c r="D93" s="596"/>
    </row>
    <row r="94" spans="1:35">
      <c r="A94" s="568">
        <v>46196.666666666664</v>
      </c>
      <c r="B94" s="16"/>
      <c r="C94" s="568">
        <f t="shared" ca="1" si="36"/>
        <v>46196.916666666664</v>
      </c>
      <c r="D94" s="596"/>
    </row>
    <row r="95" spans="1:35">
      <c r="A95" s="568">
        <v>46196.791666666664</v>
      </c>
      <c r="B95" s="16"/>
      <c r="C95" s="568">
        <f t="shared" ca="1" si="36"/>
        <v>46197.041666666664</v>
      </c>
      <c r="D95" s="596"/>
    </row>
    <row r="96" spans="1:35">
      <c r="A96" s="568">
        <v>46200.708333333336</v>
      </c>
      <c r="B96" s="16"/>
      <c r="C96" s="568">
        <f t="shared" ca="1" si="36"/>
        <v>46200.958333333336</v>
      </c>
      <c r="D96" s="596"/>
    </row>
    <row r="97" spans="1:10">
      <c r="A97" s="568">
        <v>46200.708333333336</v>
      </c>
      <c r="B97" s="16"/>
      <c r="C97" s="568">
        <f t="shared" ca="1" si="36"/>
        <v>46200.958333333336</v>
      </c>
      <c r="D97" s="596"/>
    </row>
    <row r="98" spans="1:10">
      <c r="A98" s="16"/>
      <c r="B98" s="16"/>
      <c r="C98" s="16"/>
    </row>
    <row r="99" spans="1:10">
      <c r="A99" s="16"/>
      <c r="B99" s="16"/>
      <c r="C99" s="16"/>
    </row>
    <row r="100" spans="1:10">
      <c r="A100" s="600" t="s">
        <v>500</v>
      </c>
      <c r="B100" s="16"/>
      <c r="C100" s="568"/>
      <c r="F100" s="16" t="s">
        <v>1456</v>
      </c>
      <c r="G100" s="16"/>
      <c r="I100" s="16" t="s">
        <v>1455</v>
      </c>
      <c r="J100" s="16"/>
    </row>
    <row r="101" spans="1:10">
      <c r="A101" s="568">
        <v>46201.625</v>
      </c>
      <c r="B101" s="16"/>
      <c r="C101" s="568">
        <f t="shared" ref="C101:C116" ca="1" si="37">A101+INDEX($V$3:$V$86,MATCH($C$3,$P$3:$P$86,0))*INDEX($W$3:$W$86,MATCH($C$3,$P$3:$P$86,0))</f>
        <v>46201.875</v>
      </c>
      <c r="F101" s="16">
        <v>73</v>
      </c>
      <c r="G101" s="568">
        <v>46201.625</v>
      </c>
      <c r="I101" s="16">
        <v>73</v>
      </c>
      <c r="J101" s="568">
        <v>46201.625</v>
      </c>
    </row>
    <row r="102" spans="1:10">
      <c r="A102" s="568">
        <v>46202.541666666664</v>
      </c>
      <c r="B102" s="16"/>
      <c r="C102" s="568">
        <f t="shared" ca="1" si="37"/>
        <v>46202.791666666664</v>
      </c>
      <c r="F102" s="16">
        <v>76</v>
      </c>
      <c r="G102" s="568">
        <v>46202.541666666664</v>
      </c>
      <c r="I102" s="16">
        <v>74</v>
      </c>
      <c r="J102" s="568">
        <v>46202.6875</v>
      </c>
    </row>
    <row r="103" spans="1:10">
      <c r="A103" s="568">
        <v>46202.6875</v>
      </c>
      <c r="B103" s="16"/>
      <c r="C103" s="568">
        <f t="shared" ca="1" si="37"/>
        <v>46202.9375</v>
      </c>
      <c r="F103" s="16">
        <v>74</v>
      </c>
      <c r="G103" s="568">
        <v>46202.6875</v>
      </c>
      <c r="I103" s="16">
        <v>75</v>
      </c>
      <c r="J103" s="568">
        <v>46202.875</v>
      </c>
    </row>
    <row r="104" spans="1:10">
      <c r="A104" s="568">
        <v>46202.875</v>
      </c>
      <c r="B104" s="16"/>
      <c r="C104" s="568">
        <f t="shared" ca="1" si="37"/>
        <v>46203.125</v>
      </c>
      <c r="F104" s="16">
        <v>75</v>
      </c>
      <c r="G104" s="568">
        <v>46202.875</v>
      </c>
      <c r="I104" s="16">
        <v>76</v>
      </c>
      <c r="J104" s="568">
        <v>46202.541666666664</v>
      </c>
    </row>
    <row r="105" spans="1:10">
      <c r="A105" s="568">
        <v>46203.541666666664</v>
      </c>
      <c r="B105" s="16"/>
      <c r="C105" s="568">
        <f t="shared" ca="1" si="37"/>
        <v>46203.791666666664</v>
      </c>
      <c r="F105" s="16">
        <v>78</v>
      </c>
      <c r="G105" s="568">
        <v>46203.541666666664</v>
      </c>
      <c r="I105" s="16">
        <v>77</v>
      </c>
      <c r="J105" s="568">
        <v>46203.708333333336</v>
      </c>
    </row>
    <row r="106" spans="1:10">
      <c r="A106" s="568">
        <v>46203.708333333336</v>
      </c>
      <c r="B106" s="16"/>
      <c r="C106" s="568">
        <f t="shared" ca="1" si="37"/>
        <v>46203.958333333336</v>
      </c>
      <c r="F106" s="16">
        <v>77</v>
      </c>
      <c r="G106" s="568">
        <v>46203.708333333336</v>
      </c>
      <c r="I106" s="16">
        <v>78</v>
      </c>
      <c r="J106" s="568">
        <v>46203.541666666664</v>
      </c>
    </row>
    <row r="107" spans="1:10">
      <c r="A107" s="568">
        <v>46203.875</v>
      </c>
      <c r="B107" s="16"/>
      <c r="C107" s="568">
        <f t="shared" ca="1" si="37"/>
        <v>46204.125</v>
      </c>
      <c r="F107" s="16">
        <v>79</v>
      </c>
      <c r="G107" s="568">
        <v>46203.875</v>
      </c>
      <c r="I107" s="16">
        <v>79</v>
      </c>
      <c r="J107" s="568">
        <v>46203.875</v>
      </c>
    </row>
    <row r="108" spans="1:10">
      <c r="A108" s="568">
        <v>46204.5</v>
      </c>
      <c r="B108" s="16"/>
      <c r="C108" s="568">
        <f t="shared" ca="1" si="37"/>
        <v>46204.75</v>
      </c>
      <c r="F108" s="16">
        <v>80</v>
      </c>
      <c r="G108" s="568">
        <v>46204.5</v>
      </c>
      <c r="I108" s="16">
        <v>80</v>
      </c>
      <c r="J108" s="568">
        <v>46204.5</v>
      </c>
    </row>
    <row r="109" spans="1:10">
      <c r="A109" s="568">
        <v>46204.666666666664</v>
      </c>
      <c r="B109" s="16"/>
      <c r="C109" s="568">
        <f t="shared" ca="1" si="37"/>
        <v>46204.916666666664</v>
      </c>
      <c r="F109" s="16">
        <v>82</v>
      </c>
      <c r="G109" s="568">
        <v>46204.666666666664</v>
      </c>
      <c r="I109" s="16">
        <v>81</v>
      </c>
      <c r="J109" s="568">
        <v>46204.833333333336</v>
      </c>
    </row>
    <row r="110" spans="1:10">
      <c r="A110" s="568">
        <v>46204.833333333336</v>
      </c>
      <c r="B110" s="16"/>
      <c r="C110" s="568">
        <f t="shared" ca="1" si="37"/>
        <v>46205.083333333336</v>
      </c>
      <c r="F110" s="16">
        <v>81</v>
      </c>
      <c r="G110" s="568">
        <v>46204.833333333336</v>
      </c>
      <c r="I110" s="16">
        <v>82</v>
      </c>
      <c r="J110" s="568">
        <v>46204.666666666664</v>
      </c>
    </row>
    <row r="111" spans="1:10">
      <c r="A111" s="568">
        <v>46205.625</v>
      </c>
      <c r="B111" s="16"/>
      <c r="C111" s="568">
        <f t="shared" ca="1" si="37"/>
        <v>46205.875</v>
      </c>
      <c r="F111" s="16">
        <v>84</v>
      </c>
      <c r="G111" s="568">
        <v>46205.625</v>
      </c>
      <c r="I111" s="16">
        <v>83</v>
      </c>
      <c r="J111" s="568">
        <v>46205.791666666664</v>
      </c>
    </row>
    <row r="112" spans="1:10">
      <c r="A112" s="568">
        <v>46205.791666666664</v>
      </c>
      <c r="B112" s="16"/>
      <c r="C112" s="568">
        <f t="shared" ca="1" si="37"/>
        <v>46206.041666666664</v>
      </c>
      <c r="F112" s="16">
        <v>83</v>
      </c>
      <c r="G112" s="568">
        <v>46205.791666666664</v>
      </c>
      <c r="I112" s="16">
        <v>84</v>
      </c>
      <c r="J112" s="568">
        <v>46205.625</v>
      </c>
    </row>
    <row r="113" spans="1:10">
      <c r="A113" s="568">
        <v>46205.958333333336</v>
      </c>
      <c r="B113" s="16"/>
      <c r="C113" s="568">
        <f t="shared" ca="1" si="37"/>
        <v>46206.208333333336</v>
      </c>
      <c r="F113" s="16">
        <v>85</v>
      </c>
      <c r="G113" s="568">
        <v>46205.958333333336</v>
      </c>
      <c r="I113" s="16">
        <v>85</v>
      </c>
      <c r="J113" s="568">
        <v>46205.958333333336</v>
      </c>
    </row>
    <row r="114" spans="1:10">
      <c r="A114" s="568">
        <v>46206.583333333336</v>
      </c>
      <c r="B114" s="16"/>
      <c r="C114" s="568">
        <f t="shared" ca="1" si="37"/>
        <v>46206.833333333336</v>
      </c>
      <c r="F114" s="16">
        <v>88</v>
      </c>
      <c r="G114" s="568">
        <v>46206.583333333336</v>
      </c>
      <c r="I114" s="16">
        <v>86</v>
      </c>
      <c r="J114" s="568">
        <v>46206.75</v>
      </c>
    </row>
    <row r="115" spans="1:10">
      <c r="A115" s="568">
        <v>46206.75</v>
      </c>
      <c r="B115" s="16"/>
      <c r="C115" s="568">
        <f t="shared" ca="1" si="37"/>
        <v>46207</v>
      </c>
      <c r="F115" s="16">
        <v>86</v>
      </c>
      <c r="G115" s="568">
        <v>46206.75</v>
      </c>
      <c r="I115" s="16">
        <v>87</v>
      </c>
      <c r="J115" s="568">
        <v>46206.895833333336</v>
      </c>
    </row>
    <row r="116" spans="1:10">
      <c r="A116" s="568">
        <v>46206.895833333336</v>
      </c>
      <c r="B116" s="16"/>
      <c r="C116" s="568">
        <f t="shared" ca="1" si="37"/>
        <v>46207.145833333336</v>
      </c>
      <c r="F116" s="16">
        <v>87</v>
      </c>
      <c r="G116" s="568">
        <v>46206.895833333336</v>
      </c>
      <c r="I116" s="16">
        <v>88</v>
      </c>
      <c r="J116" s="568">
        <v>46206.583333333336</v>
      </c>
    </row>
    <row r="117" spans="1:10">
      <c r="A117" s="16"/>
      <c r="B117" s="16"/>
      <c r="C117" s="568"/>
      <c r="F117" s="16"/>
      <c r="G117" s="568"/>
      <c r="I117" s="16"/>
      <c r="J117" s="16"/>
    </row>
    <row r="118" spans="1:10">
      <c r="A118" s="16"/>
      <c r="B118" s="16"/>
      <c r="C118" s="568"/>
      <c r="F118" s="16"/>
      <c r="G118" s="568"/>
      <c r="I118" s="16"/>
      <c r="J118" s="16"/>
    </row>
    <row r="119" spans="1:10">
      <c r="A119" s="600" t="s">
        <v>730</v>
      </c>
      <c r="B119" s="16"/>
      <c r="C119" s="16"/>
      <c r="F119" s="16"/>
      <c r="G119" s="568"/>
      <c r="I119" s="16"/>
      <c r="J119" s="16"/>
    </row>
    <row r="120" spans="1:10">
      <c r="A120" s="568">
        <v>46207.541666666664</v>
      </c>
      <c r="B120" s="16"/>
      <c r="C120" s="568">
        <f t="shared" ref="C120:C127" ca="1" si="38">A120+INDEX($V$3:$V$86,MATCH($C$3,$P$3:$P$86,0))*INDEX($W$3:$W$86,MATCH($C$3,$P$3:$P$86,0))</f>
        <v>46207.791666666664</v>
      </c>
      <c r="D120" s="596"/>
      <c r="F120" s="16">
        <v>90</v>
      </c>
      <c r="G120" s="568">
        <v>46207.541666666664</v>
      </c>
      <c r="I120" s="16">
        <v>89</v>
      </c>
      <c r="J120" s="568">
        <v>46207.708333333336</v>
      </c>
    </row>
    <row r="121" spans="1:10">
      <c r="A121" s="568">
        <v>46207.708333333336</v>
      </c>
      <c r="B121" s="16"/>
      <c r="C121" s="568">
        <f t="shared" ca="1" si="38"/>
        <v>46207.958333333336</v>
      </c>
      <c r="D121" s="596"/>
      <c r="F121" s="16">
        <v>89</v>
      </c>
      <c r="G121" s="568">
        <v>46207.708333333336</v>
      </c>
      <c r="I121" s="16">
        <v>90</v>
      </c>
      <c r="J121" s="568">
        <v>46207.541666666664</v>
      </c>
    </row>
    <row r="122" spans="1:10">
      <c r="A122" s="568">
        <v>46208.666666666664</v>
      </c>
      <c r="B122" s="16"/>
      <c r="C122" s="568">
        <f t="shared" ca="1" si="38"/>
        <v>46208.916666666664</v>
      </c>
      <c r="D122" s="596"/>
      <c r="F122" s="16">
        <v>91</v>
      </c>
      <c r="G122" s="568">
        <v>46208.666666666664</v>
      </c>
      <c r="I122" s="16">
        <v>91</v>
      </c>
      <c r="J122" s="568">
        <v>46208.666666666664</v>
      </c>
    </row>
    <row r="123" spans="1:10">
      <c r="A123" s="568">
        <v>46208.833333333336</v>
      </c>
      <c r="B123" s="16"/>
      <c r="C123" s="568">
        <f t="shared" ca="1" si="38"/>
        <v>46209.083333333336</v>
      </c>
      <c r="D123" s="596"/>
      <c r="F123" s="16">
        <v>92</v>
      </c>
      <c r="G123" s="568">
        <v>46208.833333333336</v>
      </c>
      <c r="I123" s="16">
        <v>92</v>
      </c>
      <c r="J123" s="568">
        <v>46208.833333333336</v>
      </c>
    </row>
    <row r="124" spans="1:10">
      <c r="A124" s="568">
        <v>46209.625</v>
      </c>
      <c r="B124" s="16"/>
      <c r="C124" s="568">
        <f t="shared" ca="1" si="38"/>
        <v>46209.875</v>
      </c>
      <c r="D124" s="596"/>
      <c r="F124" s="16">
        <v>93</v>
      </c>
      <c r="G124" s="568">
        <v>46209.625</v>
      </c>
      <c r="I124" s="16">
        <v>93</v>
      </c>
      <c r="J124" s="568">
        <v>46209.625</v>
      </c>
    </row>
    <row r="125" spans="1:10">
      <c r="A125" s="568">
        <v>46209.833333333336</v>
      </c>
      <c r="B125" s="16"/>
      <c r="C125" s="568">
        <f t="shared" ca="1" si="38"/>
        <v>46210.083333333336</v>
      </c>
      <c r="D125" s="596"/>
      <c r="F125" s="16">
        <v>94</v>
      </c>
      <c r="G125" s="568">
        <v>46209.833333333336</v>
      </c>
      <c r="I125" s="16">
        <v>94</v>
      </c>
      <c r="J125" s="568">
        <v>46209.833333333336</v>
      </c>
    </row>
    <row r="126" spans="1:10">
      <c r="A126" s="568">
        <v>46210.5</v>
      </c>
      <c r="B126" s="16"/>
      <c r="C126" s="568">
        <f t="shared" ca="1" si="38"/>
        <v>46210.75</v>
      </c>
      <c r="D126" s="596"/>
      <c r="F126" s="16">
        <v>95</v>
      </c>
      <c r="G126" s="568">
        <v>46210.5</v>
      </c>
      <c r="I126" s="16">
        <v>95</v>
      </c>
      <c r="J126" s="568">
        <v>46210.5</v>
      </c>
    </row>
    <row r="127" spans="1:10">
      <c r="A127" s="568">
        <v>46210.666666666664</v>
      </c>
      <c r="B127" s="16"/>
      <c r="C127" s="568">
        <f t="shared" ca="1" si="38"/>
        <v>46210.916666666664</v>
      </c>
      <c r="D127" s="596"/>
      <c r="F127" s="16">
        <v>96</v>
      </c>
      <c r="G127" s="568">
        <v>46210.666666666664</v>
      </c>
      <c r="I127" s="16">
        <v>96</v>
      </c>
      <c r="J127" s="568">
        <v>46210.666666666664</v>
      </c>
    </row>
    <row r="128" spans="1:10">
      <c r="A128" s="16"/>
      <c r="B128" s="16"/>
      <c r="C128" s="16"/>
      <c r="F128" s="16"/>
      <c r="G128" s="568"/>
      <c r="I128" s="16"/>
      <c r="J128" s="16"/>
    </row>
    <row r="129" spans="1:10">
      <c r="A129" s="16"/>
      <c r="B129" s="16"/>
      <c r="C129" s="16"/>
      <c r="F129" s="16"/>
      <c r="G129" s="568"/>
      <c r="I129" s="16"/>
      <c r="J129" s="16"/>
    </row>
    <row r="130" spans="1:10">
      <c r="A130" s="600" t="s">
        <v>96</v>
      </c>
      <c r="B130" s="16"/>
      <c r="C130" s="568"/>
      <c r="F130" s="16"/>
      <c r="G130" s="568"/>
      <c r="I130" s="16"/>
      <c r="J130" s="16"/>
    </row>
    <row r="131" spans="1:10">
      <c r="A131" s="568">
        <v>46212.666666666664</v>
      </c>
      <c r="B131" s="16"/>
      <c r="C131" s="568">
        <f ca="1">A131+INDEX($V$3:$V$86,MATCH($C$3,$P$3:$P$86,0))*INDEX($W$3:$W$86,MATCH($C$3,$P$3:$P$86,0))</f>
        <v>46212.916666666664</v>
      </c>
      <c r="D131" s="596"/>
      <c r="F131" s="16">
        <v>97</v>
      </c>
      <c r="G131" s="568">
        <v>46212.666666666664</v>
      </c>
      <c r="I131" s="16">
        <v>97</v>
      </c>
      <c r="J131" s="568">
        <v>46212.666666666664</v>
      </c>
    </row>
    <row r="132" spans="1:10">
      <c r="A132" s="568">
        <v>46213.625</v>
      </c>
      <c r="B132" s="16"/>
      <c r="C132" s="568">
        <f ca="1">A132+INDEX($V$3:$V$86,MATCH($C$3,$P$3:$P$86,0))*INDEX($W$3:$W$86,MATCH($C$3,$P$3:$P$86,0))</f>
        <v>46213.875</v>
      </c>
      <c r="D132" s="596"/>
      <c r="F132" s="16">
        <v>98</v>
      </c>
      <c r="G132" s="568">
        <v>46213.625</v>
      </c>
      <c r="I132" s="16">
        <v>98</v>
      </c>
      <c r="J132" s="568">
        <v>46213.625</v>
      </c>
    </row>
    <row r="133" spans="1:10">
      <c r="A133" s="568">
        <v>46214.708333333336</v>
      </c>
      <c r="B133" s="16"/>
      <c r="C133" s="568">
        <f ca="1">A133+INDEX($V$3:$V$86,MATCH($C$3,$P$3:$P$86,0))*INDEX($W$3:$W$86,MATCH($C$3,$P$3:$P$86,0))</f>
        <v>46214.958333333336</v>
      </c>
      <c r="D133" s="596"/>
      <c r="F133" s="16">
        <v>99</v>
      </c>
      <c r="G133" s="568">
        <v>46214.708333333336</v>
      </c>
      <c r="I133" s="16">
        <v>99</v>
      </c>
      <c r="J133" s="568">
        <v>46214.708333333336</v>
      </c>
    </row>
    <row r="134" spans="1:10">
      <c r="A134" s="568">
        <v>46214.875</v>
      </c>
      <c r="B134" s="16"/>
      <c r="C134" s="568">
        <f ca="1">A134+INDEX($V$3:$V$86,MATCH($C$3,$P$3:$P$86,0))*INDEX($W$3:$W$86,MATCH($C$3,$P$3:$P$86,0))</f>
        <v>46215.125</v>
      </c>
      <c r="D134" s="596"/>
      <c r="F134" s="16">
        <v>100</v>
      </c>
      <c r="G134" s="568">
        <v>46214.875</v>
      </c>
      <c r="I134" s="16">
        <v>100</v>
      </c>
      <c r="J134" s="568">
        <v>46214.875</v>
      </c>
    </row>
    <row r="135" spans="1:10">
      <c r="A135" s="16"/>
      <c r="B135" s="16"/>
      <c r="C135" s="568"/>
    </row>
    <row r="136" spans="1:10">
      <c r="A136" s="16"/>
      <c r="B136" s="16"/>
      <c r="C136" s="16"/>
    </row>
    <row r="137" spans="1:10">
      <c r="A137" s="601" t="s">
        <v>43</v>
      </c>
      <c r="B137" s="16"/>
      <c r="C137" s="568"/>
    </row>
    <row r="138" spans="1:10">
      <c r="A138" s="568">
        <v>46217.625</v>
      </c>
      <c r="B138" s="16"/>
      <c r="C138" s="568">
        <f ca="1">A138+INDEX($V$3:$V$86,MATCH($C$3,$P$3:$P$86,0))*INDEX($W$3:$W$86,MATCH($C$3,$P$3:$P$86,0))</f>
        <v>46217.875</v>
      </c>
      <c r="D138" s="596"/>
    </row>
    <row r="139" spans="1:10">
      <c r="A139" s="568">
        <v>46218.625</v>
      </c>
      <c r="B139" s="16"/>
      <c r="C139" s="568">
        <f ca="1">A139+INDEX($V$3:$V$86,MATCH($C$3,$P$3:$P$86,0))*INDEX($W$3:$W$86,MATCH($C$3,$P$3:$P$86,0))</f>
        <v>46218.875</v>
      </c>
      <c r="D139" s="596"/>
    </row>
    <row r="140" spans="1:10">
      <c r="A140" s="16"/>
      <c r="B140" s="16"/>
      <c r="C140" s="568"/>
    </row>
    <row r="141" spans="1:10">
      <c r="A141" s="16"/>
      <c r="B141" s="16"/>
      <c r="C141" s="16"/>
    </row>
    <row r="142" spans="1:10">
      <c r="A142" s="602" t="s">
        <v>503</v>
      </c>
      <c r="B142" s="16"/>
      <c r="C142" s="16"/>
    </row>
    <row r="143" spans="1:10">
      <c r="A143" s="568">
        <v>46221.708333333336</v>
      </c>
      <c r="B143" s="16"/>
      <c r="C143" s="568">
        <f ca="1">A143+INDEX($V$3:$V$86,MATCH($C$3,$P$3:$P$86,0))*INDEX($W$3:$W$86,MATCH($C$3,$P$3:$P$86,0))</f>
        <v>46221.958333333336</v>
      </c>
      <c r="D143" s="596"/>
    </row>
    <row r="144" spans="1:10">
      <c r="A144" s="16"/>
      <c r="B144" s="16"/>
      <c r="C144" s="16"/>
    </row>
    <row r="145" spans="1:4">
      <c r="A145" s="16"/>
      <c r="B145" s="16"/>
      <c r="C145" s="16"/>
    </row>
    <row r="146" spans="1:4">
      <c r="A146" s="603" t="s">
        <v>4</v>
      </c>
      <c r="B146" s="16"/>
      <c r="C146" s="568"/>
    </row>
    <row r="147" spans="1:4">
      <c r="A147" s="568">
        <v>46222.625</v>
      </c>
      <c r="B147" s="16"/>
      <c r="C147" s="568">
        <f ca="1">A147+INDEX($V$3:$V$86,MATCH($C$3,$P$3:$P$86,0))*INDEX($W$3:$W$86,MATCH($C$3,$P$3:$P$86,0))</f>
        <v>46222.875</v>
      </c>
      <c r="D147" s="596"/>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Alberto Gay Pérez</cp:lastModifiedBy>
  <cp:lastPrinted>2018-12-06T18:06:35Z</cp:lastPrinted>
  <dcterms:created xsi:type="dcterms:W3CDTF">2015-10-31T09:41:54Z</dcterms:created>
  <dcterms:modified xsi:type="dcterms:W3CDTF">2026-06-10T20:54:58Z</dcterms:modified>
</cp:coreProperties>
</file>