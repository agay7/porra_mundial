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autoCompressPictures="0" defaultThemeVersion="124226"/>
  <mc:AlternateContent xmlns:mc="http://schemas.openxmlformats.org/markup-compatibility/2006">
    <mc:Choice Requires="x15">
      <x15ac:absPath xmlns:x15ac="http://schemas.microsoft.com/office/spreadsheetml/2010/11/ac" url="C:\Users\jcrfa\Downloads\"/>
    </mc:Choice>
  </mc:AlternateContent>
  <xr:revisionPtr revIDLastSave="0" documentId="8_{EDE73875-D9FF-4129-BAA2-0094E9728443}" xr6:coauthVersionLast="47" xr6:coauthVersionMax="47" xr10:uidLastSave="{00000000-0000-0000-0000-000000000000}"/>
  <bookViews>
    <workbookView xWindow="22932" yWindow="-108" windowWidth="23256" windowHeight="12456"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B64" i="3" l="1" a="1"/>
  <c r="AB64" i="3" s="1"/>
  <c r="D34" i="3"/>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BU26" i="3" s="1"/>
  <c r="F45" i="3"/>
  <c r="BW28" i="3" s="1"/>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BU34" i="3" s="1"/>
  <c r="E63" i="3"/>
  <c r="E9" i="3"/>
  <c r="F4" i="3"/>
  <c r="F6" i="3"/>
  <c r="F79" i="3"/>
  <c r="E80" i="3"/>
  <c r="F76" i="3"/>
  <c r="F80" i="3"/>
  <c r="BW43" i="3" s="1"/>
  <c r="E77" i="3"/>
  <c r="F78" i="3"/>
  <c r="E61" i="3"/>
  <c r="F62" i="3"/>
  <c r="F64" i="3"/>
  <c r="F72" i="3"/>
  <c r="E68" i="3"/>
  <c r="E70" i="3"/>
  <c r="BW24" i="3" l="1"/>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X53" i="3" s="1"/>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X38" i="3" s="1"/>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42" i="3" l="1"/>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8" i="3" l="1"/>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B17" i="3" l="1"/>
  <c r="CC17" i="3" s="1"/>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5"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49" i="3" l="1"/>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I26" i="3" s="1"/>
  <c r="CH40" i="3"/>
  <c r="CH11" i="3"/>
  <c r="O12" i="3" s="1"/>
  <c r="CH14" i="3"/>
  <c r="CH13" i="3"/>
  <c r="O13" i="3" s="1"/>
  <c r="O94" i="3" l="1"/>
  <c r="O64" i="3"/>
  <c r="CI35" i="3" s="1"/>
  <c r="N79" i="3"/>
  <c r="O93" i="3"/>
  <c r="N95" i="3"/>
  <c r="N96" i="3"/>
  <c r="O47" i="3"/>
  <c r="N61" i="3"/>
  <c r="O97" i="3"/>
  <c r="O44" i="3"/>
  <c r="N56" i="3"/>
  <c r="O95" i="3"/>
  <c r="CI27" i="3"/>
  <c r="CI51" i="3"/>
  <c r="N29" i="3"/>
  <c r="CJ50" i="3"/>
  <c r="CI22" i="3"/>
  <c r="O55" i="3"/>
  <c r="O33" i="3"/>
  <c r="CJ19" i="3" s="1"/>
  <c r="N9" i="3"/>
  <c r="N36" i="3"/>
  <c r="O41" i="3"/>
  <c r="CK25" i="3" s="1"/>
  <c r="O4" i="3"/>
  <c r="O69" i="3"/>
  <c r="CK40" i="3" s="1"/>
  <c r="N72" i="3"/>
  <c r="CK21" i="3"/>
  <c r="O30" i="3"/>
  <c r="N32" i="3"/>
  <c r="CJ18" i="3" s="1"/>
  <c r="N7" i="3"/>
  <c r="O29" i="3"/>
  <c r="CI20" i="3" s="1"/>
  <c r="N49" i="3"/>
  <c r="N52" i="3"/>
  <c r="CK24" i="3"/>
  <c r="N54" i="3"/>
  <c r="N37" i="3"/>
  <c r="CI10" i="3"/>
  <c r="N8" i="3"/>
  <c r="CI6" i="3" s="1"/>
  <c r="O52" i="3"/>
  <c r="CK30" i="3" s="1"/>
  <c r="N97" i="3"/>
  <c r="O77" i="3"/>
  <c r="CI44" i="3" s="1"/>
  <c r="N80" i="3"/>
  <c r="N55" i="3"/>
  <c r="N81" i="3"/>
  <c r="N84" i="3"/>
  <c r="O5" i="3"/>
  <c r="CK8" i="3" s="1"/>
  <c r="N47" i="3"/>
  <c r="CK46" i="3"/>
  <c r="CI33" i="3"/>
  <c r="O53" i="3"/>
  <c r="O79" i="3"/>
  <c r="CI45" i="3" s="1"/>
  <c r="N6" i="3"/>
  <c r="N86" i="3"/>
  <c r="O32" i="3"/>
  <c r="CI21" i="3" s="1"/>
  <c r="CI12" i="3"/>
  <c r="CI43" i="3"/>
  <c r="N88" i="3"/>
  <c r="N30" i="3"/>
  <c r="CI25" i="3"/>
  <c r="CK6" i="3"/>
  <c r="CK18" i="3"/>
  <c r="CI18" i="3"/>
  <c r="N73" i="3"/>
  <c r="CI49" i="3"/>
  <c r="N15" i="3"/>
  <c r="CI11" i="3"/>
  <c r="O96" i="3"/>
  <c r="CJ53" i="3" s="1"/>
  <c r="CL53" i="3" s="1"/>
  <c r="N68" i="3"/>
  <c r="CK39" i="3" s="1"/>
  <c r="CK50" i="3"/>
  <c r="O40" i="3"/>
  <c r="O15" i="3"/>
  <c r="N65" i="3"/>
  <c r="O9" i="3"/>
  <c r="CI23" i="3"/>
  <c r="O36" i="3"/>
  <c r="CJ22" i="3" s="1"/>
  <c r="CK23" i="3"/>
  <c r="O61" i="3"/>
  <c r="CJ36" i="3" s="1"/>
  <c r="CI8" i="3"/>
  <c r="CI47" i="3"/>
  <c r="N13" i="3"/>
  <c r="O68" i="3"/>
  <c r="CI38" i="3" s="1"/>
  <c r="O57" i="3"/>
  <c r="O65" i="3"/>
  <c r="CK37" i="3" s="1"/>
  <c r="N40" i="3"/>
  <c r="O31" i="3"/>
  <c r="CJ21" i="3" s="1"/>
  <c r="N92" i="3"/>
  <c r="CK51" i="3" s="1"/>
  <c r="CK12" i="3"/>
  <c r="N77" i="3"/>
  <c r="CI19" i="3"/>
  <c r="CI50" i="3"/>
  <c r="O25" i="3"/>
  <c r="CI15" i="3" s="1"/>
  <c r="O37" i="3"/>
  <c r="N5" i="3"/>
  <c r="CJ9" i="3" s="1"/>
  <c r="O72" i="3"/>
  <c r="CI41" i="3" s="1"/>
  <c r="O84" i="3"/>
  <c r="CI46" i="3" s="1"/>
  <c r="O87" i="3"/>
  <c r="N60" i="3"/>
  <c r="CK35" i="3" s="1"/>
  <c r="O78" i="3"/>
  <c r="O23" i="3"/>
  <c r="N94" i="3"/>
  <c r="CK52" i="3" s="1"/>
  <c r="N39" i="3"/>
  <c r="CK38" i="3"/>
  <c r="CI52" i="3"/>
  <c r="N4" i="3"/>
  <c r="CK7" i="3" s="1"/>
  <c r="CK19" i="3"/>
  <c r="N87" i="3"/>
  <c r="N25" i="3"/>
  <c r="O22" i="3"/>
  <c r="N76" i="3"/>
  <c r="CJ43" i="3" s="1"/>
  <c r="O49" i="3"/>
  <c r="CI29" i="3" s="1"/>
  <c r="N46" i="3"/>
  <c r="CJ28" i="3" s="1"/>
  <c r="N53" i="3"/>
  <c r="CK28" i="3"/>
  <c r="CK48" i="3"/>
  <c r="N85" i="3"/>
  <c r="N44" i="3"/>
  <c r="CK27" i="3" s="1"/>
  <c r="N12" i="3"/>
  <c r="O54" i="3"/>
  <c r="O89" i="3"/>
  <c r="CK47" i="3" s="1"/>
  <c r="O56" i="3"/>
  <c r="N24" i="3"/>
  <c r="O46" i="3"/>
  <c r="CI28" i="3"/>
  <c r="O21" i="3"/>
  <c r="CI16" i="3" s="1"/>
  <c r="N45" i="3"/>
  <c r="CK29" i="3" s="1"/>
  <c r="CK32" i="3"/>
  <c r="N16" i="3"/>
  <c r="CI48" i="3"/>
  <c r="CK26" i="3"/>
  <c r="CJ48" i="3"/>
  <c r="O20" i="3"/>
  <c r="CI14" i="3" s="1"/>
  <c r="N33" i="3"/>
  <c r="CK10" i="3"/>
  <c r="N69" i="3"/>
  <c r="O73" i="3"/>
  <c r="CI39" i="3" s="1"/>
  <c r="O60" i="3"/>
  <c r="CK34" i="3" s="1"/>
  <c r="O63" i="3"/>
  <c r="CI37" i="3" s="1"/>
  <c r="CI40" i="3"/>
  <c r="CK11" i="3"/>
  <c r="O70" i="3"/>
  <c r="N22" i="3"/>
  <c r="CK42" i="3"/>
  <c r="N78" i="3"/>
  <c r="CK44" i="3" s="1"/>
  <c r="O81" i="3"/>
  <c r="CI13" i="3"/>
  <c r="N14" i="3"/>
  <c r="CK13" i="3"/>
  <c r="N23" i="3"/>
  <c r="N20" i="3"/>
  <c r="CK15" i="3" s="1"/>
  <c r="O24" i="3"/>
  <c r="CK17" i="3" s="1"/>
  <c r="N17" i="3"/>
  <c r="O14" i="3"/>
  <c r="CK33" i="3"/>
  <c r="CK53" i="3"/>
  <c r="CK49" i="3"/>
  <c r="CK31" i="3"/>
  <c r="CK41" i="3" l="1"/>
  <c r="CI34" i="3"/>
  <c r="CK36" i="3"/>
  <c r="CI24" i="3"/>
  <c r="CK20" i="3"/>
  <c r="CK16" i="3"/>
  <c r="CK45" i="3"/>
  <c r="CK43" i="3"/>
  <c r="CI36" i="3"/>
  <c r="CL36" i="3" s="1"/>
  <c r="CK14" i="3"/>
  <c r="CK22" i="3"/>
  <c r="CI9" i="3"/>
  <c r="CL9" i="3" s="1"/>
  <c r="CI7" i="3"/>
  <c r="CL50" i="3"/>
  <c r="CL22"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24" i="3" l="1"/>
  <c r="CM45" i="3"/>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Q17" i="3" s="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86" i="3" l="1"/>
  <c r="R89" i="3"/>
  <c r="CP47" i="3" s="1"/>
  <c r="Q9" i="3"/>
  <c r="R6" i="3"/>
  <c r="R12" i="3"/>
  <c r="R29" i="3"/>
  <c r="R14" i="3"/>
  <c r="R37" i="3"/>
  <c r="Q41" i="3"/>
  <c r="R78" i="3"/>
  <c r="R80" i="3"/>
  <c r="CP43" i="3" s="1"/>
  <c r="R40" i="3"/>
  <c r="CP23" i="3" s="1"/>
  <c r="Q60" i="3"/>
  <c r="Q62" i="3"/>
  <c r="R38" i="3"/>
  <c r="R56" i="3"/>
  <c r="R62" i="3"/>
  <c r="Q61" i="3"/>
  <c r="CP37" i="3" s="1"/>
  <c r="Q30" i="3"/>
  <c r="R53" i="3"/>
  <c r="R54" i="3"/>
  <c r="R28" i="3"/>
  <c r="R81" i="3"/>
  <c r="Q69" i="3"/>
  <c r="R87" i="3"/>
  <c r="Q55" i="3"/>
  <c r="R70" i="3"/>
  <c r="R84" i="3"/>
  <c r="Q96" i="3"/>
  <c r="Q72" i="3"/>
  <c r="R44" i="3"/>
  <c r="R49" i="3"/>
  <c r="Q46" i="3"/>
  <c r="R32" i="3"/>
  <c r="R69" i="3"/>
  <c r="R24" i="3"/>
  <c r="Q78" i="3"/>
  <c r="Q80" i="3"/>
  <c r="R31" i="3"/>
  <c r="Q23" i="3"/>
  <c r="Q16" i="3"/>
  <c r="CO10" i="3" s="1"/>
  <c r="Q12" i="3"/>
  <c r="Q93" i="3"/>
  <c r="R16" i="3"/>
  <c r="R79" i="3"/>
  <c r="Q63" i="3"/>
  <c r="Q21" i="3"/>
  <c r="Q38" i="3"/>
  <c r="R23" i="3"/>
  <c r="Q14" i="3"/>
  <c r="R96" i="3"/>
  <c r="R55" i="3"/>
  <c r="CP33" i="3" s="1"/>
  <c r="R41" i="3"/>
  <c r="R93" i="3"/>
  <c r="R7" i="3"/>
  <c r="R88" i="3"/>
  <c r="R85" i="3"/>
  <c r="Q68" i="3"/>
  <c r="CP39" i="3" s="1"/>
  <c r="R72" i="3"/>
  <c r="R95" i="3"/>
  <c r="CO53" i="3" s="1"/>
  <c r="Q22" i="3"/>
  <c r="CO15" i="3" s="1"/>
  <c r="Q56" i="3"/>
  <c r="R77" i="3"/>
  <c r="R21" i="3"/>
  <c r="Q31" i="3"/>
  <c r="CO19" i="3" s="1"/>
  <c r="Q45" i="3"/>
  <c r="Q86" i="3"/>
  <c r="R39" i="3"/>
  <c r="Q73" i="3"/>
  <c r="Q97" i="3"/>
  <c r="Q8" i="3"/>
  <c r="R5" i="3"/>
  <c r="CO8" i="3" s="1"/>
  <c r="Q40" i="3"/>
  <c r="Q88" i="3"/>
  <c r="CP12" i="3"/>
  <c r="R48" i="3"/>
  <c r="CO27" i="3" s="1"/>
  <c r="Q13" i="3"/>
  <c r="R9" i="3"/>
  <c r="Q92" i="3"/>
  <c r="CP51" i="3" s="1"/>
  <c r="R94" i="3"/>
  <c r="CP50" i="3" s="1"/>
  <c r="Q65" i="3"/>
  <c r="R17" i="3"/>
  <c r="R30" i="3"/>
  <c r="CO18" i="3" s="1"/>
  <c r="R22" i="3"/>
  <c r="Q29" i="3"/>
  <c r="Q52" i="3"/>
  <c r="R20" i="3"/>
  <c r="Q54" i="3"/>
  <c r="Q81" i="3"/>
  <c r="CP42" i="3" s="1"/>
  <c r="R45" i="3"/>
  <c r="Q49" i="3"/>
  <c r="Q48" i="3"/>
  <c r="Q64" i="3"/>
  <c r="R68" i="3"/>
  <c r="R8" i="3"/>
  <c r="CO9" i="3" s="1"/>
  <c r="R60" i="3"/>
  <c r="Q4" i="3"/>
  <c r="CP30" i="3"/>
  <c r="CP53" i="3"/>
  <c r="CO22" i="3"/>
  <c r="CO30" i="3"/>
  <c r="CO47" i="3"/>
  <c r="CO12" i="3"/>
  <c r="CO43" i="3" l="1"/>
  <c r="CQ43" i="3" s="1"/>
  <c r="CO35" i="3"/>
  <c r="CO45" i="3"/>
  <c r="CP36" i="3"/>
  <c r="CP45" i="3"/>
  <c r="CP22" i="3"/>
  <c r="CQ22" i="3" s="1"/>
  <c r="CP20" i="3"/>
  <c r="CO23" i="3"/>
  <c r="CQ23" i="3" s="1"/>
  <c r="CP44" i="3"/>
  <c r="CO26" i="3"/>
  <c r="CP49" i="3"/>
  <c r="CP35" i="3"/>
  <c r="CP34" i="3"/>
  <c r="CP48" i="3"/>
  <c r="CO24" i="3"/>
  <c r="CO37" i="3"/>
  <c r="CQ37" i="3" s="1"/>
  <c r="CP38" i="3"/>
  <c r="CP14" i="3"/>
  <c r="CP46" i="3"/>
  <c r="CO34" i="3"/>
  <c r="CO50" i="3"/>
  <c r="CQ50" i="3" s="1"/>
  <c r="CP40" i="3"/>
  <c r="CO46" i="3"/>
  <c r="CP24" i="3"/>
  <c r="CO21" i="3"/>
  <c r="CO40" i="3"/>
  <c r="CO49" i="3"/>
  <c r="CO48" i="3"/>
  <c r="CO11" i="3"/>
  <c r="CO38" i="3"/>
  <c r="CP31" i="3"/>
  <c r="CP32" i="3"/>
  <c r="CP16" i="3"/>
  <c r="CO42" i="3"/>
  <c r="CQ42" i="3" s="1"/>
  <c r="CP10" i="3"/>
  <c r="CQ10" i="3" s="1"/>
  <c r="CO44" i="3"/>
  <c r="CO31" i="3"/>
  <c r="CQ30" i="3"/>
  <c r="CO32" i="3"/>
  <c r="CP28" i="3"/>
  <c r="CP17" i="3"/>
  <c r="CO28" i="3"/>
  <c r="CP26" i="3"/>
  <c r="CP9" i="3"/>
  <c r="CQ9" i="3" s="1"/>
  <c r="CP15" i="3"/>
  <c r="CQ15" i="3" s="1"/>
  <c r="CP13" i="3"/>
  <c r="CO17" i="3"/>
  <c r="CP21" i="3"/>
  <c r="CP18" i="3"/>
  <c r="CQ18" i="3" s="1"/>
  <c r="CO16" i="3"/>
  <c r="CO20" i="3"/>
  <c r="CP19" i="3"/>
  <c r="CQ19" i="3" s="1"/>
  <c r="CO14" i="3"/>
  <c r="CP11" i="3"/>
  <c r="CQ12" i="3"/>
  <c r="CO13" i="3"/>
  <c r="CO7" i="3"/>
  <c r="CO6" i="3"/>
  <c r="CP6" i="3"/>
  <c r="CP8" i="3"/>
  <c r="CQ8" i="3" s="1"/>
  <c r="CP7" i="3"/>
  <c r="CP52" i="3"/>
  <c r="CP27" i="3"/>
  <c r="CQ27" i="3" s="1"/>
  <c r="CO52" i="3"/>
  <c r="CO41" i="3"/>
  <c r="CO29" i="3"/>
  <c r="CP29" i="3"/>
  <c r="CO51" i="3"/>
  <c r="CQ51" i="3" s="1"/>
  <c r="CO33" i="3"/>
  <c r="CQ33" i="3" s="1"/>
  <c r="CO39" i="3"/>
  <c r="CQ39" i="3" s="1"/>
  <c r="CO25" i="3"/>
  <c r="CP25" i="3"/>
  <c r="CP41" i="3"/>
  <c r="CO36" i="3"/>
  <c r="CQ53" i="3"/>
  <c r="CQ47" i="3"/>
  <c r="CQ26" i="3" l="1"/>
  <c r="CQ35" i="3"/>
  <c r="CQ45" i="3"/>
  <c r="CQ36" i="3"/>
  <c r="CQ20" i="3"/>
  <c r="CQ44"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l="1"/>
  <c r="U57" i="3"/>
  <c r="U37" i="3"/>
  <c r="CT24" i="3" s="1"/>
  <c r="T41" i="3"/>
  <c r="T54" i="3"/>
  <c r="T37" i="3"/>
  <c r="U33" i="3"/>
  <c r="U25" i="3"/>
  <c r="T21" i="3"/>
  <c r="CT17" i="3" s="1"/>
  <c r="U32" i="3"/>
  <c r="T84" i="3"/>
  <c r="T86" i="3"/>
  <c r="T29" i="3"/>
  <c r="T12" i="3"/>
  <c r="T61" i="3"/>
  <c r="CT37" i="3" s="1"/>
  <c r="T6" i="3"/>
  <c r="U64" i="3"/>
  <c r="U68" i="3"/>
  <c r="U7" i="3"/>
  <c r="T28" i="3"/>
  <c r="T8" i="3"/>
  <c r="U77" i="3"/>
  <c r="CT44" i="3" s="1"/>
  <c r="T36" i="3"/>
  <c r="CT23" i="3" s="1"/>
  <c r="U41" i="3"/>
  <c r="T69" i="3"/>
  <c r="U73" i="3"/>
  <c r="U15" i="3"/>
  <c r="T77" i="3"/>
  <c r="T81" i="3"/>
  <c r="U16" i="3"/>
  <c r="T24" i="3"/>
  <c r="T73" i="3"/>
  <c r="U95" i="3"/>
  <c r="T85" i="3"/>
  <c r="U86" i="3"/>
  <c r="T97" i="3"/>
  <c r="T32" i="3"/>
  <c r="U81" i="3"/>
  <c r="U78" i="3"/>
  <c r="T89" i="3"/>
  <c r="U87" i="3"/>
  <c r="T87" i="3"/>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T72" i="3"/>
  <c r="T57" i="3"/>
  <c r="U94" i="3"/>
  <c r="CT50" i="3" s="1"/>
  <c r="U36" i="3"/>
  <c r="CT22" i="3" s="1"/>
  <c r="T65" i="3"/>
  <c r="U61" i="3"/>
  <c r="U17" i="3"/>
  <c r="CT11" i="3" s="1"/>
  <c r="T23" i="3"/>
  <c r="U69" i="3"/>
  <c r="CT40" i="3" s="1"/>
  <c r="T55" i="3"/>
  <c r="U97" i="3"/>
  <c r="CT51" i="3" s="1"/>
  <c r="U6" i="3"/>
  <c r="T25" i="3"/>
  <c r="U79" i="3"/>
  <c r="T60" i="3"/>
  <c r="CT35" i="3" s="1"/>
  <c r="T4" i="3"/>
  <c r="CT7" i="3" s="1"/>
  <c r="T62" i="3"/>
  <c r="T7" i="3"/>
  <c r="U20" i="3"/>
  <c r="T48" i="3"/>
  <c r="CT28" i="3" s="1"/>
  <c r="U44" i="3"/>
  <c r="U76" i="3"/>
  <c r="CT43" i="3"/>
  <c r="U46" i="3"/>
  <c r="T45" i="3"/>
  <c r="T47" i="3"/>
  <c r="T9" i="3"/>
  <c r="T49" i="3"/>
  <c r="CT31" i="3"/>
  <c r="CT49" i="3"/>
  <c r="CT34" i="3" l="1"/>
  <c r="CT47" i="3"/>
  <c r="CT25" i="3"/>
  <c r="CT15" i="3"/>
  <c r="CT19"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N33" i="3" a="1"/>
  <c r="DN33" i="3" s="1"/>
  <c r="DM33" i="3"/>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C103" i="46"/>
  <c r="C228" i="31"/>
  <c r="AM14" i="45"/>
  <c r="C229" i="31"/>
  <c r="AM38" i="45" a="1"/>
  <c r="AM38" i="45" s="1"/>
  <c r="M138" i="3"/>
  <c r="AA138" i="3" s="1"/>
  <c r="B102" i="46" s="1"/>
  <c r="AG131" i="3"/>
  <c r="D139" i="3" l="1"/>
  <c r="AF147" i="3"/>
  <c r="C105" i="46" s="1"/>
  <c r="AA147" i="3"/>
  <c r="B105" i="46" s="1"/>
  <c r="D138" i="3"/>
  <c r="M147" i="3" s="1"/>
  <c r="AM37" i="45"/>
  <c r="C233" i="31"/>
  <c r="H139" i="3"/>
  <c r="AF143" i="3"/>
  <c r="C104" i="46" s="1"/>
  <c r="C227" i="31"/>
  <c r="B233" i="31"/>
  <c r="H147" i="3"/>
  <c r="AA151" i="3"/>
  <c r="D147" i="3"/>
  <c r="AG147" i="3" s="1"/>
  <c r="N147" i="3"/>
  <c r="AG139" i="3"/>
  <c r="N143" i="3"/>
  <c r="AU26" i="45"/>
  <c r="C241" i="31"/>
  <c r="H138" i="3"/>
  <c r="AA143" i="3"/>
  <c r="B104" i="46" s="1"/>
  <c r="C240" i="31"/>
  <c r="B247" i="31"/>
  <c r="C247" i="31"/>
  <c r="C232" i="31"/>
  <c r="AM13" i="45"/>
  <c r="B232" i="31"/>
  <c r="C226" i="31"/>
  <c r="AA150" i="3" l="1"/>
  <c r="AG138" i="3"/>
  <c r="M143" i="3"/>
  <c r="AU25" i="45"/>
  <c r="AQ32" i="45"/>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M10" i="45"/>
  <c r="BM35" i="45"/>
  <c r="BL35" i="45" s="1"/>
  <c r="BK35" i="45" s="1"/>
  <c r="BJ35" i="45" s="1"/>
  <c r="BI35" i="45" s="1"/>
  <c r="BH35" i="45" s="1"/>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 r="BL17" i="45"/>
  <c r="BK17" i="45" s="1"/>
  <c r="BJ17" i="45" s="1"/>
  <c r="BI17" i="45" s="1"/>
  <c r="BH17" i="45" s="1"/>
  <c r="BL10" i="45"/>
  <c r="BK10" i="45" s="1"/>
  <c r="BJ10" i="45" s="1"/>
  <c r="BI10" i="45" s="1"/>
  <c r="BH1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futureMetadata>
  <cellMetadata count="1">
    <bk>
      <rc t="1" v="0"/>
    </bk>
  </cellMetadata>
  <valueMetadata count="5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valueMetadata>
</metadata>
</file>

<file path=xl/sharedStrings.xml><?xml version="1.0" encoding="utf-8"?>
<sst xmlns="http://schemas.openxmlformats.org/spreadsheetml/2006/main" count="6813" uniqueCount="1534">
  <si>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</si>
  <si>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</si>
  <si>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</si>
  <si>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</si>
  <si>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</si>
  <si>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</si>
  <si>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</si>
  <si>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</si>
  <si>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</si>
  <si>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</si>
  <si>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</si>
  <si>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</si>
  <si>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</si>
  <si>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</si>
  <si>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</si>
  <si>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</si>
  <si>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</si>
  <si>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</si>
  <si>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</si>
  <si>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</si>
  <si>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</si>
  <si>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</si>
  <si>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</si>
  <si>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</si>
  <si>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</si>
  <si>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</si>
  <si>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</si>
  <si>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</si>
  <si>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</si>
  <si>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</si>
  <si>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</si>
  <si>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</si>
  <si>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</si>
  <si>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</si>
  <si>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</si>
  <si>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</si>
  <si>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</si>
  <si>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</si>
  <si>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</si>
  <si>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</si>
  <si>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</si>
  <si>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</si>
  <si>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</si>
  <si>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</si>
  <si>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</si>
  <si>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</si>
  <si>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</si>
  <si>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</si>
  <si>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</si>
  <si>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</si>
  <si>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</si>
  <si>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</si>
  <si>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</si>
  <si>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</si>
  <si>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</si>
  <si>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</si>
  <si>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</si>
  <si>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</si>
  <si>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</si>
  <si>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</si>
  <si>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</si>
  <si>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</si>
  <si>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</si>
  <si>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</si>
  <si>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</si>
  <si>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</si>
  <si>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</si>
  <si>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</si>
  <si>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</si>
  <si>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</si>
  <si>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</si>
  <si>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</si>
  <si>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</si>
  <si>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</si>
  <si>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</si>
  <si>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</si>
  <si>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</si>
  <si>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</si>
  <si>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</si>
  <si>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</si>
  <si>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</si>
  <si>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</si>
  <si>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</si>
  <si>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</si>
  <si>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</si>
  <si>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</si>
  <si>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</si>
  <si>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</si>
  <si>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</si>
  <si>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</si>
  <si>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</si>
  <si>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</si>
  <si>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</si>
  <si>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</si>
  <si>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</si>
  <si>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</si>
  <si>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</si>
  <si>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</si>
  <si>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</si>
  <si>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</si>
  <si>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</si>
  <si>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</si>
  <si>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</si>
  <si>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</si>
  <si>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</si>
  <si>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</si>
  <si>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</si>
  <si>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</si>
  <si>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</si>
  <si>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</si>
  <si>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</si>
  <si>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</si>
  <si>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</si>
  <si>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</si>
  <si>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</si>
  <si>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</si>
  <si>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</si>
  <si>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</si>
  <si>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</si>
  <si>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</si>
  <si>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</si>
  <si>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</si>
  <si>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</si>
  <si>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</si>
  <si>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</si>
  <si>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</si>
  <si>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</si>
  <si>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</si>
  <si>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</si>
  <si>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</si>
  <si>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</si>
  <si>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</si>
  <si>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</si>
  <si>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</si>
  <si>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</si>
  <si>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</si>
  <si>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</si>
  <si>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</si>
  <si>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</si>
  <si>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</si>
  <si>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</si>
  <si>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</si>
  <si>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</si>
  <si>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</si>
  <si>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</si>
  <si>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</si>
  <si>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</si>
  <si>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</si>
  <si>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</si>
  <si>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</si>
  <si>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</si>
  <si>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</si>
  <si>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</si>
  <si>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</si>
  <si>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</si>
  <si>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</si>
  <si>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</si>
  <si>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</si>
  <si>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</si>
  <si>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</si>
  <si>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</si>
  <si>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</si>
  <si>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</si>
  <si>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</si>
  <si>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</si>
  <si>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</si>
  <si>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</si>
  <si>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</si>
  <si>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</si>
  <si>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</si>
  <si>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</si>
  <si>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</si>
  <si>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</si>
  <si>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</si>
  <si>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</si>
  <si>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</si>
  <si>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</si>
  <si>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</si>
  <si>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</si>
  <si>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</si>
  <si>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</si>
  <si>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</si>
  <si>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</si>
  <si>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</si>
  <si>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</si>
  <si>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</si>
  <si>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</si>
  <si>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</si>
  <si>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</si>
  <si>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</si>
  <si>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</si>
  <si>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</si>
  <si>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</si>
  <si>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</si>
  <si>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</si>
  <si>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</si>
  <si>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</si>
  <si>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</si>
  <si>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</si>
  <si>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</si>
  <si>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</si>
  <si>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</si>
  <si>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</si>
  <si>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</si>
  <si>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</si>
  <si>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</si>
  <si>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</si>
  <si>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</si>
  <si>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</si>
  <si>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</si>
  <si>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</si>
  <si>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</si>
  <si>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</si>
  <si>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</si>
  <si>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</si>
  <si>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</si>
  <si>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</si>
  <si>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</si>
  <si>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</si>
  <si>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</si>
  <si>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</si>
  <si>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</si>
  <si>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</si>
  <si>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</si>
  <si>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</si>
  <si>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</si>
  <si>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</si>
  <si>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</si>
  <si>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</si>
  <si>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</si>
  <si>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</si>
  <si>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</si>
  <si>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</si>
  <si>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</si>
  <si>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</si>
  <si>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</si>
  <si>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</si>
  <si>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</si>
  <si>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</si>
  <si>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</si>
  <si>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</si>
  <si>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</si>
  <si>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</si>
  <si>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</si>
  <si>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</si>
  <si>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</si>
  <si>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</si>
  <si>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</si>
  <si>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</si>
  <si>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</si>
  <si>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</si>
  <si>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</si>
  <si>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</si>
  <si>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</si>
  <si>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</si>
  <si>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</si>
  <si>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</si>
  <si>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</si>
  <si>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</si>
  <si>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</si>
  <si>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</si>
  <si>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</si>
  <si>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</si>
  <si>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</si>
  <si>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</si>
  <si>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</si>
  <si>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</si>
  <si>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</si>
  <si>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</si>
  <si>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</si>
  <si>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</si>
  <si>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</si>
  <si>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</si>
  <si>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</si>
  <si>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</si>
  <si>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</si>
  <si>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</si>
  <si>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</si>
  <si>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</si>
  <si>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</si>
  <si>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</si>
  <si>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</si>
  <si>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</si>
  <si>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</si>
  <si>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</si>
  <si>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</si>
  <si>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</si>
  <si>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</si>
  <si>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</si>
  <si>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</si>
  <si>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</si>
  <si>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</si>
  <si>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</si>
  <si>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</si>
  <si>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</si>
  <si>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</si>
  <si>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</si>
  <si>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</si>
  <si>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</si>
  <si>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</si>
  <si>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</si>
  <si>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</si>
  <si>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</si>
  <si>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</si>
  <si>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</si>
  <si>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</si>
  <si>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</si>
  <si>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</si>
  <si>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</si>
  <si>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</si>
  <si>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</si>
  <si>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</si>
  <si>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</si>
  <si>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</si>
  <si>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</si>
  <si>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</si>
  <si>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</si>
  <si>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</si>
  <si>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</si>
  <si>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</si>
  <si>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</si>
  <si>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</si>
  <si>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</si>
  <si>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</si>
  <si>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</si>
  <si>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</si>
  <si>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</si>
  <si>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</si>
  <si>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</si>
  <si>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</si>
  <si>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</si>
  <si>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</si>
  <si>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</si>
  <si>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</si>
  <si>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</si>
  <si>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</si>
  <si>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</si>
  <si>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</si>
  <si>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</si>
  <si>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</si>
  <si>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</si>
  <si>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</si>
  <si>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</si>
  <si>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</si>
  <si>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</si>
  <si>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</si>
  <si>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</si>
  <si>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</si>
  <si>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</si>
  <si>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</si>
  <si>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</si>
  <si>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</si>
  <si>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</si>
  <si>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</si>
  <si>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</si>
  <si>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</si>
  <si>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</si>
  <si>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</si>
  <si>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</si>
  <si>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</si>
  <si>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</si>
  <si>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</si>
  <si>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</si>
  <si>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</si>
  <si>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</si>
  <si>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</si>
  <si>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</si>
  <si>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</si>
  <si>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</si>
  <si>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</si>
  <si>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</si>
  <si>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</si>
  <si>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</si>
  <si>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</si>
  <si>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</si>
  <si>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</si>
  <si>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</si>
  <si>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</si>
  <si>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</si>
  <si>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</si>
  <si>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</si>
  <si>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</si>
  <si>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</si>
  <si>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</si>
  <si>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</si>
  <si>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</si>
  <si>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</si>
  <si>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</si>
  <si>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</si>
  <si>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</si>
  <si>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</si>
  <si>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</si>
  <si>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</si>
  <si>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</si>
  <si>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</si>
  <si>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</si>
  <si>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</si>
  <si>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</si>
  <si>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</si>
  <si>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</si>
  <si>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</si>
  <si>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</si>
  <si>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</si>
  <si>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</si>
  <si>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</si>
  <si>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</si>
  <si>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</si>
  <si>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</si>
  <si>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</si>
  <si>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</si>
  <si>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</si>
  <si>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</si>
  <si>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</si>
  <si>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</si>
  <si>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</si>
  <si>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</si>
  <si>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</si>
  <si>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</si>
  <si>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</si>
  <si>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</si>
  <si>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</si>
  <si>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</si>
  <si>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</si>
  <si>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</si>
  <si>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</si>
  <si>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</si>
  <si>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</si>
  <si>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</si>
  <si>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</si>
  <si>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</si>
  <si>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</si>
  <si>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</si>
  <si>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</si>
  <si>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</si>
  <si>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</si>
  <si>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</si>
  <si>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</si>
  <si>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</si>
  <si>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</si>
  <si>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</si>
  <si>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</si>
  <si>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</si>
  <si>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</si>
  <si>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</si>
  <si>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</si>
  <si>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</si>
  <si>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</si>
  <si>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</si>
  <si>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</si>
  <si>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</si>
  <si>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</si>
  <si>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</si>
  <si>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</si>
  <si>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</si>
  <si>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</si>
  <si>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</si>
  <si>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</si>
  <si>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</si>
  <si>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</si>
  <si>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</si>
  <si>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</si>
  <si>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</si>
  <si>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</si>
  <si>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</si>
  <si>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</si>
  <si>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</si>
  <si>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</si>
  <si>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</si>
  <si>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</si>
  <si>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</si>
  <si>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</si>
  <si>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</si>
  <si>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</si>
  <si>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</si>
  <si>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</si>
  <si>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</si>
  <si>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</si>
  <si>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</si>
  <si>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</si>
  <si>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</si>
  <si>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</si>
  <si>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</si>
  <si>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</si>
  <si>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</si>
  <si>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</si>
  <si>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</si>
  <si>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</si>
  <si>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</si>
  <si>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</si>
  <si>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</si>
  <si>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</si>
  <si>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</si>
  <si>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</si>
  <si>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</si>
  <si>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</si>
  <si>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</si>
  <si>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</si>
  <si>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</si>
  <si>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</si>
  <si>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</si>
  <si>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</si>
  <si>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</si>
  <si>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</si>
  <si>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</si>
  <si>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</si>
  <si>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</si>
  <si>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</si>
  <si>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</si>
  <si>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</si>
  <si>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</si>
  <si>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</si>
  <si>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</si>
  <si>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</si>
  <si>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</si>
  <si>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</si>
  <si>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</si>
  <si>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</si>
  <si>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</si>
  <si>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</si>
  <si>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</si>
  <si>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</si>
  <si>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</si>
  <si>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</si>
  <si>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</si>
  <si>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</si>
  <si>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</si>
  <si>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</si>
  <si>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</si>
  <si>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</si>
  <si>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</si>
  <si>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</si>
  <si>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</si>
  <si>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</si>
  <si>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</si>
  <si>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</si>
  <si>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</si>
  <si>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</si>
  <si>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</si>
  <si>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</si>
  <si>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</si>
  <si>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</si>
  <si>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</si>
  <si>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</si>
  <si>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</si>
  <si>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</si>
  <si>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</si>
  <si>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</si>
  <si>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</si>
  <si>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</si>
  <si>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</si>
  <si>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</si>
  <si>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</si>
  <si>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</si>
  <si>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</si>
  <si>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</si>
  <si>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</si>
  <si>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</si>
  <si>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</si>
  <si>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</si>
  <si>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</si>
  <si>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</si>
  <si>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</si>
  <si>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</si>
  <si>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</si>
  <si>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</si>
  <si>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</si>
  <si>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</si>
  <si>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</si>
  <si>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</si>
  <si>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</si>
  <si>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</si>
  <si>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</si>
  <si>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</si>
  <si>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</si>
  <si>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</si>
  <si>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</si>
  <si>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</si>
  <si>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</si>
  <si>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</si>
  <si>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</si>
  <si>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</si>
  <si>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</si>
  <si>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</si>
  <si>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</si>
  <si>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</si>
  <si>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</si>
  <si>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</si>
  <si>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</si>
  <si>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</si>
  <si>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</si>
  <si>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</si>
  <si>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</si>
  <si>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</si>
  <si>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</si>
  <si>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</si>
  <si>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</si>
  <si>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</si>
  <si>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</si>
  <si>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</si>
  <si>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</si>
  <si>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</si>
  <si>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</si>
  <si>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</si>
  <si>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</si>
  <si>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</si>
  <si>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</si>
  <si>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</si>
  <si>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</si>
  <si>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</si>
  <si>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</si>
  <si>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</si>
  <si>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</si>
  <si>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</si>
  <si>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</si>
  <si>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</si>
  <si>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</si>
  <si>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</si>
  <si>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</si>
  <si>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</si>
  <si>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</si>
  <si>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</si>
  <si>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</si>
  <si>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</si>
  <si>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</si>
  <si>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</si>
  <si>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</si>
  <si>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</si>
  <si>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</si>
  <si>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</si>
  <si>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</si>
  <si>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</si>
  <si>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</si>
  <si>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</si>
  <si>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</si>
  <si>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</si>
  <si>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</si>
  <si>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</si>
  <si>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</si>
  <si>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</si>
  <si>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</si>
  <si>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</si>
  <si>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</si>
  <si>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</si>
  <si>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</si>
  <si>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</si>
  <si>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</si>
  <si>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</si>
  <si>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</si>
  <si>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</si>
  <si>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</si>
  <si>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</si>
  <si>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</si>
  <si>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</si>
  <si>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</si>
  <si>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</si>
  <si>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</si>
  <si>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</si>
  <si>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</si>
  <si>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</si>
  <si>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</si>
  <si>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</si>
  <si>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</si>
  <si>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</si>
  <si>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</si>
  <si>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</si>
  <si>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</si>
  <si>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</si>
  <si>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</si>
  <si>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</si>
  <si>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</si>
  <si>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</si>
  <si>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</si>
  <si>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</si>
  <si>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</si>
  <si>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</si>
  <si>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</si>
  <si>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</si>
  <si>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</si>
  <si>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</si>
  <si>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</si>
  <si>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</si>
  <si>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</si>
  <si>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</si>
  <si>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</si>
  <si>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</si>
  <si>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</si>
  <si>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</si>
  <si>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</si>
  <si>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</si>
  <si>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</si>
  <si>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</si>
  <si>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</si>
  <si>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</si>
  <si>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</si>
  <si>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</si>
  <si>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</si>
  <si>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</si>
  <si>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</si>
  <si>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</si>
  <si>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</si>
  <si>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</si>
  <si>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</si>
  <si>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</si>
  <si>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</si>
  <si>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</si>
  <si>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</si>
  <si>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</si>
  <si>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</si>
  <si>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</si>
  <si>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</si>
  <si>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</si>
  <si>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</si>
  <si>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</si>
  <si>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</si>
  <si>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</si>
  <si>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</si>
  <si>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</si>
  <si>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</si>
  <si>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</si>
  <si>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</si>
  <si>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</si>
  <si>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</si>
  <si>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</si>
  <si>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</si>
  <si>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</si>
  <si>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</si>
  <si>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</si>
  <si>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</si>
  <si>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</si>
  <si>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</si>
  <si>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</si>
  <si>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</si>
  <si>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</si>
  <si>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</si>
  <si>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</si>
  <si>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</si>
  <si>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</si>
  <si>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</si>
  <si>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</si>
  <si>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</si>
  <si>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</si>
  <si>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</si>
  <si>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</si>
  <si>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</si>
  <si>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</si>
  <si>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</si>
  <si>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</si>
  <si>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</si>
  <si>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</si>
  <si>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</si>
  <si>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</si>
  <si>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</si>
  <si>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</si>
  <si>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</si>
  <si>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</si>
  <si>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</si>
  <si>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</si>
  <si>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</si>
  <si>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</si>
  <si>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</si>
  <si>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</si>
  <si>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</si>
  <si>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</si>
  <si>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</si>
  <si>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</si>
  <si>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</si>
  <si>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</si>
  <si>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</si>
  <si>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</si>
  <si>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</si>
  <si>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</si>
  <si>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</si>
  <si>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</si>
  <si>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</si>
  <si>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</si>
  <si>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</si>
  <si>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</si>
  <si>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</si>
  <si>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</si>
  <si>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</si>
  <si>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</si>
  <si>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</si>
  <si>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</si>
  <si>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</si>
  <si>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</si>
  <si>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</si>
  <si>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</si>
  <si>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</si>
  <si>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</si>
  <si>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</si>
  <si>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</si>
  <si>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</si>
  <si>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</si>
  <si>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</si>
  <si>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</si>
  <si>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</si>
  <si>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</si>
  <si>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</si>
  <si>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</si>
  <si>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</si>
  <si>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</si>
  <si>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</si>
  <si>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</si>
  <si>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</si>
  <si>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</si>
  <si>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</si>
  <si>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</si>
  <si>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</si>
  <si>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</si>
  <si>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</si>
  <si>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</si>
  <si>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</si>
  <si>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</si>
  <si>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</si>
  <si>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</si>
  <si>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</si>
  <si>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</si>
  <si>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</si>
  <si>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</si>
  <si>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</si>
  <si>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</si>
  <si>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</si>
  <si>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</si>
  <si>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</si>
  <si>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</si>
  <si>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</si>
  <si>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</si>
  <si>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</si>
  <si>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</si>
  <si>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</si>
  <si>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</si>
  <si>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</si>
  <si>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</si>
  <si>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</si>
  <si>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</si>
  <si>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</si>
  <si>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</si>
  <si>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</si>
  <si>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</si>
  <si>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</si>
  <si>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</si>
  <si>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</si>
  <si>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</si>
  <si>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</si>
  <si>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</si>
  <si>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</si>
  <si>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</si>
  <si>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</si>
  <si>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</si>
  <si>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</si>
  <si>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</si>
  <si>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</si>
  <si>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</si>
  <si>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</si>
  <si>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</si>
  <si>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</si>
  <si>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</si>
  <si>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</si>
  <si>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</si>
  <si>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</si>
  <si>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</si>
  <si>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</si>
  <si>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</si>
  <si>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</si>
  <si>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</si>
  <si>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</si>
  <si>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</si>
  <si>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</si>
  <si>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</si>
  <si>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</si>
  <si>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</si>
  <si>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</si>
  <si>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</si>
  <si>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</si>
  <si>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</si>
  <si>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</si>
  <si>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</si>
  <si>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</si>
  <si>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</si>
  <si>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</si>
  <si>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</si>
  <si>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</si>
  <si>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</si>
  <si>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</si>
  <si>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</si>
  <si>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</si>
  <si>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</si>
  <si>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</si>
  <si>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</si>
  <si>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</si>
  <si>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</si>
  <si>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</si>
  <si>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</si>
  <si>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</si>
  <si>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</si>
  <si>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</si>
  <si>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</si>
  <si>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</si>
  <si>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</si>
  <si>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</si>
  <si>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</si>
  <si>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</si>
  <si>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</si>
  <si>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</si>
  <si>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</si>
  <si>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</si>
  <si>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</si>
  <si>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</si>
  <si>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</si>
  <si>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</si>
  <si>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</si>
  <si>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</si>
  <si>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</si>
  <si>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</si>
  <si>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</si>
  <si>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</si>
  <si>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</si>
  <si>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</si>
  <si>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</si>
  <si>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</si>
  <si>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</si>
  <si>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</si>
  <si>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</si>
  <si>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</si>
  <si>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</si>
  <si>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</si>
  <si>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</si>
  <si>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</si>
  <si>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</si>
  <si>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</si>
  <si>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</si>
  <si>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</si>
  <si>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</si>
  <si>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</si>
  <si>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</si>
  <si>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</si>
  <si>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</si>
  <si>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</si>
  <si>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</si>
  <si>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</si>
  <si>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</si>
  <si>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</si>
  <si>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</si>
  <si>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</si>
  <si>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</si>
  <si>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</si>
  <si>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</si>
  <si>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</si>
  <si>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</si>
  <si>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</si>
  <si>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</si>
  <si>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</si>
  <si>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</si>
  <si>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</si>
  <si>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</si>
  <si>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</si>
  <si>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</si>
  <si>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</si>
  <si>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</si>
  <si>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</si>
  <si>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</si>
  <si>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</si>
  <si>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</si>
  <si>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</si>
  <si>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</si>
  <si>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</si>
  <si>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</si>
  <si>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</si>
  <si>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</si>
  <si>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</si>
  <si>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</si>
  <si>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</si>
  <si>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</si>
  <si>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</si>
  <si>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</si>
  <si>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</si>
  <si>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</si>
  <si>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</si>
  <si>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</si>
  <si>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</si>
  <si>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</si>
  <si>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</si>
  <si>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</si>
  <si>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</si>
  <si>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</si>
  <si>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</si>
  <si>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</si>
  <si>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</si>
  <si>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</si>
  <si>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</si>
  <si>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</si>
  <si>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</si>
  <si>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</si>
  <si>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</si>
  <si>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</si>
  <si>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</si>
  <si>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</si>
  <si>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</si>
  <si>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</si>
  <si>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</si>
  <si>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</si>
  <si>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</si>
  <si>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</si>
  <si>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</si>
  <si>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</si>
  <si>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</si>
  <si>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</si>
  <si>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</si>
  <si>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</si>
  <si>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</si>
  <si>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</si>
  <si>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</si>
  <si>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</si>
  <si>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</si>
  <si>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</si>
  <si>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</si>
  <si>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</si>
  <si>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</si>
  <si>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</si>
  <si>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</si>
  <si>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</si>
  <si>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</si>
  <si>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</si>
  <si>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</si>
  <si>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</si>
  <si>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</si>
  <si>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</si>
  <si>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</si>
  <si>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</si>
  <si>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</si>
  <si>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</si>
  <si>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</si>
  <si>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</si>
  <si>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</si>
  <si>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</si>
  <si>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</si>
  <si>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</si>
  <si>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</si>
  <si>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</si>
  <si>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</si>
  <si>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</si>
  <si>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</si>
  <si>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</si>
  <si>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</si>
  <si>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</si>
  <si>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</si>
  <si>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</si>
  <si>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</si>
  <si>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</si>
  <si>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</si>
  <si>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</si>
  <si>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</si>
  <si>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</si>
  <si>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</si>
  <si>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</si>
  <si>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</si>
  <si>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</si>
  <si>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</si>
  <si>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</si>
  <si>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</si>
  <si>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</si>
  <si>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</si>
  <si>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</si>
  <si>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</si>
  <si>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</si>
  <si>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</si>
  <si>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</si>
  <si>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</si>
  <si>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</si>
  <si>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</si>
  <si>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</si>
  <si>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</si>
  <si>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</si>
  <si>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</si>
  <si>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</si>
  <si>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</si>
  <si>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</si>
  <si>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</si>
  <si>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</si>
  <si>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</si>
  <si>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</si>
  <si>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</si>
  <si>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</si>
  <si>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</si>
  <si>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</si>
  <si>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</si>
  <si>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</si>
  <si>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</si>
  <si>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</si>
  <si>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</si>
  <si>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</si>
  <si>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</si>
  <si>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</si>
  <si>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</si>
  <si>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</si>
  <si>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</si>
  <si>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</si>
  <si>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</si>
  <si>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</si>
  <si>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</si>
  <si>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</si>
  <si>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</si>
  <si>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</si>
  <si>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</si>
  <si>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</si>
  <si>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</si>
  <si>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</si>
  <si>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</si>
  <si>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</si>
  <si>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</si>
  <si>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</si>
  <si>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</si>
  <si>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</si>
  <si>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</si>
  <si>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</si>
  <si>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</si>
  <si>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</si>
  <si>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</si>
  <si>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</si>
  <si>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</si>
  <si>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</si>
  <si>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</si>
  <si>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</si>
  <si>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</si>
  <si>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</si>
  <si>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</si>
  <si>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</si>
  <si>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</si>
  <si>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</si>
  <si>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</si>
  <si>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</si>
  <si>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</si>
  <si>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</si>
  <si>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</si>
  <si>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</si>
  <si>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</si>
  <si>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</si>
  <si>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</si>
  <si>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</si>
  <si>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</si>
  <si>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</si>
  <si>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</si>
  <si>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</si>
  <si>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</si>
  <si>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</si>
  <si>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</si>
  <si>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</si>
  <si>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</si>
  <si>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</si>
  <si>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</si>
  <si>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</si>
  <si>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</si>
  <si>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</si>
  <si>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</si>
  <si>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</si>
  <si>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</si>
  <si>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</si>
  <si>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</si>
  <si>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</si>
  <si>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</si>
  <si>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</si>
  <si>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</si>
  <si>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</si>
  <si>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</si>
  <si>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</si>
  <si>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</si>
  <si>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</si>
  <si>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</si>
  <si>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</si>
  <si>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</si>
  <si>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</si>
  <si>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</si>
  <si>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</si>
  <si>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</si>
  <si>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</si>
  <si>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</si>
  <si>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</si>
  <si>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</si>
  <si>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</si>
  <si>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</si>
  <si>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</si>
  <si>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</si>
  <si>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</si>
  <si>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</si>
  <si>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</si>
  <si>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</si>
  <si>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</si>
  <si>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</si>
  <si>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</si>
  <si>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</si>
  <si>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</si>
  <si>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</si>
  <si>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</si>
  <si>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</si>
  <si>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</si>
  <si>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</si>
  <si>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</si>
  <si>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</si>
  <si>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</si>
  <si>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</si>
  <si>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</si>
  <si>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</si>
  <si>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</si>
  <si>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</si>
  <si>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</si>
  <si>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</si>
  <si>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</si>
  <si>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</si>
  <si>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</si>
  <si>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</si>
  <si>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</si>
  <si>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</si>
  <si>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</si>
  <si>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</si>
  <si>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</si>
  <si>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</si>
  <si>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</si>
  <si>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</si>
  <si>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</si>
  <si>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</si>
  <si>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</si>
  <si>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</si>
  <si>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</si>
  <si>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</si>
  <si>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</si>
  <si>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</si>
  <si>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</si>
  <si>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</si>
  <si>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</si>
  <si>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</si>
  <si>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</si>
  <si>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</si>
  <si>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</si>
  <si>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</si>
  <si>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</si>
  <si>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</si>
  <si>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</si>
  <si>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</si>
  <si>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</si>
  <si>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</si>
  <si>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</si>
  <si>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</si>
  <si>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</si>
  <si>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</si>
  <si>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</si>
  <si>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</si>
  <si>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</si>
  <si>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</si>
  <si>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</si>
  <si>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</si>
  <si>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</si>
  <si>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</si>
  <si>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</si>
  <si>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</si>
  <si>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</si>
  <si>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</si>
  <si>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</si>
  <si>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</si>
  <si>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</si>
  <si>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</si>
  <si>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</si>
  <si>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</si>
  <si>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</si>
  <si>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</si>
  <si>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</si>
  <si>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</si>
  <si>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</si>
  <si>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</si>
  <si>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</si>
  <si>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</si>
  <si>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</si>
  <si>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</si>
  <si>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</si>
  <si>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</si>
  <si>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</si>
  <si>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</si>
  <si>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</si>
  <si>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</si>
  <si>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</si>
  <si>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</si>
  <si>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</si>
  <si>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</si>
  <si>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</si>
  <si>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</si>
  <si>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</si>
  <si>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</si>
  <si>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</si>
  <si>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</si>
  <si>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</si>
  <si>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</si>
  <si>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</si>
  <si>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</si>
  <si>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</si>
  <si>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</si>
  <si>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</si>
  <si>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</si>
  <si>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</si>
  <si>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</si>
  <si>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</si>
  <si>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</si>
  <si>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</si>
  <si>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</si>
  <si>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</si>
  <si>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</si>
  <si>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</si>
  <si>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</si>
  <si>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</si>
  <si>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</si>
  <si>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</si>
  <si>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</si>
  <si>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</si>
  <si>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</si>
  <si>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</si>
  <si>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</si>
  <si>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</si>
  <si>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</si>
  <si>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</si>
  <si>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</si>
  <si>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</si>
  <si>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</si>
  <si>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</si>
  <si>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</si>
  <si>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</si>
  <si>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</si>
  <si>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</si>
  <si>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</si>
  <si>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</si>
  <si>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</si>
  <si>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</si>
  <si>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</si>
  <si>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</si>
  <si>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</si>
  <si>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</si>
  <si>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</si>
  <si>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</si>
  <si>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</si>
  <si>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</si>
  <si>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</si>
  <si>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</si>
  <si>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</si>
  <si>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</si>
  <si>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</si>
  <si>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</si>
  <si>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</si>
  <si>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</si>
  <si>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</si>
  <si>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</si>
  <si>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</si>
  <si>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</si>
  <si>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</si>
  <si>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</si>
  <si>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</si>
  <si>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</si>
  <si>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</si>
  <si>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</si>
  <si>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</si>
  <si>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</si>
  <si>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</si>
  <si>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</si>
  <si>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</si>
  <si>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</si>
  <si>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</si>
  <si>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</si>
  <si>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</si>
  <si>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</si>
  <si>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</si>
  <si>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</si>
  <si>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</si>
  <si>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</si>
  <si>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</si>
  <si>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</si>
  <si>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</si>
  <si>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</si>
  <si>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</si>
  <si>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</si>
  <si>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</si>
  <si>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</si>
  <si>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</si>
  <si>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</si>
  <si>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</si>
  <si>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</si>
  <si>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</si>
  <si>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</si>
  <si>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</si>
  <si>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</si>
  <si>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</si>
  <si>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</si>
  <si>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</si>
  <si>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</si>
  <si>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</si>
  <si>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</si>
  <si>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</si>
  <si>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</si>
  <si>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</si>
  <si>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</si>
  <si>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</si>
  <si>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</si>
  <si>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</si>
  <si>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</si>
  <si>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</si>
  <si>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</si>
  <si>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</si>
  <si>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</si>
  <si>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</si>
  <si>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</si>
  <si>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</si>
  <si>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</si>
  <si>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</si>
  <si>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</si>
  <si>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</si>
  <si>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</si>
  <si>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</si>
  <si>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</si>
  <si>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</si>
  <si>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</si>
  <si>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</si>
  <si>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</si>
  <si>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</si>
  <si>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</si>
  <si>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</si>
  <si>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</si>
  <si>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</si>
  <si>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</si>
  <si>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</si>
  <si>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</si>
  <si>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</si>
  <si>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</si>
  <si>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</si>
  <si>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</si>
  <si>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</si>
  <si>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</si>
  <si>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</si>
  <si>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</si>
  <si>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</si>
  <si>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</si>
  <si>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</si>
  <si>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</si>
  <si>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</si>
  <si>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</si>
  <si>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</si>
  <si>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</si>
  <si>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</si>
  <si>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</si>
  <si>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</si>
  <si>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</si>
  <si>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</si>
  <si>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</si>
  <si>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</si>
  <si>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</si>
  <si>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</si>
  <si>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</si>
  <si>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</si>
  <si>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</si>
  <si>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</si>
  <si>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</si>
  <si>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</si>
  <si>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</si>
  <si>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</si>
  <si>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</si>
  <si>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</si>
  <si>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</si>
  <si>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</si>
  <si>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</si>
  <si>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</si>
  <si>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</si>
  <si>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</si>
  <si>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</si>
  <si>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</si>
  <si>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</si>
  <si>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</si>
  <si>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</si>
  <si>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</si>
  <si>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</si>
  <si>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</si>
  <si>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</si>
  <si>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</si>
  <si>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</si>
  <si>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</si>
  <si>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</si>
  <si>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</si>
  <si>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</si>
  <si>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</si>
  <si>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</si>
  <si>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</si>
  <si>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</si>
  <si>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</si>
  <si>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</si>
  <si>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</si>
  <si>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</si>
  <si>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</si>
  <si>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</si>
  <si>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</si>
  <si>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</si>
  <si>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</si>
  <si>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</si>
  <si>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</si>
  <si>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</si>
  <si>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</si>
  <si>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</si>
  <si>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</si>
  <si>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</si>
  <si>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</si>
  <si>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</si>
  <si>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</si>
  <si>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</si>
  <si>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</si>
  <si>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</si>
  <si>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</si>
  <si>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</si>
  <si>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</si>
  <si>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</si>
  <si>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</si>
  <si>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</si>
  <si>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</si>
  <si>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</si>
  <si>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</si>
  <si>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</si>
  <si>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</si>
  <si>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</si>
  <si>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</si>
  <si>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</si>
  <si>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</si>
  <si>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</si>
  <si>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</si>
  <si>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</si>
  <si>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</si>
  <si>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</si>
  <si>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</si>
  <si>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</si>
  <si>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</si>
  <si>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</si>
  <si>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</si>
  <si>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</si>
  <si>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Vinícius Jr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</si>
</sst>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4">
  <rv s="0">
    <v>0</v>
    <v>8</v>
    <v>1</v>
    <v>1</v>
  </rv>
  <rv s="0">
    <v>0</v>
    <v>8</v>
    <v>2</v>
    <v>1</v>
  </rv>
  <rv s="1">
    <v>26</v>
    <v>5</v>
  </rv>
  <rv s="1">
    <v>48</v>
    <v>6</v>
  </rv>
  <rv s="1">
    <v>49</v>
    <v>5</v>
  </rv>
  <rv s="1">
    <v>50</v>
    <v>5</v>
  </rv>
  <rv s="1">
    <v>16</v>
    <v>5</v>
  </rv>
  <rv s="1">
    <v>30</v>
    <v>5</v>
  </rv>
  <rv s="1">
    <v>37</v>
    <v>5</v>
  </rv>
  <rv s="1">
    <v>36</v>
    <v>5</v>
  </rv>
  <rv s="1">
    <v>14</v>
    <v>5</v>
  </rv>
  <rv s="1">
    <v>38</v>
    <v>5</v>
  </rv>
  <rv s="1">
    <v>24</v>
    <v>5</v>
  </rv>
  <rv s="1">
    <v>8</v>
    <v>5</v>
  </rv>
  <rv s="1">
    <v>29</v>
    <v>5</v>
  </rv>
  <rv s="1">
    <v>4</v>
    <v>5</v>
  </rv>
  <rv s="1">
    <v>6</v>
    <v>5</v>
  </rv>
  <rv s="1">
    <v>43</v>
    <v>5</v>
  </rv>
  <rv s="1">
    <v>2</v>
    <v>5</v>
  </rv>
  <rv s="1">
    <v>18</v>
    <v>5</v>
  </rv>
  <rv s="1">
    <v>45</v>
    <v>5</v>
  </rv>
  <rv s="1">
    <v>17</v>
    <v>5</v>
  </rv>
  <rv s="1">
    <v>19</v>
    <v>5</v>
  </rv>
  <rv s="1">
    <v>25</v>
    <v>5</v>
  </rv>
  <rv s="1">
    <v>11</v>
    <v>5</v>
  </rv>
  <rv s="1">
    <v>28</v>
    <v>5</v>
  </rv>
  <rv s="1">
    <v>12</v>
    <v>5</v>
  </rv>
  <rv s="1">
    <v>32</v>
    <v>5</v>
  </rv>
  <rv s="1">
    <v>46</v>
    <v>5</v>
  </rv>
  <rv s="1">
    <v>10</v>
    <v>5</v>
  </rv>
  <rv s="1">
    <v>44</v>
    <v>5</v>
  </rv>
  <rv s="1">
    <v>26</v>
    <v>4</v>
  </rv>
  <rv s="1">
    <v>21</v>
    <v>5</v>
  </rv>
  <rv s="1">
    <v>39</v>
    <v>5</v>
  </rv>
  <rv s="1">
    <v>9</v>
    <v>5</v>
  </rv>
  <rv s="1">
    <v>0</v>
    <v>5</v>
  </rv>
  <rv s="1">
    <v>35</v>
    <v>5</v>
  </rv>
  <rv s="1">
    <v>27</v>
    <v>5</v>
  </rv>
  <rv s="1">
    <v>20</v>
    <v>5</v>
  </rv>
  <rv s="1">
    <v>47</v>
    <v>5</v>
  </rv>
  <rv s="1">
    <v>13</v>
    <v>5</v>
  </rv>
  <rv s="1">
    <v>40</v>
    <v>5</v>
  </rv>
  <rv s="1">
    <v>33</v>
    <v>5</v>
  </rv>
  <rv s="1">
    <v>1</v>
    <v>5</v>
  </rv>
  <rv s="1">
    <v>7</v>
    <v>5</v>
  </rv>
  <rv s="1">
    <v>23</v>
    <v>5</v>
  </rv>
  <rv s="1">
    <v>31</v>
    <v>5</v>
  </rv>
  <rv s="1">
    <v>42</v>
    <v>5</v>
  </rv>
  <rv s="2">
    <v>41</v>
    <v>5</v>
    <v>Bandera de República Democrática del Congo</v>
  </rv>
  <rv s="2">
    <v>34</v>
    <v>5</v>
    <v>Bandera de Irak</v>
  </rv>
  <rv s="1">
    <v>5</v>
    <v>5</v>
  </rv>
  <rv s="1">
    <v>22</v>
    <v>5</v>
  </rv>
  <rv s="1">
    <v>15</v>
    <v>5</v>
  </rv>
  <rv s="1">
    <v>3</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6" dataDxfId="5">
  <sortState xmlns:xlrd2="http://schemas.microsoft.com/office/spreadsheetml/2017/richdata2" ref="A2:D13">
    <sortCondition ref="D2:D13"/>
  </sortState>
  <tableColumns count="4">
    <tableColumn id="1" xr3:uid="{00000000-0010-0000-0000-000001000000}" name="Num" dataDxfId="4">
      <calculatedColumnFormula>NOT(ISERROR(VLOOKUP(Equipos!$B2,#REF!,1,FALSE)))</calculatedColumnFormula>
    </tableColumn>
    <tableColumn id="2" xr3:uid="{00000000-0010-0000-0000-000002000000}" name="NombreEquipo" dataDxfId="3">
      <calculatedColumnFormula>+INDEX(Idiomas!$D$202:$D$249,MATCH(T_Equipos[[#This Row],[Num]],Idiomas!$C$202:$C$249,0))</calculatedColumnFormula>
    </tableColumn>
    <tableColumn id="4" xr3:uid="{00000000-0010-0000-0000-000004000000}" name="Grupo" dataDxfId="2"/>
    <tableColumn id="3" xr3:uid="{00000000-0010-0000-00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14" t="str">
        <f>Idiomas!D8</f>
        <v>XXIII Mundial USA/MEX/CAN 2026</v>
      </c>
      <c r="C3" s="614"/>
      <c r="D3" s="614"/>
      <c r="E3" s="614"/>
      <c r="F3" s="614"/>
      <c r="G3" s="614"/>
      <c r="H3" s="614"/>
      <c r="I3" s="614"/>
      <c r="J3" s="614"/>
      <c r="K3" s="614"/>
      <c r="L3" s="614"/>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12" t="str">
        <f>HYPERLINK(Idiomas!D10,Idiomas!D5)</f>
        <v>Si quieres organizar una porra (quiniela) con tu grupo puedes descargar el archivo de adminsitrador desde el enlace de abajo</v>
      </c>
      <c r="F16" s="613"/>
      <c r="G16" s="613"/>
      <c r="H16" s="613"/>
      <c r="I16" s="613"/>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09" t="str">
        <f>HYPERLINK(Idiomas!D10,Idiomas!D9)</f>
        <v>▼ Descargar Excel Administrador Porra ▼</v>
      </c>
      <c r="F17" s="610"/>
      <c r="G17" s="610"/>
      <c r="H17" s="610"/>
      <c r="I17" s="611"/>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15"/>
      <c r="C24" s="616"/>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33" zoomScale="73" zoomScaleNormal="100" workbookViewId="0">
      <selection activeCell="AJ151" sqref="AJ151:AU154"/>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9" t="str">
        <f>Idiomas!D8</f>
        <v>XXIII Mundial USA/MEX/CAN 2026</v>
      </c>
      <c r="X1" s="649"/>
      <c r="Y1" s="649"/>
      <c r="Z1" s="649"/>
      <c r="AA1" s="649"/>
      <c r="AB1" s="649"/>
      <c r="AC1" s="649"/>
      <c r="AD1" s="649"/>
      <c r="AE1" s="649"/>
      <c r="AF1" s="649"/>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45" t="s">
        <v>0</v>
      </c>
      <c r="X4" s="24">
        <f ca="1">Horarios!C4</f>
        <v>46184.875</v>
      </c>
      <c r="Y4" s="25">
        <f ca="1">Horarios!C4</f>
        <v>46184.875</v>
      </c>
      <c r="Z4" s="26" t="str">
        <f>Idiomas!D61</f>
        <v>J1</v>
      </c>
      <c r="AA4" s="27" t="str">
        <f ca="1">+A5</f>
        <v>México</v>
      </c>
      <c r="AB4" s="49" t="str" cm="1">
        <f t="array" aca="1" ref="AB4" ca="1">Ver_flag_local</f>
        <v/>
      </c>
      <c r="AC4" s="50">
        <v>2</v>
      </c>
      <c r="AD4" s="51">
        <v>1</v>
      </c>
      <c r="AE4" s="571" t="str" cm="1">
        <f t="array" aca="1" ref="AE4" ca="1">Ver_flag_visit</f>
        <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0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45"/>
      <c r="X5" s="24">
        <f ca="1">Horarios!C5</f>
        <v>46185.166666666664</v>
      </c>
      <c r="Y5" s="25">
        <f ca="1">Horarios!C5</f>
        <v>46185.166666666664</v>
      </c>
      <c r="Z5" s="26" t="str">
        <f>$Z$4</f>
        <v>J1</v>
      </c>
      <c r="AA5" s="27" t="str">
        <f ca="1">A7</f>
        <v>Corea del Sur</v>
      </c>
      <c r="AB5" s="49" t="str" cm="1">
        <f t="array" aca="1" ref="AB5" ca="1">Ver_flag_local</f>
        <v/>
      </c>
      <c r="AC5" s="50">
        <v>1</v>
      </c>
      <c r="AD5" s="51">
        <v>1</v>
      </c>
      <c r="AE5" s="571" t="str" cm="1">
        <f t="array" aca="1" ref="AE5" ca="1">Ver_flag_visit</f>
        <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Visitante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45"/>
      <c r="X6" s="24">
        <f ca="1">Horarios!C6</f>
        <v>46191.75</v>
      </c>
      <c r="Y6" s="25">
        <f ca="1">Horarios!C6</f>
        <v>46191.75</v>
      </c>
      <c r="Z6" s="26" t="str">
        <f>Idiomas!D62</f>
        <v>J2</v>
      </c>
      <c r="AA6" s="27" t="str">
        <f ca="1">A8</f>
        <v>República Checa</v>
      </c>
      <c r="AB6" s="49" t="str" cm="1">
        <f t="array" aca="1" ref="AB6" ca="1">Ver_flag_local</f>
        <v/>
      </c>
      <c r="AC6" s="50">
        <v>1</v>
      </c>
      <c r="AD6" s="51">
        <v>2</v>
      </c>
      <c r="AE6" s="571" t="str" cm="1">
        <f t="array" aca="1" ref="AE6" ca="1">Ver_flag_visit</f>
        <v/>
      </c>
      <c r="AF6" s="32" t="str">
        <f ca="1">A6</f>
        <v>Sudáfrica</v>
      </c>
      <c r="AG6" s="306">
        <f t="shared" si="13"/>
        <v>1</v>
      </c>
      <c r="AH6" s="185">
        <v>25</v>
      </c>
      <c r="AI6" s="171" t="str">
        <f>AJ6&amp;$B$4</f>
        <v>1A</v>
      </c>
      <c r="AJ6" s="40">
        <v>1</v>
      </c>
      <c r="AK6" s="573" t="str" cm="1">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2</v>
      </c>
      <c r="AT6" s="41">
        <f t="shared" ca="1" si="15"/>
        <v>4</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2</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45"/>
      <c r="X7" s="24">
        <f ca="1">Horarios!C7</f>
        <v>46192.125</v>
      </c>
      <c r="Y7" s="25">
        <f ca="1">Horarios!C7</f>
        <v>46192.125</v>
      </c>
      <c r="Z7" s="26" t="str">
        <f>$Z$6</f>
        <v>J2</v>
      </c>
      <c r="AA7" s="27" t="str">
        <f ca="1">A5</f>
        <v>México</v>
      </c>
      <c r="AB7" s="49" t="str" cm="1">
        <f t="array" aca="1" ref="AB7" ca="1">Ver_flag_local</f>
        <v/>
      </c>
      <c r="AC7" s="50">
        <v>2</v>
      </c>
      <c r="AD7" s="51">
        <v>0</v>
      </c>
      <c r="AE7" s="571" t="str" cm="1">
        <f t="array" aca="1" ref="AE7" ca="1">Ver_flag_visit</f>
        <v/>
      </c>
      <c r="AF7" s="32" t="str">
        <f ca="1">A7</f>
        <v>Corea del Sur</v>
      </c>
      <c r="AG7" s="306">
        <f t="shared" si="13"/>
        <v>1</v>
      </c>
      <c r="AH7" s="185">
        <v>28</v>
      </c>
      <c r="AI7" s="171" t="str">
        <f>AJ7&amp;$B$4</f>
        <v>2A</v>
      </c>
      <c r="AJ7" s="42">
        <v>2</v>
      </c>
      <c r="AK7" s="574" t="str" cm="1">
        <f t="array" aca="1" ref="AK7" ca="1">Ver_flag_visit</f>
        <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3</v>
      </c>
      <c r="AS7" s="39">
        <f t="shared" ca="1" si="15"/>
        <v>4</v>
      </c>
      <c r="AT7" s="43">
        <f t="shared" ca="1" si="15"/>
        <v>-1</v>
      </c>
      <c r="AU7" s="313">
        <f ca="1">INDEX($DL$6:$DL$53,MATCH(AI7,$DP$6:$DP$53,0))</f>
        <v>1</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3</v>
      </c>
      <c r="BF7" s="16">
        <f t="shared" ref="BF7:BF53" ca="1" si="41">+BG7+BH7+BI7</f>
        <v>3</v>
      </c>
      <c r="BG7" s="16">
        <f t="shared" ca="1" si="17"/>
        <v>1</v>
      </c>
      <c r="BH7" s="16">
        <f t="shared" ca="1" si="18"/>
        <v>0</v>
      </c>
      <c r="BI7" s="16">
        <f t="shared" ca="1" si="19"/>
        <v>2</v>
      </c>
      <c r="BJ7" s="16">
        <f t="shared" ca="1" si="20"/>
        <v>4</v>
      </c>
      <c r="BK7" s="16">
        <f t="shared" ca="1" si="21"/>
        <v>5</v>
      </c>
      <c r="BL7" s="16">
        <f t="shared" ref="BL7:BL53" ca="1" si="42">+BJ7-BK7</f>
        <v>-1</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3</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45"/>
      <c r="X8" s="24">
        <f ca="1">Horarios!C8</f>
        <v>46198.125</v>
      </c>
      <c r="Y8" s="25">
        <f ca="1">Horarios!C8</f>
        <v>46198.125</v>
      </c>
      <c r="Z8" s="26" t="str">
        <f>Idiomas!D63</f>
        <v>J3</v>
      </c>
      <c r="AA8" s="27" t="str">
        <f ca="1">A8</f>
        <v>República Checa</v>
      </c>
      <c r="AB8" s="49" t="str" cm="1">
        <f t="array" aca="1" ref="AB8" ca="1">Ver_flag_local</f>
        <v/>
      </c>
      <c r="AC8" s="50">
        <v>1</v>
      </c>
      <c r="AD8" s="51">
        <v>2</v>
      </c>
      <c r="AE8" s="571" t="str" cm="1">
        <f t="array" aca="1" ref="AE8" ca="1">Ver_flag_visit</f>
        <v/>
      </c>
      <c r="AF8" s="32" t="str">
        <f ca="1">A5</f>
        <v>México</v>
      </c>
      <c r="AG8" s="306">
        <f t="shared" si="13"/>
        <v>1</v>
      </c>
      <c r="AH8" s="185">
        <v>53</v>
      </c>
      <c r="AI8" s="171" t="str">
        <f>AJ8&amp;$B$4</f>
        <v>3A</v>
      </c>
      <c r="AJ8" s="42">
        <v>3</v>
      </c>
      <c r="AK8" s="574" t="str" cm="1">
        <f t="array" aca="1" ref="AK8" ca="1">Ver_flag_visit</f>
        <v/>
      </c>
      <c r="AL8" s="37" t="str">
        <f ca="1">IFERROR(INDEX($BD$6:$BD$53,MATCH(AI8,$BN$6:$BN$53,0)),"")</f>
        <v>Sudáfrica</v>
      </c>
      <c r="AM8" s="38">
        <f t="shared" ca="1" si="15"/>
        <v>3</v>
      </c>
      <c r="AN8" s="39">
        <f t="shared" ca="1" si="15"/>
        <v>3</v>
      </c>
      <c r="AO8" s="39">
        <f t="shared" ca="1" si="15"/>
        <v>1</v>
      </c>
      <c r="AP8" s="39">
        <f t="shared" ca="1" si="15"/>
        <v>0</v>
      </c>
      <c r="AQ8" s="39">
        <f t="shared" ca="1" si="15"/>
        <v>2</v>
      </c>
      <c r="AR8" s="39">
        <f t="shared" ca="1" si="15"/>
        <v>4</v>
      </c>
      <c r="AS8" s="39">
        <f t="shared" ca="1" si="15"/>
        <v>5</v>
      </c>
      <c r="AT8" s="43">
        <f t="shared" ca="1" si="15"/>
        <v>-1</v>
      </c>
      <c r="AU8" s="313">
        <f ca="1">INDEX($DL$6:$DL$53,MATCH(AI8,$DP$6:$DP$53,0))</f>
        <v>1</v>
      </c>
      <c r="AV8" s="172" t="str">
        <f ca="1">INDEX($BD$6:$BD$53,MATCH(AI8,$BM$6:$BM$53,0))</f>
        <v>Sudáfrica</v>
      </c>
      <c r="AW8" s="200"/>
      <c r="AX8" s="161"/>
      <c r="AY8" s="191" t="str">
        <f ca="1">+A7</f>
        <v>Corea del Sur</v>
      </c>
      <c r="AZ8" s="192"/>
      <c r="BA8" s="16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3</v>
      </c>
      <c r="BK8" s="16">
        <f t="shared" ca="1" si="21"/>
        <v>4</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Sudáfrica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46"/>
      <c r="X9" s="28">
        <f ca="1">Horarios!C9</f>
        <v>46198.125</v>
      </c>
      <c r="Y9" s="29">
        <f ca="1">Horarios!C9</f>
        <v>46198.125</v>
      </c>
      <c r="Z9" s="30" t="str">
        <f>$Z$8</f>
        <v>J3</v>
      </c>
      <c r="AA9" s="31" t="str">
        <f ca="1">A6</f>
        <v>Sudáfrica</v>
      </c>
      <c r="AB9" s="52" t="str" cm="1">
        <f t="array" aca="1" ref="AB9" ca="1">Ver_flag_local</f>
        <v/>
      </c>
      <c r="AC9" s="50">
        <v>1</v>
      </c>
      <c r="AD9" s="51">
        <v>2</v>
      </c>
      <c r="AE9" s="572" t="str" cm="1">
        <f t="array" aca="1" ref="AE9" ca="1">Ver_flag_visit</f>
        <v/>
      </c>
      <c r="AF9" s="33" t="str">
        <f ca="1">A7</f>
        <v>Corea del Sur</v>
      </c>
      <c r="AG9" s="306">
        <f t="shared" si="13"/>
        <v>1</v>
      </c>
      <c r="AH9" s="185">
        <v>54</v>
      </c>
      <c r="AI9" s="171" t="str">
        <f>AJ9&amp;$B$4</f>
        <v>4A</v>
      </c>
      <c r="AJ9" s="44">
        <v>4</v>
      </c>
      <c r="AK9" s="575" t="str" cm="1">
        <f t="array" aca="1" ref="AK9" ca="1">Ver_flag_visit</f>
        <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3</v>
      </c>
      <c r="AS9" s="47">
        <f t="shared" ca="1" si="15"/>
        <v>5</v>
      </c>
      <c r="AT9" s="48">
        <f t="shared" ca="1" si="15"/>
        <v>-2</v>
      </c>
      <c r="AU9" s="313">
        <f ca="1">INDEX($DL$6:$DL$53,MATCH(AI9,$DP$6:$DP$53,0))</f>
        <v>1</v>
      </c>
      <c r="AV9" s="172" t="str">
        <f ca="1">INDEX($BD$6:$BD$53,MATCH(AI9,$BM$6:$BM$53,0))</f>
        <v>República Checa</v>
      </c>
      <c r="AW9" s="200"/>
      <c r="AX9" s="161"/>
      <c r="AY9" s="195" t="str">
        <f ca="1">+A8</f>
        <v>República Checa</v>
      </c>
      <c r="AZ9" s="196"/>
      <c r="BA9" s="16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3</v>
      </c>
      <c r="BK9" s="16">
        <f t="shared" ca="1" si="21"/>
        <v>5</v>
      </c>
      <c r="BL9" s="16">
        <f t="shared" ca="1" si="42"/>
        <v>-2</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República Checa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5</v>
      </c>
      <c r="BF10" s="16">
        <f t="shared" ca="1" si="41"/>
        <v>3</v>
      </c>
      <c r="BG10" s="16">
        <f t="shared" ca="1" si="17"/>
        <v>1</v>
      </c>
      <c r="BH10" s="16">
        <f t="shared" ca="1" si="18"/>
        <v>2</v>
      </c>
      <c r="BI10" s="16">
        <f t="shared" ca="1" si="19"/>
        <v>0</v>
      </c>
      <c r="BJ10" s="16">
        <f t="shared" ca="1" si="20"/>
        <v>5</v>
      </c>
      <c r="BK10" s="16">
        <f t="shared" ca="1" si="21"/>
        <v>2</v>
      </c>
      <c r="BL10" s="16">
        <f t="shared" ca="1" si="42"/>
        <v>3</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4</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47" t="s">
        <v>1</v>
      </c>
      <c r="X12" s="24">
        <f ca="1">Horarios!C12</f>
        <v>46185.875</v>
      </c>
      <c r="Y12" s="25">
        <f ca="1">Horarios!C12</f>
        <v>46185.875</v>
      </c>
      <c r="Z12" s="26" t="str">
        <f>$Z$4</f>
        <v>J1</v>
      </c>
      <c r="AA12" s="27" t="str">
        <f ca="1">A13</f>
        <v>Canadá</v>
      </c>
      <c r="AB12" s="49" t="str" cm="1">
        <f t="array" aca="1" ref="AB12" ca="1">Ver_flag_local</f>
        <v/>
      </c>
      <c r="AC12" s="50">
        <v>1</v>
      </c>
      <c r="AD12" s="51">
        <v>1</v>
      </c>
      <c r="AE12" s="571" t="str" cm="1">
        <f t="array" aca="1" ref="AE12" ca="1">Ver_flag_visit</f>
        <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7</v>
      </c>
      <c r="BL12" s="16">
        <f t="shared" ca="1" si="42"/>
        <v>-7</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47"/>
      <c r="X13" s="24">
        <f ca="1">Horarios!C13</f>
        <v>46186.875</v>
      </c>
      <c r="Y13" s="25">
        <f ca="1">Horarios!C13</f>
        <v>46186.875</v>
      </c>
      <c r="Z13" s="26" t="str">
        <f>$Z$4</f>
        <v>J1</v>
      </c>
      <c r="AA13" s="27" t="str">
        <f ca="1">A15</f>
        <v>Catar</v>
      </c>
      <c r="AB13" s="49" t="str" cm="1">
        <f t="array" aca="1" ref="AB13" ca="1">Ver_flag_local</f>
        <v/>
      </c>
      <c r="AC13" s="50">
        <v>0</v>
      </c>
      <c r="AD13" s="51">
        <v>2</v>
      </c>
      <c r="AE13" s="571" t="str" cm="1">
        <f t="array" aca="1" ref="AE13" ca="1">Ver_flag_visit</f>
        <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5</v>
      </c>
      <c r="BK13" s="16">
        <f t="shared" ca="1" si="21"/>
        <v>2</v>
      </c>
      <c r="BL13" s="16">
        <f t="shared" ca="1" si="42"/>
        <v>3</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47"/>
      <c r="X14" s="24">
        <f ca="1">Horarios!C14</f>
        <v>46191.875</v>
      </c>
      <c r="Y14" s="25">
        <f ca="1">Horarios!C14</f>
        <v>46191.875</v>
      </c>
      <c r="Z14" s="26" t="str">
        <f>$Z$6</f>
        <v>J2</v>
      </c>
      <c r="AA14" s="27" t="str">
        <f ca="1">A16</f>
        <v>Suiza</v>
      </c>
      <c r="AB14" s="49" t="str" cm="1">
        <f t="array" aca="1" ref="AB14" ca="1">Ver_flag_local</f>
        <v/>
      </c>
      <c r="AC14" s="50">
        <v>2</v>
      </c>
      <c r="AD14" s="51">
        <v>1</v>
      </c>
      <c r="AE14" s="571" t="str" cm="1">
        <f t="array" aca="1" ref="AE14" ca="1">Ver_flag_visit</f>
        <v/>
      </c>
      <c r="AF14" s="32" t="str">
        <f ca="1">A14</f>
        <v>Bosnia y Herzegovina</v>
      </c>
      <c r="AG14" s="306">
        <f t="shared" si="66"/>
        <v>1</v>
      </c>
      <c r="AH14" s="185">
        <v>26</v>
      </c>
      <c r="AI14" s="171" t="str">
        <f>AJ14&amp;$B$12</f>
        <v>1B</v>
      </c>
      <c r="AJ14" s="69">
        <v>1</v>
      </c>
      <c r="AK14" s="577"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2</v>
      </c>
      <c r="AT14" s="70">
        <f t="shared" ca="1" si="69"/>
        <v>3</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8</v>
      </c>
      <c r="BK14" s="16">
        <f t="shared" ca="1" si="21"/>
        <v>0</v>
      </c>
      <c r="BL14" s="16">
        <f t="shared" ca="1" si="42"/>
        <v>8</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47"/>
      <c r="X15" s="24">
        <f ca="1">Horarios!C15</f>
        <v>46192</v>
      </c>
      <c r="Y15" s="25">
        <f ca="1">Horarios!C15</f>
        <v>46192</v>
      </c>
      <c r="Z15" s="26" t="str">
        <f>$Z$6</f>
        <v>J2</v>
      </c>
      <c r="AA15" s="27" t="str">
        <f ca="1">A13</f>
        <v>Canadá</v>
      </c>
      <c r="AB15" s="49" t="str" cm="1">
        <f t="array" aca="1" ref="AB15" ca="1">Ver_flag_local</f>
        <v/>
      </c>
      <c r="AC15" s="50">
        <v>3</v>
      </c>
      <c r="AD15" s="51">
        <v>0</v>
      </c>
      <c r="AE15" s="571" t="str" cm="1">
        <f t="array" aca="1" ref="AE15" ca="1">Ver_flag_visit</f>
        <v/>
      </c>
      <c r="AF15" s="32" t="str">
        <f ca="1">A15</f>
        <v>Catar</v>
      </c>
      <c r="AG15" s="306">
        <f t="shared" si="66"/>
        <v>1</v>
      </c>
      <c r="AH15" s="185">
        <v>27</v>
      </c>
      <c r="AI15" s="171" t="str">
        <f t="shared" ref="AI15:AI17" si="70">AJ15&amp;$B$12</f>
        <v>2B</v>
      </c>
      <c r="AJ15" s="71">
        <v>2</v>
      </c>
      <c r="AK15" s="578" t="str" cm="1">
        <f t="array" aca="1" ref="AK15" ca="1">Ver_flag_visit</f>
        <v/>
      </c>
      <c r="AL15" s="37" t="str">
        <f ca="1">IFERROR(INDEX($BD$6:$BD$53,MATCH(AI15,$BN$6:$BN$53,0)),"")</f>
        <v>Canadá</v>
      </c>
      <c r="AM15" s="38">
        <f t="shared" ca="1" si="69"/>
        <v>5</v>
      </c>
      <c r="AN15" s="39">
        <f t="shared" ca="1" si="69"/>
        <v>3</v>
      </c>
      <c r="AO15" s="39">
        <f t="shared" ca="1" si="69"/>
        <v>1</v>
      </c>
      <c r="AP15" s="39">
        <f t="shared" ca="1" si="69"/>
        <v>2</v>
      </c>
      <c r="AQ15" s="39">
        <f t="shared" ca="1" si="69"/>
        <v>0</v>
      </c>
      <c r="AR15" s="39">
        <f t="shared" ca="1" si="69"/>
        <v>5</v>
      </c>
      <c r="AS15" s="39">
        <f t="shared" ca="1" si="69"/>
        <v>2</v>
      </c>
      <c r="AT15" s="72">
        <f t="shared" ca="1" si="69"/>
        <v>3</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4</v>
      </c>
      <c r="BF15" s="16">
        <f t="shared" ca="1" si="41"/>
        <v>3</v>
      </c>
      <c r="BG15" s="16">
        <f t="shared" ca="1" si="17"/>
        <v>1</v>
      </c>
      <c r="BH15" s="16">
        <f t="shared" ca="1" si="18"/>
        <v>1</v>
      </c>
      <c r="BI15" s="16">
        <f t="shared" ca="1" si="19"/>
        <v>1</v>
      </c>
      <c r="BJ15" s="16">
        <f t="shared" ca="1" si="20"/>
        <v>3</v>
      </c>
      <c r="BK15" s="16">
        <f t="shared" ca="1" si="21"/>
        <v>4</v>
      </c>
      <c r="BL15" s="16">
        <f t="shared" ca="1" si="42"/>
        <v>-1</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4</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P.2 (2)</v>
      </c>
      <c r="BU15" s="16">
        <f t="shared" ca="1" si="24"/>
        <v>0</v>
      </c>
      <c r="BV15" s="16">
        <f t="shared" ca="1" si="25"/>
        <v>1</v>
      </c>
      <c r="BW15" s="16">
        <f t="shared" ca="1" si="26"/>
        <v>0</v>
      </c>
      <c r="BX15" s="16">
        <f t="shared" ca="1" si="48"/>
        <v>1</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P.2 (2)</v>
      </c>
      <c r="CA15" s="16">
        <f t="shared" ca="1" si="27"/>
        <v>1</v>
      </c>
      <c r="CB15" s="16">
        <f t="shared" ca="1" si="28"/>
        <v>1</v>
      </c>
      <c r="CC15" s="16">
        <f t="shared" ca="1" si="49"/>
        <v>0</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P.2 (2)</v>
      </c>
      <c r="CF15" s="16">
        <f t="shared" ca="1" si="29"/>
        <v>1</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P.2 (2)</v>
      </c>
      <c r="CI15" s="16">
        <f t="shared" ca="1" si="30"/>
        <v>0</v>
      </c>
      <c r="CJ15" s="16">
        <f t="shared" ca="1" si="31"/>
        <v>1</v>
      </c>
      <c r="CK15" s="16">
        <f t="shared" ca="1" si="32"/>
        <v>0</v>
      </c>
      <c r="CL15" s="16">
        <f t="shared" ca="1" si="50"/>
        <v>1</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P.2 (2)</v>
      </c>
      <c r="CO15" s="16">
        <f t="shared" ca="1" si="33"/>
        <v>1</v>
      </c>
      <c r="CP15" s="16">
        <f t="shared" ca="1" si="34"/>
        <v>1</v>
      </c>
      <c r="CQ15" s="16">
        <f t="shared" ca="1" si="51"/>
        <v>0</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P.2 (2)</v>
      </c>
      <c r="CT15" s="16">
        <f t="shared" ca="1" si="35"/>
        <v>1</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P.2 (2)</v>
      </c>
      <c r="CW15" s="16">
        <f t="shared" ca="1" si="36"/>
        <v>-1</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P.2 (2)</v>
      </c>
      <c r="CZ15" s="16">
        <f t="shared" ca="1" si="37"/>
        <v>3</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P.2 (2)</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52"/>
        <v>2.0019999999999998</v>
      </c>
      <c r="DG15" s="16">
        <f ca="1">IF(DB15="-","-",COUNTIFS(DF$6:DF$53,"&lt;"&amp;DF15,$BC$6:$BC$53,INDEX(T_Equipos[Grupo],MATCH(BD15,T_Equipos[NombreEquipo],0))))</f>
        <v>1</v>
      </c>
      <c r="DH15" s="16">
        <f ca="1">DA15+COUNTIFS(DB$6:DB$53,DB15,DG$6:DG$53,"&lt;"&amp;DG15,$BC$6:$BC$53,INDEX(T_Equipos[Grupo],MATCH(BD15,T_Equipos[NombreEquipo],0)))</f>
        <v>2</v>
      </c>
      <c r="DI15" s="16"/>
      <c r="DJ15" s="16">
        <f t="shared" ca="1" si="38"/>
        <v>2</v>
      </c>
      <c r="DK15" s="16">
        <f t="shared" ca="1" si="39"/>
        <v>12</v>
      </c>
      <c r="DL15" s="16">
        <f t="shared" ca="1" si="40"/>
        <v>2</v>
      </c>
      <c r="DM15" s="16" t="str">
        <f t="shared" ca="1" si="46"/>
        <v>2.2</v>
      </c>
      <c r="DN15" s="16" t="e" cm="1" vm="1">
        <f t="array" aca="1" ref="DN15" ca="1">OFFSET(Horarios!$P$3,DJ15-1,0,DL15,1)</f>
        <v>#VALUE!</v>
      </c>
      <c r="DO15" s="16"/>
      <c r="DP15" s="16" t="s">
        <v>668</v>
      </c>
      <c r="DQ15" s="16" t="str">
        <f t="shared" ca="1" si="47"/>
        <v>Marruecos</v>
      </c>
    </row>
    <row r="16" spans="1:121" ht="16.0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47"/>
      <c r="X16" s="24">
        <f ca="1">Horarios!C16</f>
        <v>46197.875</v>
      </c>
      <c r="Y16" s="25">
        <f ca="1">Horarios!C16</f>
        <v>46197.875</v>
      </c>
      <c r="Z16" s="26" t="str">
        <f>$Z$8</f>
        <v>J3</v>
      </c>
      <c r="AA16" s="27" t="str">
        <f ca="1">A16</f>
        <v>Suiza</v>
      </c>
      <c r="AB16" s="49" t="str" cm="1">
        <f t="array" aca="1" ref="AB16" ca="1">Ver_flag_local</f>
        <v/>
      </c>
      <c r="AC16" s="50">
        <v>1</v>
      </c>
      <c r="AD16" s="51">
        <v>1</v>
      </c>
      <c r="AE16" s="571" t="str" cm="1">
        <f t="array" aca="1" ref="AE16" ca="1">Ver_flag_visit</f>
        <v/>
      </c>
      <c r="AF16" s="32" t="str">
        <f ca="1">A13</f>
        <v>Canadá</v>
      </c>
      <c r="AG16" s="306">
        <f t="shared" si="66"/>
        <v>1</v>
      </c>
      <c r="AH16" s="185">
        <v>51</v>
      </c>
      <c r="AI16" s="171" t="str">
        <f t="shared" si="70"/>
        <v>3B</v>
      </c>
      <c r="AJ16" s="71">
        <v>3</v>
      </c>
      <c r="AK16" s="578" t="str" cm="1">
        <f t="array" aca="1" ref="AK16" ca="1">Ver_flag_visit</f>
        <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4</v>
      </c>
      <c r="AS16" s="39">
        <f t="shared" ca="1" si="69"/>
        <v>3</v>
      </c>
      <c r="AT16" s="72">
        <f t="shared" ca="1" si="69"/>
        <v>1</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6</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2</v>
      </c>
      <c r="DK16" s="16">
        <f t="shared" ca="1" si="39"/>
        <v>12</v>
      </c>
      <c r="DL16" s="16">
        <f t="shared" ca="1" si="40"/>
        <v>2</v>
      </c>
      <c r="DM16" s="16" t="str">
        <f t="shared" ca="1" si="46"/>
        <v>2.2</v>
      </c>
      <c r="DN16" s="16" t="e" cm="1" vm="1">
        <f t="array" aca="1" ref="DN16" ca="1">OFFSET(Horarios!$P$3,DJ16-1,0,DL16,1)</f>
        <v>#VALUE!</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8"/>
      <c r="X17" s="28">
        <f ca="1">Horarios!C17</f>
        <v>46197.875</v>
      </c>
      <c r="Y17" s="29">
        <f ca="1">Horarios!C17</f>
        <v>46197.875</v>
      </c>
      <c r="Z17" s="30" t="str">
        <f>$Z$8</f>
        <v>J3</v>
      </c>
      <c r="AA17" s="31" t="str">
        <f ca="1">A14</f>
        <v>Bosnia y Herzegovina</v>
      </c>
      <c r="AB17" s="52" t="str" cm="1">
        <f t="array" aca="1" ref="AB17" ca="1">Ver_flag_local</f>
        <v/>
      </c>
      <c r="AC17" s="50">
        <v>2</v>
      </c>
      <c r="AD17" s="51">
        <v>0</v>
      </c>
      <c r="AE17" s="572" t="str" cm="1">
        <f t="array" aca="1" ref="AE17" ca="1">Ver_flag_visit</f>
        <v/>
      </c>
      <c r="AF17" s="33" t="str">
        <f ca="1">A15</f>
        <v>Catar</v>
      </c>
      <c r="AG17" s="306">
        <f t="shared" si="66"/>
        <v>1</v>
      </c>
      <c r="AH17" s="185">
        <v>52</v>
      </c>
      <c r="AI17" s="171" t="str">
        <f t="shared" si="70"/>
        <v>4B</v>
      </c>
      <c r="AJ17" s="73">
        <v>4</v>
      </c>
      <c r="AK17" s="579" t="str" cm="1">
        <f t="array" aca="1" ref="AK17" ca="1">Ver_flag_visit</f>
        <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0</v>
      </c>
      <c r="AS17" s="76">
        <f t="shared" ca="1" si="69"/>
        <v>7</v>
      </c>
      <c r="AT17" s="77">
        <f t="shared" ca="1" si="69"/>
        <v>-7</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3</v>
      </c>
      <c r="BK17" s="16">
        <f t="shared" ca="1" si="21"/>
        <v>4</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P.2 (2)</v>
      </c>
      <c r="BU17" s="16">
        <f t="shared" ca="1" si="24"/>
        <v>0</v>
      </c>
      <c r="BV17" s="16">
        <f t="shared" ca="1" si="25"/>
        <v>1</v>
      </c>
      <c r="BW17" s="16">
        <f t="shared" ca="1" si="26"/>
        <v>0</v>
      </c>
      <c r="BX17" s="16">
        <f t="shared" ca="1" si="48"/>
        <v>1</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P.2 (2)</v>
      </c>
      <c r="CA17" s="16">
        <f t="shared" ca="1" si="27"/>
        <v>1</v>
      </c>
      <c r="CB17" s="16">
        <f t="shared" ca="1" si="28"/>
        <v>1</v>
      </c>
      <c r="CC17" s="16">
        <f t="shared" ca="1" si="49"/>
        <v>0</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P.2 (2)</v>
      </c>
      <c r="CF17" s="16">
        <f t="shared" ca="1" si="29"/>
        <v>1</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P.2 (2)</v>
      </c>
      <c r="CI17" s="16">
        <f t="shared" ca="1" si="30"/>
        <v>0</v>
      </c>
      <c r="CJ17" s="16">
        <f t="shared" ca="1" si="31"/>
        <v>1</v>
      </c>
      <c r="CK17" s="16">
        <f t="shared" ca="1" si="32"/>
        <v>0</v>
      </c>
      <c r="CL17" s="16">
        <f t="shared" ca="1" si="50"/>
        <v>1</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P.2 (2)</v>
      </c>
      <c r="CO17" s="16">
        <f t="shared" ca="1" si="33"/>
        <v>1</v>
      </c>
      <c r="CP17" s="16">
        <f t="shared" ca="1" si="34"/>
        <v>1</v>
      </c>
      <c r="CQ17" s="16">
        <f t="shared" ca="1" si="51"/>
        <v>0</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P.2 (2)</v>
      </c>
      <c r="CT17" s="16">
        <f t="shared" ca="1" si="35"/>
        <v>1</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P.2 (2)</v>
      </c>
      <c r="CW17" s="16">
        <f t="shared" ca="1" si="36"/>
        <v>-1</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P.2 (2)</v>
      </c>
      <c r="CZ17" s="16">
        <f t="shared" ca="1" si="37"/>
        <v>3</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P.2 (2)</v>
      </c>
      <c r="DC17" s="16">
        <f ca="1">IF(DB17="-","-",COUNTIFS(T_Equipos[Rank],"&lt;"&amp;INDEX(T_Equipos[Rank],MATCH(BD17,T_Equipos[NombreEquipo],0)),$BC$6:$BC$53,INDEX(T_Equipos[Grupo],MATCH(BD17,T_Equipos[NombreEquipo],0)))+1)</f>
        <v>4</v>
      </c>
      <c r="DD17" s="16">
        <f ca="1">DA17+COUNTIFS($DB$6:$DB$53,DB17,$DC$6:DC$53,"&lt;"&amp;DC17,$BC$6:$BC$53,INDEX(T_Equipos[Grupo],MATCH(BD17,T_Equipos[NombreEquipo],0)))</f>
        <v>3</v>
      </c>
      <c r="DE17" s="16"/>
      <c r="DF17" s="16">
        <f t="shared" ca="1" si="52"/>
        <v>3.0030000000000001</v>
      </c>
      <c r="DG17" s="16">
        <f ca="1">IF(DB17="-","-",COUNTIFS(DF$6:DF$53,"&lt;"&amp;DF17,$BC$6:$BC$53,INDEX(T_Equipos[Grupo],MATCH(BD17,T_Equipos[NombreEquipo],0))))</f>
        <v>2</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5</v>
      </c>
      <c r="BK18" s="16">
        <f t="shared" ca="1" si="21"/>
        <v>3</v>
      </c>
      <c r="BL18" s="16">
        <f t="shared" ca="1" si="42"/>
        <v>2</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4</v>
      </c>
      <c r="BK19" s="16">
        <f t="shared" ca="1" si="21"/>
        <v>5</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Turquía</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P.2 (2)</v>
      </c>
      <c r="G20" s="16"/>
      <c r="H20" s="16" t="str">
        <f t="shared" ref="H20:H25" ca="1" si="74">IF(D20="Pendiente","-",INDEX($BZ$6:$BZ$53,MATCH($AA20,$BD$6:$BD$53,0)))</f>
        <v>-</v>
      </c>
      <c r="I20" s="16" t="str">
        <f t="shared" ref="I20:I25" ca="1" si="75">IF(D20="Pendiente","-",INDEX($BZ$6:$BZ$53,MATCH($AF20,$BD$6:$BD$53,0)))</f>
        <v>P.2 (2)</v>
      </c>
      <c r="J20" s="16"/>
      <c r="K20" s="16" t="str">
        <f t="shared" ref="K20:K25" ca="1" si="76">IF(D20="Pendiente","-",INDEX($CE$6:$CE$53,MATCH($AA20,$BD$6:$BD$53,0)))</f>
        <v>-</v>
      </c>
      <c r="L20" s="16" t="str">
        <f t="shared" ref="L20:L25" ca="1" si="77">IF(D20="Pendiente","-",INDEX($CE$6:$CE$53,MATCH($AF20,$BD$6:$BD$53,0)))</f>
        <v>P.2 (2)</v>
      </c>
      <c r="M20" s="16"/>
      <c r="N20" s="16" t="str">
        <f t="shared" ref="N20:N25" ca="1" si="78">IF(D20="Pendiente","-",INDEX($CH$6:$CH$53,MATCH($AA20,$BD$6:$BD$53,0)))</f>
        <v>-</v>
      </c>
      <c r="O20" s="16" t="str">
        <f t="shared" ref="O20:O25" ca="1" si="79">IF(D20="Pendiente","-",INDEX($CH$6:$CH$53,MATCH($AF20,$BD$6:$BD$53,0)))</f>
        <v>P.2 (2)</v>
      </c>
      <c r="P20" s="16"/>
      <c r="Q20" s="16" t="str">
        <f t="shared" ref="Q20:Q25" ca="1" si="80">IF(D20="Pendiente","-",INDEX($CN$6:$CN$53,MATCH($AA20,$BD$6:$BD$53,0)))</f>
        <v>-</v>
      </c>
      <c r="R20" s="16" t="str">
        <f t="shared" ref="R20:R25" ca="1" si="81">IF(D20="Pendiente","-",INDEX($CN$6:$CN$53,MATCH($AF20,$BD$6:$BD$53,0)))</f>
        <v>P.2 (2)</v>
      </c>
      <c r="S20" s="16"/>
      <c r="T20" s="16" t="str">
        <f t="shared" ref="T20:T25" ca="1" si="82">IF(D20="Pendiente","-",INDEX($CS$6:$CS$53,MATCH($AA20,$BD$6:$BD$53,0)))</f>
        <v>-</v>
      </c>
      <c r="U20" s="16" t="str">
        <f t="shared" ref="U20:U25" ca="1" si="83">IF(D20="Pendiente","-",INDEX($CS$6:$CS$53,MATCH($AF20,$BD$6:$BD$53,0)))</f>
        <v>P.2 (2)</v>
      </c>
      <c r="V20" s="17"/>
      <c r="W20" s="656" t="s">
        <v>2</v>
      </c>
      <c r="X20" s="24">
        <f ca="1">Horarios!C20</f>
        <v>46187</v>
      </c>
      <c r="Y20" s="25">
        <f ca="1">Horarios!C20</f>
        <v>46187</v>
      </c>
      <c r="Z20" s="26" t="str">
        <f>$Z$4</f>
        <v>J1</v>
      </c>
      <c r="AA20" s="27" t="str">
        <f ca="1">A21</f>
        <v>Brasil</v>
      </c>
      <c r="AB20" s="49" t="str" cm="1">
        <f t="array" aca="1" ref="AB20" ca="1">Ver_flag_local</f>
        <v/>
      </c>
      <c r="AC20" s="50">
        <v>3</v>
      </c>
      <c r="AD20" s="51">
        <v>0</v>
      </c>
      <c r="AE20" s="571" t="str" cm="1">
        <f t="array" aca="1" ref="AE20" ca="1">Ver_flag_visit</f>
        <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¡EMPATE! Puedes seleccionar el orden de los empatados.</v>
      </c>
      <c r="AW20" s="157"/>
      <c r="AX20" s="157"/>
      <c r="AY20" s="144"/>
      <c r="AZ20" s="145"/>
      <c r="BA20" s="16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3</v>
      </c>
      <c r="BK20" s="16">
        <f t="shared" ca="1" si="21"/>
        <v>5</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P.2 (2)</v>
      </c>
      <c r="G21" s="16"/>
      <c r="H21" s="16" t="str">
        <f t="shared" ca="1" si="74"/>
        <v>-</v>
      </c>
      <c r="I21" s="16" t="str">
        <f t="shared" ca="1" si="75"/>
        <v>P.2 (2)</v>
      </c>
      <c r="J21" s="16"/>
      <c r="K21" s="16" t="str">
        <f t="shared" ca="1" si="76"/>
        <v>-</v>
      </c>
      <c r="L21" s="16" t="str">
        <f t="shared" ca="1" si="77"/>
        <v>P.2 (2)</v>
      </c>
      <c r="M21" s="16"/>
      <c r="N21" s="16" t="str">
        <f t="shared" ca="1" si="78"/>
        <v>-</v>
      </c>
      <c r="O21" s="16" t="str">
        <f t="shared" ca="1" si="79"/>
        <v>P.2 (2)</v>
      </c>
      <c r="P21" s="16"/>
      <c r="Q21" s="16" t="str">
        <f t="shared" ca="1" si="80"/>
        <v>-</v>
      </c>
      <c r="R21" s="16" t="str">
        <f t="shared" ca="1" si="81"/>
        <v>P.2 (2)</v>
      </c>
      <c r="S21" s="16"/>
      <c r="T21" s="16" t="str">
        <f t="shared" ca="1" si="82"/>
        <v>-</v>
      </c>
      <c r="U21" s="16" t="str">
        <f t="shared" ca="1" si="83"/>
        <v>P.2 (2)</v>
      </c>
      <c r="V21" s="17"/>
      <c r="W21" s="656"/>
      <c r="X21" s="24">
        <f ca="1">Horarios!C21</f>
        <v>46187.125</v>
      </c>
      <c r="Y21" s="25">
        <f ca="1">Horarios!C21</f>
        <v>46187.125</v>
      </c>
      <c r="Z21" s="26" t="str">
        <f>$Z$4</f>
        <v>J1</v>
      </c>
      <c r="AA21" s="27" t="str">
        <f ca="1">A23</f>
        <v>Haití</v>
      </c>
      <c r="AB21" s="49" t="str" cm="1">
        <f t="array" aca="1" ref="AB21" ca="1">Ver_flag_local</f>
        <v/>
      </c>
      <c r="AC21" s="50">
        <v>0</v>
      </c>
      <c r="AD21" s="51">
        <v>2</v>
      </c>
      <c r="AE21" s="571" t="str" cm="1">
        <f t="array" aca="1" ref="AE21" ca="1">Ver_flag_visit</f>
        <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2</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5</v>
      </c>
      <c r="BK21" s="16">
        <f t="shared" ca="1" si="21"/>
        <v>4</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05" customHeight="1">
      <c r="A22" s="16" t="str">
        <f ca="1">+Equipos!B11</f>
        <v>Marruecos</v>
      </c>
      <c r="B22" s="16"/>
      <c r="C22" s="16"/>
      <c r="D22" s="16" t="str">
        <f t="shared" si="71"/>
        <v>Empate</v>
      </c>
      <c r="E22" s="16" t="str">
        <f t="shared" ca="1" si="72"/>
        <v>P.2 (2)</v>
      </c>
      <c r="F22" s="16" t="str">
        <f t="shared" ca="1" si="73"/>
        <v>P.2 (2)</v>
      </c>
      <c r="G22" s="16"/>
      <c r="H22" s="16" t="str">
        <f t="shared" ca="1" si="74"/>
        <v>P.2 (2)</v>
      </c>
      <c r="I22" s="16" t="str">
        <f t="shared" ca="1" si="75"/>
        <v>P.2 (2)</v>
      </c>
      <c r="J22" s="16"/>
      <c r="K22" s="16" t="str">
        <f t="shared" ca="1" si="76"/>
        <v>P.2 (2)</v>
      </c>
      <c r="L22" s="16" t="str">
        <f t="shared" ca="1" si="77"/>
        <v>P.2 (2)</v>
      </c>
      <c r="M22" s="16"/>
      <c r="N22" s="16" t="str">
        <f t="shared" ca="1" si="78"/>
        <v>P.2 (2)</v>
      </c>
      <c r="O22" s="16" t="str">
        <f t="shared" ca="1" si="79"/>
        <v>P.2 (2)</v>
      </c>
      <c r="P22" s="16"/>
      <c r="Q22" s="16" t="str">
        <f t="shared" ca="1" si="80"/>
        <v>P.2 (2)</v>
      </c>
      <c r="R22" s="16" t="str">
        <f t="shared" ca="1" si="81"/>
        <v>P.2 (2)</v>
      </c>
      <c r="S22" s="16"/>
      <c r="T22" s="16" t="str">
        <f t="shared" ca="1" si="82"/>
        <v>P.2 (2)</v>
      </c>
      <c r="U22" s="16" t="str">
        <f t="shared" ca="1" si="83"/>
        <v>P.2 (2)</v>
      </c>
      <c r="V22" s="17"/>
      <c r="W22" s="656"/>
      <c r="X22" s="24">
        <f ca="1">Horarios!C22</f>
        <v>46193</v>
      </c>
      <c r="Y22" s="25">
        <f ca="1">Horarios!C22</f>
        <v>46193</v>
      </c>
      <c r="Z22" s="26" t="str">
        <f>$Z$6</f>
        <v>J2</v>
      </c>
      <c r="AA22" s="27" t="str">
        <f ca="1">A24</f>
        <v>Escocia</v>
      </c>
      <c r="AB22" s="49" t="str" cm="1">
        <f t="array" aca="1" ref="AB22" ca="1">Ver_flag_local</f>
        <v/>
      </c>
      <c r="AC22" s="50">
        <v>1</v>
      </c>
      <c r="AD22" s="51">
        <v>1</v>
      </c>
      <c r="AE22" s="571" t="str" cm="1">
        <f t="array" aca="1" ref="AE22" ca="1">Ver_flag_visit</f>
        <v/>
      </c>
      <c r="AF22" s="32" t="str">
        <f ca="1">A22</f>
        <v>Marruecos</v>
      </c>
      <c r="AG22" s="306">
        <f t="shared" si="84"/>
        <v>1</v>
      </c>
      <c r="AH22" s="185">
        <v>30</v>
      </c>
      <c r="AI22" s="171" t="str">
        <f>AJ22&amp;$B$20</f>
        <v>1C</v>
      </c>
      <c r="AJ22" s="40">
        <v>1</v>
      </c>
      <c r="AK22" s="577" t="str" cm="1">
        <f t="array" aca="1" ref="AK22" ca="1">Ver_flag_visit</f>
        <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8</v>
      </c>
      <c r="AS22" s="36">
        <f t="shared" ca="1" si="87"/>
        <v>0</v>
      </c>
      <c r="AT22" s="41">
        <f t="shared" ca="1" si="87"/>
        <v>8</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2</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56"/>
      <c r="X23" s="24">
        <f ca="1">Horarios!C23</f>
        <v>46193.104166666664</v>
      </c>
      <c r="Y23" s="25">
        <f ca="1">Horarios!C23</f>
        <v>46193.104166666664</v>
      </c>
      <c r="Z23" s="26" t="str">
        <f>$Z$6</f>
        <v>J2</v>
      </c>
      <c r="AA23" s="27" t="str">
        <f ca="1">A21</f>
        <v>Brasil</v>
      </c>
      <c r="AB23" s="49" t="str" cm="1">
        <f t="array" aca="1" ref="AB23" ca="1">Ver_flag_local</f>
        <v/>
      </c>
      <c r="AC23" s="50">
        <v>2</v>
      </c>
      <c r="AD23" s="51">
        <v>0</v>
      </c>
      <c r="AE23" s="571" t="str" cm="1">
        <f t="array" aca="1" ref="AE23" ca="1">Ver_flag_visit</f>
        <v/>
      </c>
      <c r="AF23" s="32" t="str">
        <f ca="1">A23</f>
        <v>Haití</v>
      </c>
      <c r="AG23" s="306">
        <f t="shared" si="84"/>
        <v>1</v>
      </c>
      <c r="AH23" s="185">
        <v>29</v>
      </c>
      <c r="AI23" s="171" t="str">
        <f t="shared" ref="AI23:AI25" si="88">AJ23&amp;$B$20</f>
        <v>2C</v>
      </c>
      <c r="AJ23" s="42">
        <v>2</v>
      </c>
      <c r="AK23" s="578" t="str" cm="1">
        <f t="array" aca="1" ref="AK23" ca="1">Ver_flag_visit</f>
        <v/>
      </c>
      <c r="AL23" s="37" t="str">
        <f ca="1">IFERROR(INDEX($BD$6:$BD$53,MATCH(AI23,$BN$6:$BN$53,0)),"")</f>
        <v>Marruecos</v>
      </c>
      <c r="AM23" s="38">
        <f t="shared" ca="1" si="87"/>
        <v>4</v>
      </c>
      <c r="AN23" s="39">
        <f t="shared" ca="1" si="87"/>
        <v>3</v>
      </c>
      <c r="AO23" s="39">
        <f t="shared" ca="1" si="87"/>
        <v>1</v>
      </c>
      <c r="AP23" s="39">
        <f t="shared" ca="1" si="87"/>
        <v>1</v>
      </c>
      <c r="AQ23" s="39">
        <f t="shared" ca="1" si="87"/>
        <v>1</v>
      </c>
      <c r="AR23" s="39">
        <f t="shared" ca="1" si="87"/>
        <v>3</v>
      </c>
      <c r="AS23" s="39">
        <f t="shared" ca="1" si="87"/>
        <v>4</v>
      </c>
      <c r="AT23" s="43">
        <f t="shared" ca="1" si="87"/>
        <v>-1</v>
      </c>
      <c r="AU23" s="313">
        <f ca="1">INDEX($DL$6:$DL$53,MATCH(AI23,$DP$6:$DP$53,0))</f>
        <v>2</v>
      </c>
      <c r="AV23" s="172" t="str">
        <f ca="1">INDEX($BD$6:$BD$53,MATCH(AI23,$BM$6:$BM$53,0))</f>
        <v>Marruecos</v>
      </c>
      <c r="AW23" s="200">
        <v>2</v>
      </c>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7</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Costa de Marfil</v>
      </c>
    </row>
    <row r="24" spans="1:121" ht="16.05" customHeight="1">
      <c r="A24" s="16" t="str">
        <f ca="1">+Equipos!B13</f>
        <v>Escocia</v>
      </c>
      <c r="B24" s="16"/>
      <c r="C24" s="16"/>
      <c r="D24" s="16" t="str">
        <f t="shared" si="71"/>
        <v>Visitante</v>
      </c>
      <c r="E24" s="16" t="str">
        <f t="shared" ca="1" si="72"/>
        <v>P.2 (2)</v>
      </c>
      <c r="F24" s="16" t="str">
        <f t="shared" ca="1" si="73"/>
        <v>-</v>
      </c>
      <c r="G24" s="16"/>
      <c r="H24" s="16" t="str">
        <f t="shared" ca="1" si="74"/>
        <v>P.2 (2)</v>
      </c>
      <c r="I24" s="16" t="str">
        <f t="shared" ca="1" si="75"/>
        <v>-</v>
      </c>
      <c r="J24" s="16"/>
      <c r="K24" s="16" t="str">
        <f t="shared" ca="1" si="76"/>
        <v>P.2 (2)</v>
      </c>
      <c r="L24" s="16" t="str">
        <f t="shared" ca="1" si="77"/>
        <v>-</v>
      </c>
      <c r="M24" s="16"/>
      <c r="N24" s="16" t="str">
        <f t="shared" ca="1" si="78"/>
        <v>P.2 (2)</v>
      </c>
      <c r="O24" s="16" t="str">
        <f t="shared" ca="1" si="79"/>
        <v>-</v>
      </c>
      <c r="P24" s="16"/>
      <c r="Q24" s="16" t="str">
        <f t="shared" ca="1" si="80"/>
        <v>P.2 (2)</v>
      </c>
      <c r="R24" s="16" t="str">
        <f t="shared" ca="1" si="81"/>
        <v>-</v>
      </c>
      <c r="S24" s="16"/>
      <c r="T24" s="16" t="str">
        <f t="shared" ca="1" si="82"/>
        <v>P.2 (2)</v>
      </c>
      <c r="U24" s="16" t="str">
        <f t="shared" ca="1" si="83"/>
        <v>-</v>
      </c>
      <c r="V24" s="17"/>
      <c r="W24" s="656"/>
      <c r="X24" s="24">
        <f ca="1">Horarios!C24</f>
        <v>46198</v>
      </c>
      <c r="Y24" s="25">
        <f ca="1">Horarios!C24</f>
        <v>46198</v>
      </c>
      <c r="Z24" s="26" t="str">
        <f>$Z$8</f>
        <v>J3</v>
      </c>
      <c r="AA24" s="27" t="str">
        <f ca="1">A24</f>
        <v>Escocia</v>
      </c>
      <c r="AB24" s="49" t="str" cm="1">
        <f t="array" aca="1" ref="AB24" ca="1">Ver_flag_local</f>
        <v/>
      </c>
      <c r="AC24" s="50">
        <v>0</v>
      </c>
      <c r="AD24" s="51">
        <v>3</v>
      </c>
      <c r="AE24" s="571" t="str" cm="1">
        <f t="array" aca="1" ref="AE24" ca="1">Ver_flag_visit</f>
        <v/>
      </c>
      <c r="AF24" s="32" t="str">
        <f ca="1">A21</f>
        <v>Brasil</v>
      </c>
      <c r="AG24" s="306">
        <f t="shared" si="84"/>
        <v>1</v>
      </c>
      <c r="AH24" s="185">
        <v>49</v>
      </c>
      <c r="AI24" s="171" t="str">
        <f t="shared" si="88"/>
        <v>3C</v>
      </c>
      <c r="AJ24" s="42">
        <v>3</v>
      </c>
      <c r="AK24" s="578" t="str" cm="1">
        <f t="array" aca="1" ref="AK24" ca="1">Ver_flag_visit</f>
        <v/>
      </c>
      <c r="AL24" s="37" t="str">
        <f ca="1">IFERROR(INDEX($BD$6:$BD$53,MATCH(AI24,$BN$6:$BN$53,0)),"")</f>
        <v>Escocia</v>
      </c>
      <c r="AM24" s="38">
        <f t="shared" ca="1" si="87"/>
        <v>4</v>
      </c>
      <c r="AN24" s="39">
        <f t="shared" ca="1" si="87"/>
        <v>3</v>
      </c>
      <c r="AO24" s="39">
        <f t="shared" ca="1" si="87"/>
        <v>1</v>
      </c>
      <c r="AP24" s="39">
        <f t="shared" ca="1" si="87"/>
        <v>1</v>
      </c>
      <c r="AQ24" s="39">
        <f t="shared" ca="1" si="87"/>
        <v>1</v>
      </c>
      <c r="AR24" s="39">
        <f t="shared" ca="1" si="87"/>
        <v>3</v>
      </c>
      <c r="AS24" s="39">
        <f t="shared" ca="1" si="87"/>
        <v>4</v>
      </c>
      <c r="AT24" s="43">
        <f t="shared" ca="1" si="87"/>
        <v>-1</v>
      </c>
      <c r="AU24" s="313">
        <f ca="1">INDEX($DL$6:$DL$53,MATCH(AI24,$DP$6:$DP$53,0))</f>
        <v>2</v>
      </c>
      <c r="AV24" s="172" t="str">
        <f ca="1">INDEX($BD$6:$BD$53,MATCH(AI24,$BM$6:$BM$53,0))</f>
        <v>Escocia</v>
      </c>
      <c r="AW24" s="200">
        <v>3</v>
      </c>
      <c r="AX24" s="161"/>
      <c r="AY24" s="191" t="str">
        <f ca="1">+A23</f>
        <v>Haití</v>
      </c>
      <c r="AZ24" s="192"/>
      <c r="BA24" s="16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4</v>
      </c>
      <c r="BK24" s="16">
        <f t="shared" ca="1" si="21"/>
        <v>3</v>
      </c>
      <c r="BL24" s="16">
        <f t="shared" ca="1" si="42"/>
        <v>1</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1</v>
      </c>
      <c r="CB24" s="16">
        <f t="shared" ca="1" si="28"/>
        <v>1</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1</v>
      </c>
      <c r="CP24" s="16">
        <f t="shared" ca="1" si="34"/>
        <v>1</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1</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05" customHeight="1" thickBot="1">
      <c r="A25" s="16"/>
      <c r="B25" s="16"/>
      <c r="C25" s="16"/>
      <c r="D25" s="16" t="str">
        <f t="shared" si="71"/>
        <v>Local</v>
      </c>
      <c r="E25" s="16" t="str">
        <f t="shared" ca="1" si="72"/>
        <v>P.2 (2)</v>
      </c>
      <c r="F25" s="16" t="str">
        <f t="shared" ca="1" si="73"/>
        <v>-</v>
      </c>
      <c r="G25" s="16"/>
      <c r="H25" s="16" t="str">
        <f t="shared" ca="1" si="74"/>
        <v>P.2 (2)</v>
      </c>
      <c r="I25" s="16" t="str">
        <f t="shared" ca="1" si="75"/>
        <v>-</v>
      </c>
      <c r="J25" s="16"/>
      <c r="K25" s="16" t="str">
        <f t="shared" ca="1" si="76"/>
        <v>P.2 (2)</v>
      </c>
      <c r="L25" s="16" t="str">
        <f t="shared" ca="1" si="77"/>
        <v>-</v>
      </c>
      <c r="M25" s="16"/>
      <c r="N25" s="16" t="str">
        <f t="shared" ca="1" si="78"/>
        <v>P.2 (2)</v>
      </c>
      <c r="O25" s="16" t="str">
        <f t="shared" ca="1" si="79"/>
        <v>-</v>
      </c>
      <c r="P25" s="16"/>
      <c r="Q25" s="16" t="str">
        <f t="shared" ca="1" si="80"/>
        <v>P.2 (2)</v>
      </c>
      <c r="R25" s="16" t="str">
        <f t="shared" ca="1" si="81"/>
        <v>-</v>
      </c>
      <c r="S25" s="16"/>
      <c r="T25" s="16" t="str">
        <f t="shared" ca="1" si="82"/>
        <v>P.2 (2)</v>
      </c>
      <c r="U25" s="16" t="str">
        <f t="shared" ca="1" si="83"/>
        <v>-</v>
      </c>
      <c r="V25" s="17"/>
      <c r="W25" s="657"/>
      <c r="X25" s="28">
        <f ca="1">Horarios!C25</f>
        <v>46198</v>
      </c>
      <c r="Y25" s="29">
        <f ca="1">Horarios!C25</f>
        <v>46198</v>
      </c>
      <c r="Z25" s="30" t="str">
        <f>$Z$8</f>
        <v>J3</v>
      </c>
      <c r="AA25" s="31" t="str">
        <f ca="1">A22</f>
        <v>Marruecos</v>
      </c>
      <c r="AB25" s="52" t="str" cm="1">
        <f t="array" aca="1" ref="AB25" ca="1">Ver_flag_local</f>
        <v/>
      </c>
      <c r="AC25" s="50">
        <v>2</v>
      </c>
      <c r="AD25" s="51">
        <v>0</v>
      </c>
      <c r="AE25" s="572" t="str" cm="1">
        <f t="array" aca="1" ref="AE25" ca="1">Ver_flag_visit</f>
        <v/>
      </c>
      <c r="AF25" s="33" t="str">
        <f ca="1">A23</f>
        <v>Haití</v>
      </c>
      <c r="AG25" s="306">
        <f t="shared" si="84"/>
        <v>1</v>
      </c>
      <c r="AH25" s="185">
        <v>50</v>
      </c>
      <c r="AI25" s="171" t="str">
        <f t="shared" si="88"/>
        <v>4C</v>
      </c>
      <c r="AJ25" s="44">
        <v>4</v>
      </c>
      <c r="AK25" s="580"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6</v>
      </c>
      <c r="AT25" s="48">
        <f t="shared" ca="1" si="87"/>
        <v>-6</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4</v>
      </c>
      <c r="BK25" s="16">
        <f t="shared" ca="1" si="21"/>
        <v>4</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1</v>
      </c>
      <c r="CB25" s="16">
        <f t="shared" ca="1" si="28"/>
        <v>1</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1</v>
      </c>
      <c r="CP25" s="16">
        <f t="shared" ca="1" si="34"/>
        <v>1</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0</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5</v>
      </c>
      <c r="BK26" s="16">
        <f t="shared" ca="1" si="21"/>
        <v>2</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3</v>
      </c>
      <c r="BF27" s="16">
        <f t="shared" ca="1" si="41"/>
        <v>3</v>
      </c>
      <c r="BG27" s="16">
        <f t="shared" ca="1" si="17"/>
        <v>1</v>
      </c>
      <c r="BH27" s="16">
        <f t="shared" ca="1" si="18"/>
        <v>0</v>
      </c>
      <c r="BI27" s="16">
        <f t="shared" ca="1" si="19"/>
        <v>2</v>
      </c>
      <c r="BJ27" s="16">
        <f t="shared" ca="1" si="20"/>
        <v>4</v>
      </c>
      <c r="BK27" s="16">
        <f t="shared" ca="1" si="21"/>
        <v>5</v>
      </c>
      <c r="BL27" s="16">
        <f t="shared" ca="1" si="42"/>
        <v>-1</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3</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Suecia</v>
      </c>
    </row>
    <row r="28" spans="1:121" ht="16.05"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8" t="s">
        <v>74</v>
      </c>
      <c r="X28" s="24">
        <f ca="1">Horarios!C28</f>
        <v>46186.125</v>
      </c>
      <c r="Y28" s="25">
        <f ca="1">Horarios!C28</f>
        <v>46186.125</v>
      </c>
      <c r="Z28" s="26" t="str">
        <f>$Z$4</f>
        <v>J1</v>
      </c>
      <c r="AA28" s="27" t="str">
        <f ca="1">A29</f>
        <v>Estados Unidos</v>
      </c>
      <c r="AB28" s="49" t="str" cm="1">
        <f t="array" aca="1" ref="AB28" ca="1">Ver_flag_local</f>
        <v/>
      </c>
      <c r="AC28" s="50">
        <v>2</v>
      </c>
      <c r="AD28" s="51">
        <v>1</v>
      </c>
      <c r="AE28" s="571" t="str" cm="1">
        <f t="array" aca="1" ref="AE28" ca="1">Ver_flag_visit</f>
        <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5</v>
      </c>
      <c r="BF28" s="16">
        <f t="shared" ca="1" si="41"/>
        <v>3</v>
      </c>
      <c r="BG28" s="16">
        <f t="shared" ca="1" si="17"/>
        <v>1</v>
      </c>
      <c r="BH28" s="16">
        <f t="shared" ca="1" si="18"/>
        <v>2</v>
      </c>
      <c r="BI28" s="16">
        <f t="shared" ca="1" si="19"/>
        <v>0</v>
      </c>
      <c r="BJ28" s="16">
        <f t="shared" ca="1" si="20"/>
        <v>4</v>
      </c>
      <c r="BK28" s="16">
        <f t="shared" ca="1" si="21"/>
        <v>3</v>
      </c>
      <c r="BL28" s="16">
        <f t="shared" ca="1" si="42"/>
        <v>1</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5</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8"/>
      <c r="X29" s="24">
        <f ca="1">Horarios!C29</f>
        <v>46187.25</v>
      </c>
      <c r="Y29" s="25">
        <f ca="1">Horarios!C29</f>
        <v>46187.25</v>
      </c>
      <c r="Z29" s="26" t="str">
        <f>$Z$4</f>
        <v>J1</v>
      </c>
      <c r="AA29" s="27" t="str">
        <f ca="1">A31</f>
        <v>Australia</v>
      </c>
      <c r="AB29" s="49" t="str" cm="1">
        <f t="array" aca="1" ref="AB29" ca="1">Ver_flag_local</f>
        <v/>
      </c>
      <c r="AC29" s="50">
        <v>1</v>
      </c>
      <c r="AD29" s="51">
        <v>2</v>
      </c>
      <c r="AE29" s="571" t="str" cm="1">
        <f t="array" aca="1" ref="AE29" ca="1">Ver_flag_visit</f>
        <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2</v>
      </c>
      <c r="BK29" s="16">
        <f t="shared" ca="1" si="21"/>
        <v>5</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8"/>
      <c r="X30" s="24">
        <f ca="1">Horarios!C30</f>
        <v>46192.875</v>
      </c>
      <c r="Y30" s="25">
        <f ca="1">Horarios!C30</f>
        <v>46192.875</v>
      </c>
      <c r="Z30" s="26" t="str">
        <f>$Z$6</f>
        <v>J2</v>
      </c>
      <c r="AA30" s="27" t="str">
        <f ca="1">A29</f>
        <v>Estados Unidos</v>
      </c>
      <c r="AB30" s="49" t="str" cm="1">
        <f t="array" aca="1" ref="AB30" ca="1">Ver_flag_local</f>
        <v/>
      </c>
      <c r="AC30" s="50">
        <v>1</v>
      </c>
      <c r="AD30" s="51">
        <v>1</v>
      </c>
      <c r="AE30" s="571" t="str" cm="1">
        <f t="array" aca="1" ref="AE30" ca="1">Ver_flag_visit</f>
        <v/>
      </c>
      <c r="AF30" s="32" t="str">
        <f ca="1">A31</f>
        <v>Australia</v>
      </c>
      <c r="AG30" s="306">
        <f t="shared" si="104"/>
        <v>1</v>
      </c>
      <c r="AH30" s="185">
        <v>32</v>
      </c>
      <c r="AI30" s="171" t="str">
        <f>AJ30&amp;$B$28</f>
        <v>1D</v>
      </c>
      <c r="AJ30" s="40">
        <v>1</v>
      </c>
      <c r="AK30" s="577" t="str" cm="1">
        <f t="array" aca="1" ref="AK30" ca="1">Ver_flag_visit</f>
        <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3</v>
      </c>
      <c r="AT30" s="41">
        <f t="shared" ca="1" si="107"/>
        <v>2</v>
      </c>
      <c r="AU30" s="313">
        <f ca="1">INDEX($DL$6:$DL$53,MATCH(AI30,$DP$6:$DP$53,0))</f>
        <v>1</v>
      </c>
      <c r="AV30" s="172" t="str">
        <f ca="1">INDEX($BD$6:$BD$53,MATCH(AI30,$BM$6:$BM$53,0))</f>
        <v>Estados Unidos</v>
      </c>
      <c r="AW30" s="200"/>
      <c r="AX30" s="161"/>
      <c r="AY30" s="191" t="str">
        <f ca="1">+A29</f>
        <v>Estados Unidos</v>
      </c>
      <c r="AZ30" s="192"/>
      <c r="BA30" s="16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8"/>
      <c r="X31" s="24">
        <f ca="1">Horarios!C31</f>
        <v>46193.208333333336</v>
      </c>
      <c r="Y31" s="25">
        <f ca="1">Horarios!C31</f>
        <v>46193.208333333336</v>
      </c>
      <c r="Z31" s="26" t="str">
        <f>$Z$6</f>
        <v>J2</v>
      </c>
      <c r="AA31" s="27" t="str">
        <f ca="1">A32</f>
        <v>Turquía</v>
      </c>
      <c r="AB31" s="49" t="str" cm="1">
        <f t="array" aca="1" ref="AB31" ca="1">Ver_flag_local</f>
        <v/>
      </c>
      <c r="AC31" s="50">
        <v>2</v>
      </c>
      <c r="AD31" s="51">
        <v>1</v>
      </c>
      <c r="AE31" s="571" t="str" cm="1">
        <f t="array" aca="1" ref="AE31" ca="1">Ver_flag_visit</f>
        <v/>
      </c>
      <c r="AF31" s="32" t="str">
        <f ca="1">A30</f>
        <v>Paraguay</v>
      </c>
      <c r="AG31" s="306">
        <f t="shared" si="104"/>
        <v>1</v>
      </c>
      <c r="AH31" s="185">
        <v>31</v>
      </c>
      <c r="AI31" s="171" t="str">
        <f t="shared" ref="AI31:AI33" si="108">AJ31&amp;$B$28</f>
        <v>2D</v>
      </c>
      <c r="AJ31" s="42">
        <v>2</v>
      </c>
      <c r="AK31" s="578" t="str" cm="1">
        <f t="array" aca="1" ref="AK31" ca="1">Ver_flag_visit</f>
        <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5</v>
      </c>
      <c r="AS31" s="39">
        <f t="shared" ca="1" si="107"/>
        <v>4</v>
      </c>
      <c r="AT31" s="43">
        <f t="shared" ca="1" si="107"/>
        <v>1</v>
      </c>
      <c r="AU31" s="313">
        <f ca="1">INDEX($DL$6:$DL$53,MATCH(AI31,$DP$6:$DP$53,0))</f>
        <v>1</v>
      </c>
      <c r="AV31" s="172" t="str">
        <f ca="1">INDEX($BD$6:$BD$53,MATCH(AI31,$BM$6:$BM$53,0))</f>
        <v>Turquía</v>
      </c>
      <c r="AW31" s="200"/>
      <c r="AX31" s="161"/>
      <c r="AY31" s="193" t="str">
        <f ca="1">+A30</f>
        <v>Paraguay</v>
      </c>
      <c r="AZ31" s="194"/>
      <c r="BA31" s="166"/>
      <c r="BC31" s="16" t="str">
        <f ca="1">+INDEX(T_Equipos[Grupo],MATCH(WORLDCUP!BD31,T_Equipos[NombreEquipo],0))</f>
        <v>G</v>
      </c>
      <c r="BD31" s="16" t="str">
        <f ca="1">+Equipos!B27</f>
        <v>Egipto</v>
      </c>
      <c r="BE31" s="16">
        <f t="shared" ca="1" si="16"/>
        <v>3</v>
      </c>
      <c r="BF31" s="16">
        <f t="shared" ca="1" si="41"/>
        <v>3</v>
      </c>
      <c r="BG31" s="16">
        <f t="shared" ca="1" si="17"/>
        <v>1</v>
      </c>
      <c r="BH31" s="16">
        <f t="shared" ca="1" si="18"/>
        <v>0</v>
      </c>
      <c r="BI31" s="16">
        <f t="shared" ca="1" si="19"/>
        <v>2</v>
      </c>
      <c r="BJ31" s="16">
        <f t="shared" ca="1" si="20"/>
        <v>4</v>
      </c>
      <c r="BK31" s="16">
        <f t="shared" ca="1" si="21"/>
        <v>4</v>
      </c>
      <c r="BL31" s="16">
        <f t="shared" ca="1" si="42"/>
        <v>0</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3</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Irán</v>
      </c>
    </row>
    <row r="32" spans="1:121" ht="16.05" customHeight="1">
      <c r="A32" s="16" t="str">
        <f ca="1">+Equipos!B17</f>
        <v>Turquía</v>
      </c>
      <c r="B32" s="16"/>
      <c r="C32" s="16"/>
      <c r="D32" s="16" t="str">
        <f t="shared" si="91"/>
        <v>Visitante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8"/>
      <c r="X32" s="24">
        <f ca="1">Horarios!C32</f>
        <v>46199.166666666664</v>
      </c>
      <c r="Y32" s="25">
        <f ca="1">Horarios!C32</f>
        <v>46199.166666666664</v>
      </c>
      <c r="Z32" s="26" t="str">
        <f>$Z$8</f>
        <v>J3</v>
      </c>
      <c r="AA32" s="27" t="str">
        <f ca="1">A32</f>
        <v>Turquía</v>
      </c>
      <c r="AB32" s="49" t="str" cm="1">
        <f t="array" aca="1" ref="AB32" ca="1">Ver_flag_local</f>
        <v/>
      </c>
      <c r="AC32" s="50">
        <v>1</v>
      </c>
      <c r="AD32" s="51">
        <v>2</v>
      </c>
      <c r="AE32" s="571" t="str" cm="1">
        <f t="array" aca="1" ref="AE32" ca="1">Ver_flag_visit</f>
        <v/>
      </c>
      <c r="AF32" s="32" t="str">
        <f ca="1">A29</f>
        <v>Estados Unidos</v>
      </c>
      <c r="AG32" s="306">
        <f t="shared" si="104"/>
        <v>1</v>
      </c>
      <c r="AH32" s="185">
        <v>59</v>
      </c>
      <c r="AI32" s="171" t="str">
        <f t="shared" si="108"/>
        <v>3D</v>
      </c>
      <c r="AJ32" s="42">
        <v>3</v>
      </c>
      <c r="AK32" s="578" t="str" cm="1">
        <f t="array" aca="1" ref="AK32" ca="1">Ver_flag_visit</f>
        <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4</v>
      </c>
      <c r="AS32" s="39">
        <f t="shared" ca="1" si="107"/>
        <v>5</v>
      </c>
      <c r="AT32" s="43">
        <f t="shared" ca="1" si="107"/>
        <v>-1</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5</v>
      </c>
      <c r="BF32" s="16">
        <f t="shared" ca="1" si="41"/>
        <v>3</v>
      </c>
      <c r="BG32" s="16">
        <f t="shared" ca="1" si="17"/>
        <v>1</v>
      </c>
      <c r="BH32" s="16">
        <f t="shared" ca="1" si="18"/>
        <v>2</v>
      </c>
      <c r="BI32" s="16">
        <f t="shared" ca="1" si="19"/>
        <v>0</v>
      </c>
      <c r="BJ32" s="16">
        <f t="shared" ca="1" si="20"/>
        <v>4</v>
      </c>
      <c r="BK32" s="16">
        <f t="shared" ca="1" si="21"/>
        <v>3</v>
      </c>
      <c r="BL32" s="16">
        <f t="shared" ca="1" si="42"/>
        <v>1</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5</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9"/>
      <c r="X33" s="28">
        <f ca="1">Horarios!C33</f>
        <v>46199.166666666664</v>
      </c>
      <c r="Y33" s="29">
        <f ca="1">Horarios!C33</f>
        <v>46199.166666666664</v>
      </c>
      <c r="Z33" s="30" t="str">
        <f>$Z$8</f>
        <v>J3</v>
      </c>
      <c r="AA33" s="31" t="str">
        <f ca="1">A30</f>
        <v>Paraguay</v>
      </c>
      <c r="AB33" s="52" t="str" cm="1">
        <f t="array" aca="1" ref="AB33" ca="1">Ver_flag_local</f>
        <v/>
      </c>
      <c r="AC33" s="50">
        <v>2</v>
      </c>
      <c r="AD33" s="51">
        <v>1</v>
      </c>
      <c r="AE33" s="572" t="str" cm="1">
        <f t="array" aca="1" ref="AE33" ca="1">Ver_flag_visit</f>
        <v/>
      </c>
      <c r="AF33" s="33" t="str">
        <f ca="1">A31</f>
        <v>Australia</v>
      </c>
      <c r="AG33" s="306">
        <f t="shared" si="104"/>
        <v>1</v>
      </c>
      <c r="AH33" s="185">
        <v>60</v>
      </c>
      <c r="AI33" s="171" t="str">
        <f t="shared" si="108"/>
        <v>4D</v>
      </c>
      <c r="AJ33" s="44">
        <v>4</v>
      </c>
      <c r="AK33" s="580" t="str" cm="1">
        <f t="array" aca="1" ref="AK33" ca="1">Ver_flag_visit</f>
        <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3</v>
      </c>
      <c r="AS33" s="47">
        <f t="shared" ca="1" si="107"/>
        <v>5</v>
      </c>
      <c r="AT33" s="48">
        <f t="shared" ca="1" si="107"/>
        <v>-2</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1</v>
      </c>
      <c r="BK33" s="16">
        <f t="shared" ca="1" si="21"/>
        <v>6</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1</v>
      </c>
      <c r="BL34" s="16">
        <f t="shared" ca="1" si="42"/>
        <v>4</v>
      </c>
      <c r="BM34" s="16" t="str">
        <f t="shared" ca="1" si="22"/>
        <v>2H</v>
      </c>
      <c r="BN34" s="16" t="str">
        <f t="shared" ca="1" si="23"/>
        <v>2H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1</v>
      </c>
      <c r="CB34" s="16">
        <f t="shared" ca="1" si="28"/>
        <v>1</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1</v>
      </c>
      <c r="CP34" s="16">
        <f t="shared" ca="1" si="34"/>
        <v>1</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4</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(2)</v>
      </c>
      <c r="CZ34" s="16">
        <f t="shared" ca="1" si="37"/>
        <v>5</v>
      </c>
      <c r="DA34" s="16">
        <f ca="1">CX34+COUNTIFS($CY$6:$CY$53,CY34,$CZ$6:CZ$53,"&gt;"&amp;CZ34,$BC$6:$BC$53,INDEX(T_Equipos[Grupo],MATCH(BD34,T_Equipos[NombreEquipo],0)))</f>
        <v>2</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2</v>
      </c>
      <c r="DE34" s="16"/>
      <c r="DF34" s="16">
        <f t="shared" ca="1" si="52"/>
        <v>2</v>
      </c>
      <c r="DG34" s="16" t="str">
        <f ca="1">IF(DB34="-","-",COUNTIFS(DF$6:DF$53,"&lt;"&amp;DF34,$BC$6:$BC$53,INDEX(T_Equipos[Grupo],MATCH(BD34,T_Equipos[NombreEquipo],0))))</f>
        <v>-</v>
      </c>
      <c r="DH34" s="16">
        <f ca="1">DA34+COUNTIFS(DB$6:DB$53,DB34,DG$6:DG$53,"&lt;"&amp;DG34,$BC$6:$BC$53,INDEX(T_Equipos[Grupo],MATCH(BD34,T_Equipos[NombreEquipo],0)))</f>
        <v>2</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Uruguay</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7</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España</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60" t="s">
        <v>3</v>
      </c>
      <c r="X36" s="24">
        <f ca="1">Horarios!C36</f>
        <v>46187.791666666664</v>
      </c>
      <c r="Y36" s="25">
        <f ca="1">Horarios!C36</f>
        <v>46187.791666666664</v>
      </c>
      <c r="Z36" s="26" t="str">
        <f>$Z$4</f>
        <v>J1</v>
      </c>
      <c r="AA36" s="27" t="str">
        <f ca="1">A37</f>
        <v>Alemania</v>
      </c>
      <c r="AB36" s="49" t="str" cm="1">
        <f t="array" aca="1" ref="AB36" ca="1">Ver_flag_local</f>
        <v/>
      </c>
      <c r="AC36" s="50">
        <v>3</v>
      </c>
      <c r="AD36" s="51">
        <v>0</v>
      </c>
      <c r="AE36" s="571" t="str" cm="1">
        <f t="array" aca="1" ref="AE36" ca="1">Ver_flag_visit</f>
        <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4</v>
      </c>
      <c r="BL36" s="16">
        <f t="shared" ca="1" si="42"/>
        <v>-1</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60"/>
      <c r="X37" s="24">
        <f ca="1">Horarios!C37</f>
        <v>46188.041666666664</v>
      </c>
      <c r="Y37" s="25">
        <f ca="1">Horarios!C37</f>
        <v>46188.041666666664</v>
      </c>
      <c r="Z37" s="26" t="str">
        <f>$Z$4</f>
        <v>J1</v>
      </c>
      <c r="AA37" s="27" t="str">
        <f ca="1">A39</f>
        <v>Costa de Marfil</v>
      </c>
      <c r="AB37" s="49" t="str" cm="1">
        <f t="array" aca="1" ref="AB37" ca="1">Ver_flag_local</f>
        <v/>
      </c>
      <c r="AC37" s="50">
        <v>1</v>
      </c>
      <c r="AD37" s="51">
        <v>1</v>
      </c>
      <c r="AE37" s="571" t="str" cm="1">
        <f t="array" aca="1" ref="AE37" ca="1">Ver_flag_visit</f>
        <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6</v>
      </c>
      <c r="BK37" s="16">
        <f t="shared" ca="1" si="21"/>
        <v>2</v>
      </c>
      <c r="BL37" s="16">
        <f t="shared" ca="1" si="42"/>
        <v>4</v>
      </c>
      <c r="BM37" s="16" t="str">
        <f t="shared" ca="1" si="22"/>
        <v>1H</v>
      </c>
      <c r="BN37" s="16" t="str">
        <f t="shared" ca="1" si="23"/>
        <v>1H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1</v>
      </c>
      <c r="CB37" s="16">
        <f t="shared" ca="1" si="28"/>
        <v>1</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1</v>
      </c>
      <c r="CP37" s="16">
        <f t="shared" ca="1" si="34"/>
        <v>1</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4</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(2)</v>
      </c>
      <c r="CZ37" s="16">
        <f t="shared" ca="1" si="37"/>
        <v>6</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1</v>
      </c>
      <c r="DE37" s="16"/>
      <c r="DF37" s="16">
        <f t="shared" ca="1" si="52"/>
        <v>1</v>
      </c>
      <c r="DG37" s="16" t="str">
        <f ca="1">IF(DB37="-","-",COUNTIFS(DF$6:DF$53,"&lt;"&amp;DF37,$BC$6:$BC$53,INDEX(T_Equipos[Grupo],MATCH(BD37,T_Equipos[NombreEquipo],0))))</f>
        <v>-</v>
      </c>
      <c r="DH37" s="16">
        <f ca="1">DA37+COUNTIFS(DB$6:DB$53,DB37,DG$6:DG$53,"&lt;"&amp;DG37,$BC$6:$BC$53,INDEX(T_Equipos[Grupo],MATCH(BD37,T_Equipos[NombreEquipo],0)))</f>
        <v>1</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60"/>
      <c r="X38" s="24">
        <f ca="1">Horarios!C38</f>
        <v>46193.916666666664</v>
      </c>
      <c r="Y38" s="25">
        <f ca="1">Horarios!C38</f>
        <v>46193.916666666664</v>
      </c>
      <c r="Z38" s="26" t="str">
        <f>$Z$6</f>
        <v>J2</v>
      </c>
      <c r="AA38" s="27" t="str">
        <f ca="1">A37</f>
        <v>Alemania</v>
      </c>
      <c r="AB38" s="49" t="str" cm="1">
        <f t="array" aca="1" ref="AB38" ca="1">Ver_flag_local</f>
        <v/>
      </c>
      <c r="AC38" s="50">
        <v>2</v>
      </c>
      <c r="AD38" s="51">
        <v>1</v>
      </c>
      <c r="AE38" s="571" t="str" cm="1">
        <f t="array" aca="1" ref="AE38" ca="1">Ver_flag_visit</f>
        <v/>
      </c>
      <c r="AF38" s="32" t="str">
        <f ca="1">A39</f>
        <v>Costa de Marfil</v>
      </c>
      <c r="AG38" s="306">
        <f t="shared" si="124"/>
        <v>1</v>
      </c>
      <c r="AH38" s="185">
        <v>33</v>
      </c>
      <c r="AI38" s="171" t="str">
        <f>AJ38&amp;$B$36</f>
        <v>1E</v>
      </c>
      <c r="AJ38" s="40">
        <v>1</v>
      </c>
      <c r="AK38" s="577" t="str" cm="1">
        <f t="array" aca="1" ref="AK38" ca="1">Ver_flag_visit</f>
        <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2</v>
      </c>
      <c r="AT38" s="41">
        <f t="shared" ca="1" si="127"/>
        <v>6</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6</v>
      </c>
      <c r="BK38" s="16">
        <f t="shared" ca="1" si="21"/>
        <v>1</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60"/>
      <c r="X39" s="24">
        <f ca="1">Horarios!C39</f>
        <v>46194.083333333336</v>
      </c>
      <c r="Y39" s="25">
        <f ca="1">Horarios!C39</f>
        <v>46194.083333333336</v>
      </c>
      <c r="Z39" s="26" t="str">
        <f>$Z$6</f>
        <v>J2</v>
      </c>
      <c r="AA39" s="27" t="str">
        <f ca="1">A40</f>
        <v>Ecuador</v>
      </c>
      <c r="AB39" s="49" t="str" cm="1">
        <f t="array" aca="1" ref="AB39" ca="1">Ver_flag_local</f>
        <v/>
      </c>
      <c r="AC39" s="50">
        <v>2</v>
      </c>
      <c r="AD39" s="51">
        <v>0</v>
      </c>
      <c r="AE39" s="571" t="str" cm="1">
        <f t="array" aca="1" ref="AE39" ca="1">Ver_flag_visit</f>
        <v/>
      </c>
      <c r="AF39" s="32" t="str">
        <f ca="1">A38</f>
        <v>Curazao</v>
      </c>
      <c r="AG39" s="306">
        <f t="shared" si="124"/>
        <v>1</v>
      </c>
      <c r="AH39" s="185">
        <v>34</v>
      </c>
      <c r="AI39" s="171" t="str">
        <f t="shared" ref="AI39:AI41" si="128">AJ39&amp;$B$36</f>
        <v>2E</v>
      </c>
      <c r="AJ39" s="42">
        <v>2</v>
      </c>
      <c r="AK39" s="578" t="str" cm="1">
        <f t="array" aca="1" ref="AK39" ca="1">Ver_flag_visit</f>
        <v/>
      </c>
      <c r="AL39" s="37" t="str">
        <f ca="1">IFERROR(INDEX($BD$6:$BD$53,MATCH(AI39,$BN$6:$BN$53,0)),"")</f>
        <v>Costa de Marfil</v>
      </c>
      <c r="AM39" s="38">
        <f t="shared" ca="1" si="127"/>
        <v>4</v>
      </c>
      <c r="AN39" s="39">
        <f t="shared" ca="1" si="127"/>
        <v>3</v>
      </c>
      <c r="AO39" s="39">
        <f t="shared" ca="1" si="127"/>
        <v>1</v>
      </c>
      <c r="AP39" s="39">
        <f t="shared" ca="1" si="127"/>
        <v>1</v>
      </c>
      <c r="AQ39" s="39">
        <f t="shared" ca="1" si="127"/>
        <v>1</v>
      </c>
      <c r="AR39" s="39">
        <f t="shared" ca="1" si="127"/>
        <v>4</v>
      </c>
      <c r="AS39" s="39">
        <f t="shared" ca="1" si="127"/>
        <v>3</v>
      </c>
      <c r="AT39" s="43">
        <f t="shared" ca="1" si="127"/>
        <v>1</v>
      </c>
      <c r="AU39" s="313">
        <f ca="1">INDEX($DL$6:$DL$53,MATCH(AI39,$DP$6:$DP$53,0))</f>
        <v>1</v>
      </c>
      <c r="AV39" s="172" t="str">
        <f ca="1">INDEX($BD$6:$BD$53,MATCH(AI39,$BM$6:$BM$53,0))</f>
        <v>Costa de Marfil</v>
      </c>
      <c r="AW39" s="200"/>
      <c r="AX39" s="161"/>
      <c r="AY39" s="193" t="str">
        <f ca="1">+A38</f>
        <v>Curazao</v>
      </c>
      <c r="AZ39" s="194"/>
      <c r="BA39" s="16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4</v>
      </c>
      <c r="BK39" s="16">
        <f t="shared" ca="1" si="21"/>
        <v>4</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60"/>
      <c r="X40" s="24">
        <f ca="1">Horarios!C40</f>
        <v>46198.916666666664</v>
      </c>
      <c r="Y40" s="25">
        <f ca="1">Horarios!C40</f>
        <v>46198.916666666664</v>
      </c>
      <c r="Z40" s="26" t="str">
        <f>$Z$8</f>
        <v>J3</v>
      </c>
      <c r="AA40" s="27" t="str">
        <f ca="1">A38</f>
        <v>Curazao</v>
      </c>
      <c r="AB40" s="49" t="str" cm="1">
        <f t="array" aca="1" ref="AB40" ca="1">Ver_flag_local</f>
        <v/>
      </c>
      <c r="AC40" s="50">
        <v>0</v>
      </c>
      <c r="AD40" s="51">
        <v>2</v>
      </c>
      <c r="AE40" s="571" t="str" cm="1">
        <f t="array" aca="1" ref="AE40" ca="1">Ver_flag_visit</f>
        <v/>
      </c>
      <c r="AF40" s="32" t="str">
        <f ca="1">A39</f>
        <v>Costa de Marfil</v>
      </c>
      <c r="AG40" s="306">
        <f t="shared" si="124"/>
        <v>1</v>
      </c>
      <c r="AH40" s="185">
        <v>55</v>
      </c>
      <c r="AI40" s="171" t="str">
        <f t="shared" si="128"/>
        <v>3E</v>
      </c>
      <c r="AJ40" s="42">
        <v>3</v>
      </c>
      <c r="AK40" s="578" t="str" cm="1">
        <f t="array" aca="1" ref="AK40" ca="1">Ver_flag_visit</f>
        <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4</v>
      </c>
      <c r="AS40" s="39">
        <f t="shared" ca="1" si="127"/>
        <v>4</v>
      </c>
      <c r="AT40" s="43">
        <f t="shared" ca="1" si="127"/>
        <v>0</v>
      </c>
      <c r="AU40" s="313">
        <f ca="1">INDEX($DL$6:$DL$53,MATCH(AI40,$DP$6:$DP$53,0))</f>
        <v>1</v>
      </c>
      <c r="AV40" s="172" t="str">
        <f ca="1">INDEX($BD$6:$BD$53,MATCH(AI40,$BM$6:$BM$53,0))</f>
        <v>Ecuador</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6</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61"/>
      <c r="X41" s="28">
        <f ca="1">Horarios!C41</f>
        <v>46198.916666666664</v>
      </c>
      <c r="Y41" s="29">
        <f ca="1">Horarios!C41</f>
        <v>46198.916666666664</v>
      </c>
      <c r="Z41" s="30" t="str">
        <f>$Z$8</f>
        <v>J3</v>
      </c>
      <c r="AA41" s="31" t="str">
        <f ca="1">A40</f>
        <v>Ecuador</v>
      </c>
      <c r="AB41" s="52" t="str" cm="1">
        <f t="array" aca="1" ref="AB41" ca="1">Ver_flag_local</f>
        <v/>
      </c>
      <c r="AC41" s="50">
        <v>1</v>
      </c>
      <c r="AD41" s="51">
        <v>3</v>
      </c>
      <c r="AE41" s="572" t="str" cm="1">
        <f t="array" aca="1" ref="AE41" ca="1">Ver_flag_visit</f>
        <v/>
      </c>
      <c r="AF41" s="33" t="str">
        <f ca="1">A37</f>
        <v>Alemania</v>
      </c>
      <c r="AG41" s="306">
        <f t="shared" si="124"/>
        <v>1</v>
      </c>
      <c r="AH41" s="185">
        <v>56</v>
      </c>
      <c r="AI41" s="171" t="str">
        <f t="shared" si="128"/>
        <v>4E</v>
      </c>
      <c r="AJ41" s="44">
        <v>4</v>
      </c>
      <c r="AK41" s="580"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7</v>
      </c>
      <c r="AT41" s="48">
        <f t="shared" ca="1" si="127"/>
        <v>-7</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4</v>
      </c>
      <c r="BK41" s="16">
        <f t="shared" ca="1" si="21"/>
        <v>3</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6</v>
      </c>
      <c r="BF43" s="16">
        <f t="shared" ca="1" si="41"/>
        <v>3</v>
      </c>
      <c r="BG43" s="16">
        <f t="shared" ca="1" si="17"/>
        <v>2</v>
      </c>
      <c r="BH43" s="16">
        <f t="shared" ca="1" si="18"/>
        <v>0</v>
      </c>
      <c r="BI43" s="16">
        <f t="shared" ca="1" si="19"/>
        <v>1</v>
      </c>
      <c r="BJ43" s="16">
        <f t="shared" ca="1" si="20"/>
        <v>4</v>
      </c>
      <c r="BK43" s="16">
        <f t="shared" ca="1" si="21"/>
        <v>3</v>
      </c>
      <c r="BL43" s="16">
        <f t="shared" ca="1" si="42"/>
        <v>1</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6</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Argelia</v>
      </c>
    </row>
    <row r="44" spans="1:121" ht="16.0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23" t="s">
        <v>4</v>
      </c>
      <c r="X44" s="24">
        <f ca="1">Horarios!C44</f>
        <v>46187.916666666664</v>
      </c>
      <c r="Y44" s="25">
        <f ca="1">Horarios!C44</f>
        <v>46187.916666666664</v>
      </c>
      <c r="Z44" s="26" t="str">
        <f>$Z$4</f>
        <v>J1</v>
      </c>
      <c r="AA44" s="27" t="str">
        <f ca="1">A45</f>
        <v>Países Bajos</v>
      </c>
      <c r="AB44" s="49" t="str" cm="1">
        <f t="array" aca="1" ref="AB44" ca="1">Ver_flag_local</f>
        <v/>
      </c>
      <c r="AC44" s="50">
        <v>2</v>
      </c>
      <c r="AD44" s="51">
        <v>1</v>
      </c>
      <c r="AE44" s="571" t="str" cm="1">
        <f t="array" aca="1" ref="AE44" ca="1">Ver_flag_visit</f>
        <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1</v>
      </c>
      <c r="BF44" s="16">
        <f t="shared" ca="1" si="41"/>
        <v>3</v>
      </c>
      <c r="BG44" s="16">
        <f t="shared" ca="1" si="17"/>
        <v>0</v>
      </c>
      <c r="BH44" s="16">
        <f t="shared" ca="1" si="18"/>
        <v>1</v>
      </c>
      <c r="BI44" s="16">
        <f t="shared" ca="1" si="19"/>
        <v>2</v>
      </c>
      <c r="BJ44" s="16">
        <f t="shared" ca="1" si="20"/>
        <v>3</v>
      </c>
      <c r="BK44" s="16">
        <f t="shared" ca="1" si="21"/>
        <v>5</v>
      </c>
      <c r="BL44" s="16">
        <f t="shared" ca="1" si="42"/>
        <v>-2</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1</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P.3 (2)</v>
      </c>
      <c r="BU44" s="16">
        <f t="shared" ca="1" si="24"/>
        <v>0</v>
      </c>
      <c r="BV44" s="16">
        <f t="shared" ca="1" si="25"/>
        <v>1</v>
      </c>
      <c r="BW44" s="16">
        <f t="shared" ca="1" si="26"/>
        <v>0</v>
      </c>
      <c r="BX44" s="16">
        <f t="shared" ca="1" si="48"/>
        <v>1</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P.3 (2)</v>
      </c>
      <c r="CA44" s="16">
        <f t="shared" ca="1" si="27"/>
        <v>1</v>
      </c>
      <c r="CB44" s="16">
        <f t="shared" ca="1" si="28"/>
        <v>1</v>
      </c>
      <c r="CC44" s="16">
        <f t="shared" ca="1" si="49"/>
        <v>0</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P.3 (2)</v>
      </c>
      <c r="CF44" s="16">
        <f t="shared" ca="1" si="29"/>
        <v>1</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P.3 (2)</v>
      </c>
      <c r="CI44" s="16">
        <f t="shared" ca="1" si="30"/>
        <v>0</v>
      </c>
      <c r="CJ44" s="16">
        <f t="shared" ca="1" si="31"/>
        <v>1</v>
      </c>
      <c r="CK44" s="16">
        <f t="shared" ca="1" si="32"/>
        <v>0</v>
      </c>
      <c r="CL44" s="16">
        <f t="shared" ca="1" si="50"/>
        <v>1</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P.3 (2)</v>
      </c>
      <c r="CO44" s="16">
        <f t="shared" ca="1" si="33"/>
        <v>1</v>
      </c>
      <c r="CP44" s="16">
        <f t="shared" ca="1" si="34"/>
        <v>1</v>
      </c>
      <c r="CQ44" s="16">
        <f t="shared" ca="1" si="51"/>
        <v>0</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P.3 (2)</v>
      </c>
      <c r="CT44" s="16">
        <f t="shared" ca="1" si="35"/>
        <v>1</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P.3 (2)</v>
      </c>
      <c r="CW44" s="16">
        <f t="shared" ca="1" si="36"/>
        <v>-2</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Austria</v>
      </c>
    </row>
    <row r="45" spans="1:121" ht="16.05" customHeight="1">
      <c r="A45" s="16" t="str">
        <f ca="1">+Equipos!B22</f>
        <v>Países Bajos</v>
      </c>
      <c r="B45" s="16"/>
      <c r="C45" s="16"/>
      <c r="D45" s="16" t="str">
        <f t="shared" si="131"/>
        <v>Empate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23"/>
      <c r="X45" s="24">
        <f ca="1">Horarios!C45</f>
        <v>46188.166666666664</v>
      </c>
      <c r="Y45" s="25">
        <f ca="1">Horarios!C45</f>
        <v>46188.166666666664</v>
      </c>
      <c r="Z45" s="26" t="str">
        <f>$Z$4</f>
        <v>J1</v>
      </c>
      <c r="AA45" s="27" t="str">
        <f ca="1">A47</f>
        <v>Suecia</v>
      </c>
      <c r="AB45" s="49" t="str" cm="1">
        <f t="array" aca="1" ref="AB45" ca="1">Ver_flag_local</f>
        <v/>
      </c>
      <c r="AC45" s="50">
        <v>1</v>
      </c>
      <c r="AD45" s="51">
        <v>1</v>
      </c>
      <c r="AE45" s="571" t="str" cm="1">
        <f t="array" aca="1" ref="AE45" ca="1">Ver_flag_visit</f>
        <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6</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-5</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05" customHeight="1">
      <c r="A46" s="16" t="str">
        <f ca="1">+Equipos!B23</f>
        <v>Japón</v>
      </c>
      <c r="B46" s="16"/>
      <c r="C46" s="16"/>
      <c r="D46" s="16" t="str">
        <f t="shared" si="131"/>
        <v>Empate</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23"/>
      <c r="X46" s="24">
        <f ca="1">Horarios!C46</f>
        <v>46193.791666666664</v>
      </c>
      <c r="Y46" s="25">
        <f ca="1">Horarios!C46</f>
        <v>46193.791666666664</v>
      </c>
      <c r="Z46" s="26" t="str">
        <f>$Z$6</f>
        <v>J2</v>
      </c>
      <c r="AA46" s="27" t="str">
        <f ca="1">A45</f>
        <v>Países Bajos</v>
      </c>
      <c r="AB46" s="49" t="str" cm="1">
        <f t="array" aca="1" ref="AB46" ca="1">Ver_flag_local</f>
        <v/>
      </c>
      <c r="AC46" s="50">
        <v>1</v>
      </c>
      <c r="AD46" s="51">
        <v>1</v>
      </c>
      <c r="AE46" s="571" t="str" cm="1">
        <f t="array" aca="1" ref="AE46" ca="1">Ver_flag_visit</f>
        <v/>
      </c>
      <c r="AF46" s="32" t="str">
        <f ca="1">A47</f>
        <v>Suecia</v>
      </c>
      <c r="AG46" s="306">
        <f t="shared" si="144"/>
        <v>1</v>
      </c>
      <c r="AH46" s="185">
        <v>35</v>
      </c>
      <c r="AI46" s="171" t="str">
        <f>AJ46&amp;$B$44</f>
        <v>1F</v>
      </c>
      <c r="AJ46" s="40">
        <v>1</v>
      </c>
      <c r="AK46" s="577"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2</v>
      </c>
      <c r="AT46" s="41">
        <f t="shared" ca="1" si="147"/>
        <v>3</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6</v>
      </c>
      <c r="BK46" s="16">
        <f t="shared" ca="1" si="21"/>
        <v>2</v>
      </c>
      <c r="BL46" s="16">
        <f t="shared" ca="1" si="42"/>
        <v>4</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23"/>
      <c r="X47" s="24">
        <f ca="1">Horarios!C47</f>
        <v>46194.25</v>
      </c>
      <c r="Y47" s="25">
        <f ca="1">Horarios!C47</f>
        <v>46194.25</v>
      </c>
      <c r="Z47" s="26" t="str">
        <f>$Z$6</f>
        <v>J2</v>
      </c>
      <c r="AA47" s="27" t="str">
        <f ca="1">A48</f>
        <v>Túnez</v>
      </c>
      <c r="AB47" s="49" t="str" cm="1">
        <f t="array" aca="1" ref="AB47" ca="1">Ver_flag_local</f>
        <v/>
      </c>
      <c r="AC47" s="50">
        <v>1</v>
      </c>
      <c r="AD47" s="51">
        <v>2</v>
      </c>
      <c r="AE47" s="571" t="str" cm="1">
        <f t="array" aca="1" ref="AE47" ca="1">Ver_flag_visit</f>
        <v/>
      </c>
      <c r="AF47" s="32" t="str">
        <f ca="1">A46</f>
        <v>Japón</v>
      </c>
      <c r="AG47" s="306">
        <f t="shared" si="144"/>
        <v>1</v>
      </c>
      <c r="AH47" s="185">
        <v>36</v>
      </c>
      <c r="AI47" s="171" t="str">
        <f t="shared" ref="AI47:AI49" si="148">AJ47&amp;$B$44</f>
        <v>2F</v>
      </c>
      <c r="AJ47" s="42">
        <v>2</v>
      </c>
      <c r="AK47" s="578" t="str" cm="1">
        <f t="array" aca="1" ref="AK47" ca="1">Ver_flag_visit</f>
        <v/>
      </c>
      <c r="AL47" s="37" t="str">
        <f ca="1">IFERROR(INDEX($BD$6:$BD$53,MATCH(AI47,$BN$6:$BN$53,0)),"")</f>
        <v>Suecia</v>
      </c>
      <c r="AM47" s="38">
        <f t="shared" ca="1" si="147"/>
        <v>5</v>
      </c>
      <c r="AN47" s="39">
        <f t="shared" ca="1" si="147"/>
        <v>3</v>
      </c>
      <c r="AO47" s="39">
        <f t="shared" ca="1" si="147"/>
        <v>1</v>
      </c>
      <c r="AP47" s="39">
        <f t="shared" ca="1" si="147"/>
        <v>2</v>
      </c>
      <c r="AQ47" s="39">
        <f t="shared" ca="1" si="147"/>
        <v>0</v>
      </c>
      <c r="AR47" s="39">
        <f t="shared" ca="1" si="147"/>
        <v>4</v>
      </c>
      <c r="AS47" s="39">
        <f t="shared" ca="1" si="147"/>
        <v>3</v>
      </c>
      <c r="AT47" s="43">
        <f t="shared" ca="1" si="147"/>
        <v>1</v>
      </c>
      <c r="AU47" s="313">
        <f ca="1">INDEX($DL$6:$DL$53,MATCH(AI47,$DP$6:$DP$53,0))</f>
        <v>1</v>
      </c>
      <c r="AV47" s="172" t="str">
        <f ca="1">INDEX($BD$6:$BD$53,MATCH(AI47,$BM$6:$BM$53,0))</f>
        <v>Suecia</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5</v>
      </c>
      <c r="BL47" s="16">
        <f t="shared" ca="1" si="42"/>
        <v>-3</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05" customHeight="1">
      <c r="A48" s="16" t="str">
        <f ca="1">+Equipos!B25</f>
        <v>Túnez</v>
      </c>
      <c r="B48" s="16"/>
      <c r="C48" s="16"/>
      <c r="D48" s="16" t="str">
        <f t="shared" si="131"/>
        <v>Visitante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23"/>
      <c r="X48" s="24">
        <f ca="1">Horarios!C48</f>
        <v>46199.041666666664</v>
      </c>
      <c r="Y48" s="25">
        <f ca="1">Horarios!C48</f>
        <v>46199.041666666664</v>
      </c>
      <c r="Z48" s="26" t="str">
        <f>$Z$8</f>
        <v>J3</v>
      </c>
      <c r="AA48" s="27" t="str">
        <f ca="1">A46</f>
        <v>Japón</v>
      </c>
      <c r="AB48" s="49" t="str" cm="1">
        <f t="array" aca="1" ref="AB48" ca="1">Ver_flag_local</f>
        <v/>
      </c>
      <c r="AC48" s="50">
        <v>1</v>
      </c>
      <c r="AD48" s="51">
        <v>2</v>
      </c>
      <c r="AE48" s="571" t="str" cm="1">
        <f t="array" aca="1" ref="AE48" ca="1">Ver_flag_visit</f>
        <v/>
      </c>
      <c r="AF48" s="32" t="str">
        <f ca="1">A47</f>
        <v>Suecia</v>
      </c>
      <c r="AG48" s="306">
        <f t="shared" si="144"/>
        <v>1</v>
      </c>
      <c r="AH48" s="185">
        <v>57</v>
      </c>
      <c r="AI48" s="171" t="str">
        <f t="shared" si="148"/>
        <v>3F</v>
      </c>
      <c r="AJ48" s="42">
        <v>3</v>
      </c>
      <c r="AK48" s="578" t="str" cm="1">
        <f t="array" aca="1" ref="AK48" ca="1">Ver_flag_visit</f>
        <v/>
      </c>
      <c r="AL48" s="37" t="str">
        <f ca="1">IFERROR(INDEX($BD$6:$BD$53,MATCH(AI48,$BN$6:$BN$53,0)),"")</f>
        <v>Japón</v>
      </c>
      <c r="AM48" s="38">
        <f t="shared" ca="1" si="147"/>
        <v>3</v>
      </c>
      <c r="AN48" s="39">
        <f t="shared" ca="1" si="147"/>
        <v>3</v>
      </c>
      <c r="AO48" s="39">
        <f t="shared" ca="1" si="147"/>
        <v>1</v>
      </c>
      <c r="AP48" s="39">
        <f t="shared" ca="1" si="147"/>
        <v>0</v>
      </c>
      <c r="AQ48" s="39">
        <f t="shared" ca="1" si="147"/>
        <v>2</v>
      </c>
      <c r="AR48" s="39">
        <f t="shared" ca="1" si="147"/>
        <v>4</v>
      </c>
      <c r="AS48" s="39">
        <f t="shared" ca="1" si="147"/>
        <v>5</v>
      </c>
      <c r="AT48" s="43">
        <f t="shared" ca="1" si="147"/>
        <v>-1</v>
      </c>
      <c r="AU48" s="313">
        <f ca="1">INDEX($DL$6:$DL$53,MATCH(AI48,$DP$6:$DP$53,0))</f>
        <v>1</v>
      </c>
      <c r="AV48" s="172" t="str">
        <f ca="1">INDEX($BD$6:$BD$53,MATCH(AI48,$BM$6:$BM$53,0))</f>
        <v>Japón</v>
      </c>
      <c r="AW48" s="200"/>
      <c r="AX48" s="161"/>
      <c r="AY48" s="191" t="str">
        <f ca="1">+A47</f>
        <v>Suecia</v>
      </c>
      <c r="AZ48" s="192"/>
      <c r="BA48" s="166"/>
      <c r="BC48" s="16" t="str">
        <f ca="1">+INDEX(T_Equipos[Grupo],MATCH(WORLDCUP!BD48,T_Equipos[NombreEquipo],0))</f>
        <v>K</v>
      </c>
      <c r="BD48" s="16" t="str">
        <f ca="1">+Equipos!B44</f>
        <v>Uzbekistán</v>
      </c>
      <c r="BE48" s="16">
        <f t="shared" ca="1" si="16"/>
        <v>2</v>
      </c>
      <c r="BF48" s="16">
        <f t="shared" ca="1" si="41"/>
        <v>3</v>
      </c>
      <c r="BG48" s="16">
        <f t="shared" ca="1" si="17"/>
        <v>0</v>
      </c>
      <c r="BH48" s="16">
        <f t="shared" ca="1" si="18"/>
        <v>2</v>
      </c>
      <c r="BI48" s="16">
        <f t="shared" ca="1" si="19"/>
        <v>1</v>
      </c>
      <c r="BJ48" s="16">
        <f t="shared" ca="1" si="20"/>
        <v>2</v>
      </c>
      <c r="BK48" s="16">
        <f t="shared" ca="1" si="21"/>
        <v>4</v>
      </c>
      <c r="BL48" s="16">
        <f t="shared" ca="1" si="42"/>
        <v>-2</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2</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24"/>
      <c r="X49" s="28">
        <f ca="1">Horarios!C49</f>
        <v>46199.041666666664</v>
      </c>
      <c r="Y49" s="29">
        <f ca="1">Horarios!C49</f>
        <v>46199.041666666664</v>
      </c>
      <c r="Z49" s="30" t="str">
        <f>$Z$8</f>
        <v>J3</v>
      </c>
      <c r="AA49" s="31" t="str">
        <f ca="1">A48</f>
        <v>Túnez</v>
      </c>
      <c r="AB49" s="52" t="str" cm="1">
        <f t="array" aca="1" ref="AB49" ca="1">Ver_flag_local</f>
        <v/>
      </c>
      <c r="AC49" s="50">
        <v>0</v>
      </c>
      <c r="AD49" s="51">
        <v>2</v>
      </c>
      <c r="AE49" s="572" t="str" cm="1">
        <f t="array" aca="1" ref="AE49" ca="1">Ver_flag_visit</f>
        <v/>
      </c>
      <c r="AF49" s="33" t="str">
        <f ca="1">A45</f>
        <v>Países Bajos</v>
      </c>
      <c r="AG49" s="306">
        <f t="shared" si="144"/>
        <v>1</v>
      </c>
      <c r="AH49" s="185">
        <v>58</v>
      </c>
      <c r="AI49" s="171" t="str">
        <f t="shared" si="148"/>
        <v>4F</v>
      </c>
      <c r="AJ49" s="44">
        <v>4</v>
      </c>
      <c r="AK49" s="580" t="str" cm="1">
        <f t="array" aca="1" ref="AK49" ca="1">Ver_flag_visit</f>
        <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2</v>
      </c>
      <c r="AS49" s="47">
        <f t="shared" ca="1" si="147"/>
        <v>5</v>
      </c>
      <c r="AT49" s="48">
        <f t="shared" ca="1" si="147"/>
        <v>-3</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4</v>
      </c>
      <c r="BF49" s="16">
        <f t="shared" ca="1" si="41"/>
        <v>3</v>
      </c>
      <c r="BG49" s="16">
        <f t="shared" ca="1" si="17"/>
        <v>1</v>
      </c>
      <c r="BH49" s="16">
        <f t="shared" ca="1" si="18"/>
        <v>1</v>
      </c>
      <c r="BI49" s="16">
        <f t="shared" ca="1" si="19"/>
        <v>1</v>
      </c>
      <c r="BJ49" s="16">
        <f t="shared" ca="1" si="20"/>
        <v>4</v>
      </c>
      <c r="BK49" s="16">
        <f t="shared" ca="1" si="21"/>
        <v>3</v>
      </c>
      <c r="BL49" s="16">
        <f t="shared" ca="1" si="42"/>
        <v>1</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4</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RD Congo</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1</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4</v>
      </c>
      <c r="BK51" s="16">
        <f t="shared" ca="1" si="21"/>
        <v>4</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43" t="s">
        <v>6</v>
      </c>
      <c r="X52" s="24">
        <f ca="1">Horarios!C52</f>
        <v>46188.875</v>
      </c>
      <c r="Y52" s="25">
        <f ca="1">Horarios!C52</f>
        <v>46188.875</v>
      </c>
      <c r="Z52" s="26" t="str">
        <f>$Z$4</f>
        <v>J1</v>
      </c>
      <c r="AA52" s="27" t="str">
        <f ca="1">A53</f>
        <v>Bélgica</v>
      </c>
      <c r="AB52" s="49" t="str" cm="1">
        <f t="array" aca="1" ref="AB52" ca="1">Ver_flag_local</f>
        <v/>
      </c>
      <c r="AC52" s="50">
        <v>2</v>
      </c>
      <c r="AD52" s="51">
        <v>1</v>
      </c>
      <c r="AE52" s="571" t="str" cm="1">
        <f t="array" aca="1" ref="AE52" ca="1">Ver_flag_visit</f>
        <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4</v>
      </c>
      <c r="BK52" s="16">
        <f t="shared" ca="1" si="21"/>
        <v>4</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43"/>
      <c r="X53" s="24">
        <f ca="1">Horarios!C53</f>
        <v>46189.125</v>
      </c>
      <c r="Y53" s="25">
        <f ca="1">Horarios!C53</f>
        <v>46189.125</v>
      </c>
      <c r="Z53" s="26" t="str">
        <f>$Z$4</f>
        <v>J1</v>
      </c>
      <c r="AA53" s="27" t="str">
        <f ca="1">A55</f>
        <v>Irán</v>
      </c>
      <c r="AB53" s="49" t="str" cm="1">
        <f t="array" aca="1" ref="AB53" ca="1">Ver_flag_local</f>
        <v/>
      </c>
      <c r="AC53" s="50">
        <v>1</v>
      </c>
      <c r="AD53" s="51">
        <v>1</v>
      </c>
      <c r="AE53" s="571" t="str" cm="1">
        <f t="array" aca="1" ref="AE53" ca="1">Ver_flag_visit</f>
        <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7</v>
      </c>
      <c r="BL53" s="16">
        <f t="shared" ca="1" si="42"/>
        <v>-6</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05" customHeight="1">
      <c r="A54" s="16" t="str">
        <f ca="1">+Equipos!B27</f>
        <v>Egipto</v>
      </c>
      <c r="B54" s="16"/>
      <c r="C54" s="16"/>
      <c r="D54" s="16" t="str">
        <f t="shared" si="149"/>
        <v>Empate</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43"/>
      <c r="X54" s="24">
        <f ca="1">Horarios!C54</f>
        <v>46194.875</v>
      </c>
      <c r="Y54" s="25">
        <f ca="1">Horarios!C54</f>
        <v>46194.875</v>
      </c>
      <c r="Z54" s="26" t="str">
        <f>$Z$6</f>
        <v>J2</v>
      </c>
      <c r="AA54" s="27" t="str">
        <f ca="1">A53</f>
        <v>Bélgica</v>
      </c>
      <c r="AB54" s="49" t="str" cm="1">
        <f t="array" aca="1" ref="AB54" ca="1">Ver_flag_local</f>
        <v/>
      </c>
      <c r="AC54" s="50">
        <v>1</v>
      </c>
      <c r="AD54" s="51">
        <v>1</v>
      </c>
      <c r="AE54" s="571" t="str" cm="1">
        <f t="array" aca="1" ref="AE54" ca="1">Ver_flag_visit</f>
        <v/>
      </c>
      <c r="AF54" s="32" t="str">
        <f ca="1">A55</f>
        <v>Irán</v>
      </c>
      <c r="AG54" s="306">
        <f t="shared" si="162"/>
        <v>1</v>
      </c>
      <c r="AH54" s="185">
        <v>39</v>
      </c>
      <c r="AI54" s="171" t="str">
        <f>AJ54&amp;$B$52</f>
        <v>1G</v>
      </c>
      <c r="AJ54" s="40">
        <v>1</v>
      </c>
      <c r="AK54" s="577" t="str" cm="1">
        <f t="array" aca="1" ref="AK54" ca="1">Ver_flag_visit</f>
        <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6</v>
      </c>
      <c r="AS54" s="36">
        <f t="shared" ca="1" si="165"/>
        <v>2</v>
      </c>
      <c r="AT54" s="41">
        <f t="shared" ca="1" si="165"/>
        <v>4</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43"/>
      <c r="X55" s="24">
        <f ca="1">Horarios!C55</f>
        <v>46195.125</v>
      </c>
      <c r="Y55" s="25">
        <f ca="1">Horarios!C55</f>
        <v>46195.125</v>
      </c>
      <c r="Z55" s="26" t="str">
        <f>$Z$6</f>
        <v>J2</v>
      </c>
      <c r="AA55" s="27" t="str">
        <f ca="1">A56</f>
        <v>Nueva Zelanda</v>
      </c>
      <c r="AB55" s="49" t="str" cm="1">
        <f t="array" aca="1" ref="AB55" ca="1">Ver_flag_local</f>
        <v/>
      </c>
      <c r="AC55" s="50">
        <v>0</v>
      </c>
      <c r="AD55" s="51">
        <v>2</v>
      </c>
      <c r="AE55" s="571" t="str" cm="1">
        <f t="array" aca="1" ref="AE55" ca="1">Ver_flag_visit</f>
        <v/>
      </c>
      <c r="AF55" s="32" t="str">
        <f ca="1">A54</f>
        <v>Egipto</v>
      </c>
      <c r="AG55" s="306">
        <f t="shared" si="162"/>
        <v>1</v>
      </c>
      <c r="AH55" s="185">
        <v>40</v>
      </c>
      <c r="AI55" s="171" t="str">
        <f t="shared" ref="AI55:AI57" si="166">AJ55&amp;$B$52</f>
        <v>2G</v>
      </c>
      <c r="AJ55" s="42">
        <v>2</v>
      </c>
      <c r="AK55" s="578" t="str" cm="1">
        <f t="array" aca="1" ref="AK55" ca="1">Ver_flag_visit</f>
        <v/>
      </c>
      <c r="AL55" s="37" t="str">
        <f ca="1">IFERROR(INDEX($BD$6:$BD$53,MATCH(AI55,$BN$6:$BN$53,0)),"")</f>
        <v>Irán</v>
      </c>
      <c r="AM55" s="38">
        <f t="shared" ca="1" si="165"/>
        <v>5</v>
      </c>
      <c r="AN55" s="39">
        <f t="shared" ca="1" si="165"/>
        <v>3</v>
      </c>
      <c r="AO55" s="39">
        <f t="shared" ca="1" si="165"/>
        <v>1</v>
      </c>
      <c r="AP55" s="39">
        <f t="shared" ca="1" si="165"/>
        <v>2</v>
      </c>
      <c r="AQ55" s="39">
        <f t="shared" ca="1" si="165"/>
        <v>0</v>
      </c>
      <c r="AR55" s="39">
        <f t="shared" ca="1" si="165"/>
        <v>4</v>
      </c>
      <c r="AS55" s="39">
        <f t="shared" ca="1" si="165"/>
        <v>3</v>
      </c>
      <c r="AT55" s="43">
        <f t="shared" ca="1" si="165"/>
        <v>1</v>
      </c>
      <c r="AU55" s="313">
        <f ca="1">INDEX($DL$6:$DL$53,MATCH(AI55,$DP$6:$DP$53,0))</f>
        <v>1</v>
      </c>
      <c r="AV55" s="172" t="str">
        <f ca="1">INDEX($BD$6:$BD$53,MATCH(AI55,$BM$6:$BM$53,0))</f>
        <v>Irán</v>
      </c>
      <c r="AW55" s="200"/>
      <c r="AX55" s="161"/>
      <c r="AY55" s="193" t="str">
        <f ca="1">+A54</f>
        <v>Egipto</v>
      </c>
      <c r="AZ55" s="194"/>
      <c r="BA55" s="166"/>
    </row>
    <row r="56" spans="1:121" ht="16.05" customHeight="1">
      <c r="A56" s="16" t="str">
        <f ca="1">+Equipos!B29</f>
        <v>Nueva Zelanda</v>
      </c>
      <c r="B56" s="16"/>
      <c r="C56" s="16"/>
      <c r="D56" s="16" t="str">
        <f t="shared" si="149"/>
        <v>Visitante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43"/>
      <c r="X56" s="24">
        <f ca="1">Horarios!C56</f>
        <v>46200.208333333336</v>
      </c>
      <c r="Y56" s="25">
        <f ca="1">Horarios!C56</f>
        <v>46200.208333333336</v>
      </c>
      <c r="Z56" s="26" t="str">
        <f>$Z$8</f>
        <v>J3</v>
      </c>
      <c r="AA56" s="27" t="str">
        <f ca="1">A54</f>
        <v>Egipto</v>
      </c>
      <c r="AB56" s="49" t="str" cm="1">
        <f t="array" aca="1" ref="AB56" ca="1">Ver_flag_local</f>
        <v/>
      </c>
      <c r="AC56" s="50">
        <v>1</v>
      </c>
      <c r="AD56" s="51">
        <v>2</v>
      </c>
      <c r="AE56" s="571" t="str" cm="1">
        <f t="array" aca="1" ref="AE56" ca="1">Ver_flag_visit</f>
        <v/>
      </c>
      <c r="AF56" s="32" t="str">
        <f ca="1">A55</f>
        <v>Irán</v>
      </c>
      <c r="AG56" s="306">
        <f t="shared" si="162"/>
        <v>1</v>
      </c>
      <c r="AH56" s="185">
        <v>63</v>
      </c>
      <c r="AI56" s="171" t="str">
        <f t="shared" si="166"/>
        <v>3G</v>
      </c>
      <c r="AJ56" s="42">
        <v>3</v>
      </c>
      <c r="AK56" s="578" t="str" cm="1">
        <f t="array" aca="1" ref="AK56" ca="1">Ver_flag_visit</f>
        <v/>
      </c>
      <c r="AL56" s="37" t="str">
        <f ca="1">IFERROR(INDEX($BD$6:$BD$53,MATCH(AI56,$BN$6:$BN$53,0)),"")</f>
        <v>Egipto</v>
      </c>
      <c r="AM56" s="38">
        <f t="shared" ca="1" si="165"/>
        <v>3</v>
      </c>
      <c r="AN56" s="39">
        <f t="shared" ca="1" si="165"/>
        <v>3</v>
      </c>
      <c r="AO56" s="39">
        <f t="shared" ca="1" si="165"/>
        <v>1</v>
      </c>
      <c r="AP56" s="39">
        <f t="shared" ca="1" si="165"/>
        <v>0</v>
      </c>
      <c r="AQ56" s="39">
        <f t="shared" ca="1" si="165"/>
        <v>2</v>
      </c>
      <c r="AR56" s="39">
        <f t="shared" ca="1" si="165"/>
        <v>4</v>
      </c>
      <c r="AS56" s="39">
        <f t="shared" ca="1" si="165"/>
        <v>4</v>
      </c>
      <c r="AT56" s="43">
        <f t="shared" ca="1" si="165"/>
        <v>0</v>
      </c>
      <c r="AU56" s="313">
        <f ca="1">INDEX($DL$6:$DL$53,MATCH(AI56,$DP$6:$DP$53,0))</f>
        <v>1</v>
      </c>
      <c r="AV56" s="172" t="str">
        <f ca="1">INDEX($BD$6:$BD$53,MATCH(AI56,$BM$6:$BM$53,0))</f>
        <v>Egipto</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44"/>
      <c r="X57" s="28">
        <f ca="1">Horarios!C57</f>
        <v>46200.208333333336</v>
      </c>
      <c r="Y57" s="29">
        <f ca="1">Horarios!C57</f>
        <v>46200.208333333336</v>
      </c>
      <c r="Z57" s="30" t="str">
        <f>$Z$8</f>
        <v>J3</v>
      </c>
      <c r="AA57" s="31" t="str">
        <f ca="1">A56</f>
        <v>Nueva Zelanda</v>
      </c>
      <c r="AB57" s="52" t="str" cm="1">
        <f t="array" aca="1" ref="AB57" ca="1">Ver_flag_local</f>
        <v/>
      </c>
      <c r="AC57" s="50">
        <v>0</v>
      </c>
      <c r="AD57" s="51">
        <v>3</v>
      </c>
      <c r="AE57" s="572" t="str" cm="1">
        <f t="array" aca="1" ref="AE57" ca="1">Ver_flag_visit</f>
        <v/>
      </c>
      <c r="AF57" s="33" t="str">
        <f ca="1">A53</f>
        <v>Bélgica</v>
      </c>
      <c r="AG57" s="306">
        <f t="shared" si="162"/>
        <v>1</v>
      </c>
      <c r="AH57" s="185">
        <v>64</v>
      </c>
      <c r="AI57" s="171" t="str">
        <f t="shared" si="166"/>
        <v>4G</v>
      </c>
      <c r="AJ57" s="44">
        <v>4</v>
      </c>
      <c r="AK57" s="580"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1</v>
      </c>
      <c r="AS57" s="47">
        <f t="shared" ca="1" si="165"/>
        <v>6</v>
      </c>
      <c r="AT57" s="48">
        <f t="shared" ca="1" si="165"/>
        <v>-5</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6">
        <f ca="1">+BJ58-BK58</f>
        <v>-1</v>
      </c>
      <c r="BM58" s="16">
        <f ca="1">CB58</f>
        <v>9</v>
      </c>
      <c r="BN58" s="16">
        <f ca="1">CF58</f>
        <v>9</v>
      </c>
      <c r="BO58" s="16" t="str">
        <f t="shared" ref="BO58:BO69" si="174">"4"&amp;BC58</f>
        <v>4A</v>
      </c>
      <c r="BP58" s="16"/>
      <c r="BQ58" s="16"/>
      <c r="BR58" s="16">
        <f t="shared" ref="BR58:BR69" ca="1" si="175">+BE58</f>
        <v>3</v>
      </c>
      <c r="BS58" s="16">
        <f ca="1">COUNTIFS(BR$58:BR$69,"&gt;"&amp;BR58)+1</f>
        <v>4</v>
      </c>
      <c r="BT58" s="16" t="str">
        <f ca="1">IF(COUNTIF(BS$58:BS$69,BS58)=1,"-","Pos. "&amp;BS58&amp;" ("&amp;COUNTIF(BS$58:BS$69,BS58)&amp;")")</f>
        <v>Pos. 4 (7)</v>
      </c>
      <c r="BU58" s="16">
        <f t="shared" ref="BU58:BU69" ca="1" si="176">IF(BT58="-","-",BL58)</f>
        <v>-1</v>
      </c>
      <c r="BV58" s="16">
        <f t="shared" ref="BV58:BV69" ca="1" si="177">BS58+COUNTIFS(BT$58:BT$69,BT58,BU$58:BU$69,"&gt;"&amp;BU58)</f>
        <v>7</v>
      </c>
      <c r="BW58" s="16" t="str">
        <f t="shared" ref="BW58:BW69" ca="1" si="178">IF(COUNTIF(BV$58:BV$69,BV58)=1,"-","Pos. "&amp;BV58&amp;" ("&amp;COUNTIF(BV$58:BV$69,BV58)&amp;")")</f>
        <v>Pos. 7 (4)</v>
      </c>
      <c r="BX58" s="16">
        <f t="shared" ref="BX58:BX69" ca="1" si="179">IF(BW58="-","-",BJ58)</f>
        <v>4</v>
      </c>
      <c r="BY58" s="16">
        <f t="shared" ref="BY58:BY69" ca="1" si="180">BV58+COUNTIFS(BW$58:BW$69,BW58,BX$58:BX$69,"&gt;"&amp;BX58)</f>
        <v>7</v>
      </c>
      <c r="BZ58" s="16" t="str">
        <f t="shared" ref="BZ58:BZ69" ca="1" si="181">IF(COUNTIF(BY$58:BY$69,BY58)=1,"-","Pos. "&amp;BY58&amp;" ("&amp;COUNTIF(BY$58:BY$69,BY58)&amp;")")</f>
        <v>Pos. 7 (3)</v>
      </c>
      <c r="CA58" s="16">
        <f t="shared" ref="CA58:CA69" ca="1" si="182">IF(BZ58="-","-",COUNTIF($BD$58:$BD$69,"&gt;"&amp;BD58))</f>
        <v>1</v>
      </c>
      <c r="CB58" s="16">
        <f ca="1">BY58+COUNTIFS(BZ$58:BZ$69,BZ58,CA$58:CA$69,"&gt;"&amp;CA58)</f>
        <v>9</v>
      </c>
      <c r="CC58" s="16"/>
      <c r="CD58" s="16">
        <f t="shared" ref="CD58:CD69" ca="1" si="183">IF(OR(INDEX($AW$102:$AW$113,MATCH($BD58,$AV$102:$AV$113,0))="",BZ58="-"),CB58,INDEX($AW$102:$AW$113,MATCH($BD58,$AV$102:$AV$113,0))+CB58/1000)</f>
        <v>9</v>
      </c>
      <c r="CE58" s="16">
        <f ca="1">IF(BZ58="-","-",COUNTIF(CD$58:CD$69,"&lt;"&amp;CD58))</f>
        <v>8</v>
      </c>
      <c r="CF58" s="16">
        <f ca="1">BY58+COUNTIFS(BZ$58:BZ$69,BZ58,CE$58:CE$69,"&lt;"&amp;CE58)</f>
        <v>9</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Bosnia y Herzegovina</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4</v>
      </c>
      <c r="BK59" s="16">
        <f t="shared" ca="1" si="173"/>
        <v>3</v>
      </c>
      <c r="BL59" s="16">
        <f t="shared" ref="BL59:BL69" ca="1" si="190">+BJ59-BK59</f>
        <v>1</v>
      </c>
      <c r="BM59" s="16">
        <f t="shared" ref="BM59:BM69" ca="1" si="191">CB59</f>
        <v>1</v>
      </c>
      <c r="BN59" s="16">
        <f t="shared" ref="BN59:BN69" ca="1" si="192">CF59</f>
        <v>1</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(3)</v>
      </c>
      <c r="BU59" s="16">
        <f t="shared" ca="1" si="176"/>
        <v>1</v>
      </c>
      <c r="BV59" s="16">
        <f t="shared" ca="1" si="177"/>
        <v>1</v>
      </c>
      <c r="BW59" s="16" t="str">
        <f t="shared" ca="1" si="178"/>
        <v>-</v>
      </c>
      <c r="BX59" s="16" t="str">
        <f t="shared" ca="1" si="179"/>
        <v>-</v>
      </c>
      <c r="BY59" s="16">
        <f t="shared" ca="1" si="180"/>
        <v>1</v>
      </c>
      <c r="BZ59" s="16" t="str">
        <f t="shared" ca="1" si="181"/>
        <v>-</v>
      </c>
      <c r="CA59" s="16" t="str">
        <f t="shared" ca="1" si="182"/>
        <v>-</v>
      </c>
      <c r="CB59" s="16">
        <f t="shared" ref="CB59:CB68" ca="1" si="195">BY59+COUNTIFS(BZ$58:BZ$69,BZ59,CA$58:CA$69,"&gt;"&amp;CA59)</f>
        <v>1</v>
      </c>
      <c r="CC59" s="16"/>
      <c r="CD59" s="16">
        <f t="shared" ca="1" si="183"/>
        <v>1</v>
      </c>
      <c r="CE59" s="16" t="str">
        <f t="shared" ref="CE59:CE69" ca="1" si="196">IF(BZ59="-","-",COUNTIF(CD$58:CD$69,"&lt;"&amp;CD59))</f>
        <v>-</v>
      </c>
      <c r="CF59" s="16">
        <f t="shared" ref="CF59:CF69" ca="1" si="197">BY59+COUNTIFS(BZ$58:BZ$69,BZ59,CE$58:CE$69,"&lt;"&amp;CE59)</f>
        <v>1</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Ecuador</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v>
      </c>
      <c r="G60" s="16"/>
      <c r="H60" s="16" t="str">
        <f t="shared" ref="H60:H65" ca="1" si="202">IF(D60="Pendiente","-",INDEX($BZ$6:$BZ$53,MATCH($AA60,$BD$6:$BD$53,0)))</f>
        <v>P.1 (2)</v>
      </c>
      <c r="I60" s="16" t="str">
        <f t="shared" ref="I60:I65" ca="1" si="203">IF(D60="Pendiente","-",INDEX($BZ$6:$BZ$53,MATCH($AF60,$BD$6:$BD$53,0)))</f>
        <v>-</v>
      </c>
      <c r="J60" s="16"/>
      <c r="K60" s="16" t="str">
        <f t="shared" ref="K60:K65" ca="1" si="204">IF(D60="Pendiente","-",INDEX($CE$6:$CE$53,MATCH($AA60,$BD$6:$BD$53,0)))</f>
        <v>P.1 (2)</v>
      </c>
      <c r="L60" s="16" t="str">
        <f t="shared" ref="L60:L65" ca="1" si="205">IF(D60="Pendiente","-",INDEX($CE$6:$CE$53,MATCH($AF60,$BD$6:$BD$53,0)))</f>
        <v>-</v>
      </c>
      <c r="M60" s="16"/>
      <c r="N60" s="16" t="str">
        <f t="shared" ref="N60:N65" ca="1" si="206">IF(D60="Pendiente","-",INDEX($CH$6:$CH$53,MATCH($AA60,$BD$6:$BD$53,0)))</f>
        <v>P.1 (2)</v>
      </c>
      <c r="O60" s="16" t="str">
        <f t="shared" ref="O60:O65" ca="1" si="207">IF(D60="Pendiente","-",INDEX($CH$6:$CH$53,MATCH($AF60,$BD$6:$BD$53,0)))</f>
        <v>-</v>
      </c>
      <c r="P60" s="16"/>
      <c r="Q60" s="16" t="str">
        <f t="shared" ref="Q60:Q65" ca="1" si="208">IF(D60="Pendiente","-",INDEX($CN$6:$CN$53,MATCH($AA60,$BD$6:$BD$53,0)))</f>
        <v>P.1 (2)</v>
      </c>
      <c r="R60" s="16" t="str">
        <f t="shared" ref="R60:R65" ca="1" si="209">IF(D60="Pendiente","-",INDEX($CN$6:$CN$53,MATCH($AF60,$BD$6:$BD$53,0)))</f>
        <v>-</v>
      </c>
      <c r="S60" s="16"/>
      <c r="T60" s="16" t="str">
        <f t="shared" ref="T60:T65" ca="1" si="210">IF(D60="Pendiente","-",INDEX($CS$6:$CS$53,MATCH($AA60,$BD$6:$BD$53,0)))</f>
        <v>P.1 (2)</v>
      </c>
      <c r="U60" s="16" t="str">
        <f t="shared" ref="U60:U65" ca="1" si="211">IF(D60="Pendiente","-",INDEX($CS$6:$CS$53,MATCH($AF60,$BD$6:$BD$53,0)))</f>
        <v>-</v>
      </c>
      <c r="V60" s="17"/>
      <c r="W60" s="625" t="s">
        <v>447</v>
      </c>
      <c r="X60" s="24">
        <f ca="1">Horarios!C60</f>
        <v>46188.75</v>
      </c>
      <c r="Y60" s="25">
        <f ca="1">Horarios!C60</f>
        <v>46188.75</v>
      </c>
      <c r="Z60" s="26" t="str">
        <f>$Z$4</f>
        <v>J1</v>
      </c>
      <c r="AA60" s="27" t="str">
        <f ca="1">A61</f>
        <v>España</v>
      </c>
      <c r="AB60" s="49" t="str" cm="1">
        <f t="array" aca="1" ref="AB60" ca="1">Ver_flag_local</f>
        <v/>
      </c>
      <c r="AC60" s="50">
        <v>2</v>
      </c>
      <c r="AD60" s="51">
        <v>0</v>
      </c>
      <c r="AE60" s="571" t="str" cm="1">
        <f t="array" aca="1" ref="AE60" ca="1">Ver_flag_visit</f>
        <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4</v>
      </c>
      <c r="BF60" s="16">
        <f t="shared" ca="1" si="189"/>
        <v>3</v>
      </c>
      <c r="BG60" s="16">
        <f t="shared" ca="1" si="169"/>
        <v>1</v>
      </c>
      <c r="BH60" s="16">
        <f t="shared" ca="1" si="170"/>
        <v>1</v>
      </c>
      <c r="BI60" s="16">
        <f t="shared" ca="1" si="171"/>
        <v>1</v>
      </c>
      <c r="BJ60" s="16">
        <f t="shared" ca="1" si="172"/>
        <v>3</v>
      </c>
      <c r="BK60" s="16">
        <f t="shared" ca="1" si="173"/>
        <v>4</v>
      </c>
      <c r="BL60" s="16">
        <f t="shared" ca="1" si="190"/>
        <v>-1</v>
      </c>
      <c r="BM60" s="16">
        <f t="shared" ca="1" si="191"/>
        <v>3</v>
      </c>
      <c r="BN60" s="16">
        <f t="shared" ca="1" si="192"/>
        <v>3</v>
      </c>
      <c r="BO60" s="16" t="str">
        <f t="shared" si="174"/>
        <v>4C</v>
      </c>
      <c r="BP60" s="16"/>
      <c r="BQ60" s="16"/>
      <c r="BR60" s="16">
        <f t="shared" ca="1" si="175"/>
        <v>4</v>
      </c>
      <c r="BS60" s="16">
        <f t="shared" ca="1" si="193"/>
        <v>1</v>
      </c>
      <c r="BT60" s="16" t="str">
        <f t="shared" ca="1" si="194"/>
        <v>Pos. 1 (3)</v>
      </c>
      <c r="BU60" s="16">
        <f t="shared" ca="1" si="176"/>
        <v>-1</v>
      </c>
      <c r="BV60" s="16">
        <f t="shared" ca="1" si="177"/>
        <v>3</v>
      </c>
      <c r="BW60" s="16" t="str">
        <f t="shared" ca="1" si="178"/>
        <v>-</v>
      </c>
      <c r="BX60" s="16" t="str">
        <f t="shared" ca="1" si="179"/>
        <v>-</v>
      </c>
      <c r="BY60" s="16">
        <f t="shared" ca="1" si="180"/>
        <v>3</v>
      </c>
      <c r="BZ60" s="16" t="str">
        <f t="shared" ca="1" si="181"/>
        <v>-</v>
      </c>
      <c r="CA60" s="16" t="str">
        <f t="shared" ca="1" si="182"/>
        <v>-</v>
      </c>
      <c r="CB60" s="16">
        <f t="shared" ca="1" si="195"/>
        <v>3</v>
      </c>
      <c r="CC60" s="16"/>
      <c r="CD60" s="16">
        <f t="shared" ca="1" si="183"/>
        <v>3</v>
      </c>
      <c r="CE60" s="16" t="str">
        <f t="shared" ca="1" si="196"/>
        <v>-</v>
      </c>
      <c r="CF60" s="16">
        <f t="shared" ca="1" si="197"/>
        <v>3</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Escocia</v>
      </c>
    </row>
    <row r="61" spans="1:121" ht="16.05" customHeight="1">
      <c r="A61" s="16" t="str">
        <f ca="1">+Equipos!B30</f>
        <v>España</v>
      </c>
      <c r="B61" s="16"/>
      <c r="C61" s="16"/>
      <c r="D61" s="16" t="str">
        <f t="shared" si="199"/>
        <v>Visitante</v>
      </c>
      <c r="E61" s="16" t="str">
        <f t="shared" ca="1" si="200"/>
        <v>-</v>
      </c>
      <c r="F61" s="16" t="str">
        <f t="shared" ca="1" si="201"/>
        <v>P.1 (2)</v>
      </c>
      <c r="G61" s="16"/>
      <c r="H61" s="16" t="str">
        <f t="shared" ca="1" si="202"/>
        <v>-</v>
      </c>
      <c r="I61" s="16" t="str">
        <f t="shared" ca="1" si="203"/>
        <v>P.1 (2)</v>
      </c>
      <c r="J61" s="16"/>
      <c r="K61" s="16" t="str">
        <f t="shared" ca="1" si="204"/>
        <v>-</v>
      </c>
      <c r="L61" s="16" t="str">
        <f t="shared" ca="1" si="205"/>
        <v>P.1 (2)</v>
      </c>
      <c r="M61" s="16"/>
      <c r="N61" s="16" t="str">
        <f t="shared" ca="1" si="206"/>
        <v>-</v>
      </c>
      <c r="O61" s="16" t="str">
        <f t="shared" ca="1" si="207"/>
        <v>P.1 (2)</v>
      </c>
      <c r="P61" s="16"/>
      <c r="Q61" s="16" t="str">
        <f t="shared" ca="1" si="208"/>
        <v>-</v>
      </c>
      <c r="R61" s="16" t="str">
        <f t="shared" ca="1" si="209"/>
        <v>P.1 (2)</v>
      </c>
      <c r="S61" s="16"/>
      <c r="T61" s="16" t="str">
        <f t="shared" ca="1" si="210"/>
        <v>-</v>
      </c>
      <c r="U61" s="16" t="str">
        <f t="shared" ca="1" si="211"/>
        <v>P.1 (2)</v>
      </c>
      <c r="V61" s="17"/>
      <c r="W61" s="625"/>
      <c r="X61" s="24">
        <f ca="1">Horarios!C61</f>
        <v>46189</v>
      </c>
      <c r="Y61" s="25">
        <f ca="1">Horarios!C61</f>
        <v>46189</v>
      </c>
      <c r="Z61" s="26" t="str">
        <f>$Z$4</f>
        <v>J1</v>
      </c>
      <c r="AA61" s="27" t="str">
        <f ca="1">A63</f>
        <v>Arabia Saudita</v>
      </c>
      <c r="AB61" s="49" t="str" cm="1">
        <f t="array" aca="1" ref="AB61" ca="1">Ver_flag_local</f>
        <v/>
      </c>
      <c r="AC61" s="50">
        <v>1</v>
      </c>
      <c r="AD61" s="51">
        <v>2</v>
      </c>
      <c r="AE61" s="571" t="str" cm="1">
        <f t="array" aca="1" ref="AE61" ca="1">Ver_flag_visit</f>
        <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4</v>
      </c>
      <c r="BK61" s="16">
        <f t="shared" ca="1" si="173"/>
        <v>5</v>
      </c>
      <c r="BL61" s="16">
        <f t="shared" ca="1" si="190"/>
        <v>-1</v>
      </c>
      <c r="BM61" s="16">
        <f t="shared" ca="1" si="191"/>
        <v>8</v>
      </c>
      <c r="BN61" s="16">
        <f t="shared" ca="1" si="192"/>
        <v>8</v>
      </c>
      <c r="BO61" s="16" t="str">
        <f t="shared" si="174"/>
        <v>4D</v>
      </c>
      <c r="BP61" s="16"/>
      <c r="BQ61" s="16"/>
      <c r="BR61" s="16">
        <f t="shared" ca="1" si="175"/>
        <v>3</v>
      </c>
      <c r="BS61" s="16">
        <f t="shared" ca="1" si="193"/>
        <v>4</v>
      </c>
      <c r="BT61" s="16" t="str">
        <f t="shared" ca="1" si="194"/>
        <v>Pos. 4 (7)</v>
      </c>
      <c r="BU61" s="16">
        <f t="shared" ca="1" si="176"/>
        <v>-1</v>
      </c>
      <c r="BV61" s="16">
        <f t="shared" ca="1" si="177"/>
        <v>7</v>
      </c>
      <c r="BW61" s="16" t="str">
        <f t="shared" ca="1" si="178"/>
        <v>Pos. 7 (4)</v>
      </c>
      <c r="BX61" s="16">
        <f t="shared" ca="1" si="179"/>
        <v>4</v>
      </c>
      <c r="BY61" s="16">
        <f t="shared" ca="1" si="180"/>
        <v>7</v>
      </c>
      <c r="BZ61" s="16" t="str">
        <f t="shared" ca="1" si="181"/>
        <v>Pos. 7 (3)</v>
      </c>
      <c r="CA61" s="16">
        <f t="shared" ca="1" si="182"/>
        <v>3</v>
      </c>
      <c r="CB61" s="16">
        <f t="shared" ca="1" si="195"/>
        <v>8</v>
      </c>
      <c r="CC61" s="16"/>
      <c r="CD61" s="16">
        <f t="shared" ca="1" si="183"/>
        <v>8</v>
      </c>
      <c r="CE61" s="16">
        <f t="shared" ca="1" si="196"/>
        <v>7</v>
      </c>
      <c r="CF61" s="16">
        <f t="shared" ca="1" si="197"/>
        <v>8</v>
      </c>
      <c r="DJ61" s="16">
        <f t="shared" ca="1" si="184"/>
        <v>4</v>
      </c>
      <c r="DK61" s="16"/>
      <c r="DL61" s="16">
        <f t="shared" ca="1" si="185"/>
        <v>3</v>
      </c>
      <c r="DM61" s="16" t="str">
        <f t="shared" ca="1" si="186"/>
        <v>4.3</v>
      </c>
      <c r="DN61" s="16" t="e" cm="1" vm="2">
        <f t="array" aca="1" ref="DN61" ca="1">OFFSET(Horarios!$P$3,DJ61-1,0,DL61,1)</f>
        <v>#VALUE!</v>
      </c>
      <c r="DO61" s="16"/>
      <c r="DP61" s="16">
        <v>4</v>
      </c>
      <c r="DQ61" s="16" t="str">
        <f t="shared" ca="1" si="198"/>
        <v>Egipto</v>
      </c>
    </row>
    <row r="62" spans="1:121" ht="16.05" customHeight="1">
      <c r="A62" s="16" t="str">
        <f ca="1">+Equipos!B31</f>
        <v>Cabo Verde</v>
      </c>
      <c r="B62" s="16"/>
      <c r="C62" s="16"/>
      <c r="D62" s="16" t="str">
        <f t="shared" si="199"/>
        <v>Local</v>
      </c>
      <c r="E62" s="16" t="str">
        <f t="shared" ca="1" si="200"/>
        <v>P.1 (2)</v>
      </c>
      <c r="F62" s="16" t="str">
        <f t="shared" ca="1" si="201"/>
        <v>-</v>
      </c>
      <c r="G62" s="16"/>
      <c r="H62" s="16" t="str">
        <f t="shared" ca="1" si="202"/>
        <v>P.1 (2)</v>
      </c>
      <c r="I62" s="16" t="str">
        <f t="shared" ca="1" si="203"/>
        <v>-</v>
      </c>
      <c r="J62" s="16"/>
      <c r="K62" s="16" t="str">
        <f t="shared" ca="1" si="204"/>
        <v>P.1 (2)</v>
      </c>
      <c r="L62" s="16" t="str">
        <f t="shared" ca="1" si="205"/>
        <v>-</v>
      </c>
      <c r="M62" s="16"/>
      <c r="N62" s="16" t="str">
        <f t="shared" ca="1" si="206"/>
        <v>P.1 (2)</v>
      </c>
      <c r="O62" s="16" t="str">
        <f t="shared" ca="1" si="207"/>
        <v>-</v>
      </c>
      <c r="P62" s="16"/>
      <c r="Q62" s="16" t="str">
        <f t="shared" ca="1" si="208"/>
        <v>P.1 (2)</v>
      </c>
      <c r="R62" s="16" t="str">
        <f t="shared" ca="1" si="209"/>
        <v>-</v>
      </c>
      <c r="S62" s="16"/>
      <c r="T62" s="16" t="str">
        <f t="shared" ca="1" si="210"/>
        <v>P.1 (2)</v>
      </c>
      <c r="U62" s="16" t="str">
        <f t="shared" ca="1" si="211"/>
        <v>-</v>
      </c>
      <c r="V62" s="17"/>
      <c r="W62" s="625"/>
      <c r="X62" s="24">
        <f ca="1">Horarios!C62</f>
        <v>46194.75</v>
      </c>
      <c r="Y62" s="25">
        <f ca="1">Horarios!C62</f>
        <v>46194.75</v>
      </c>
      <c r="Z62" s="26" t="str">
        <f>$Z$6</f>
        <v>J2</v>
      </c>
      <c r="AA62" s="27" t="str">
        <f ca="1">A61</f>
        <v>España</v>
      </c>
      <c r="AB62" s="49" t="str" cm="1">
        <f t="array" aca="1" ref="AB62" ca="1">Ver_flag_local</f>
        <v/>
      </c>
      <c r="AC62" s="50">
        <v>2</v>
      </c>
      <c r="AD62" s="51">
        <v>0</v>
      </c>
      <c r="AE62" s="571" t="str" cm="1">
        <f t="array" aca="1" ref="AE62" ca="1">Ver_flag_visit</f>
        <v/>
      </c>
      <c r="AF62" s="32" t="str">
        <f ca="1">A63</f>
        <v>Arabia Saudita</v>
      </c>
      <c r="AG62" s="306">
        <f t="shared" si="212"/>
        <v>1</v>
      </c>
      <c r="AH62" s="185">
        <v>38</v>
      </c>
      <c r="AI62" s="171" t="str">
        <f>AJ62&amp;$B$60</f>
        <v>1H</v>
      </c>
      <c r="AJ62" s="40">
        <v>1</v>
      </c>
      <c r="AK62" s="577" t="str" cm="1">
        <f t="array" aca="1" ref="AK62" ca="1">Ver_flag_visit</f>
        <v/>
      </c>
      <c r="AL62" s="34" t="str">
        <f ca="1">IFERROR(INDEX($BD$6:$BD$53,MATCH(AI62,$BN$6:$BN$53,0)),"")</f>
        <v>Uruguay</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6</v>
      </c>
      <c r="AS62" s="36">
        <f t="shared" ca="1" si="215"/>
        <v>2</v>
      </c>
      <c r="AT62" s="41">
        <f t="shared" ca="1" si="215"/>
        <v>4</v>
      </c>
      <c r="AU62" s="313">
        <f ca="1">INDEX($DL$6:$DL$53,MATCH(AI62,$DP$6:$DP$53,0))</f>
        <v>1</v>
      </c>
      <c r="AV62" s="172" t="str">
        <f ca="1">INDEX($BD$6:$BD$53,MATCH(AI62,$BM$6:$BM$53,0))</f>
        <v>Uruguay</v>
      </c>
      <c r="AW62" s="200"/>
      <c r="AX62" s="161"/>
      <c r="AY62" s="191" t="str">
        <f ca="1">+A61</f>
        <v>España</v>
      </c>
      <c r="AZ62" s="192"/>
      <c r="BA62" s="16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4</v>
      </c>
      <c r="BK62" s="16">
        <f t="shared" ca="1" si="173"/>
        <v>4</v>
      </c>
      <c r="BL62" s="16">
        <f t="shared" ca="1" si="190"/>
        <v>0</v>
      </c>
      <c r="BM62" s="16">
        <f t="shared" ca="1" si="191"/>
        <v>2</v>
      </c>
      <c r="BN62" s="16">
        <f t="shared" ca="1" si="192"/>
        <v>2</v>
      </c>
      <c r="BO62" s="16" t="str">
        <f t="shared" si="174"/>
        <v>4E</v>
      </c>
      <c r="BP62" s="16"/>
      <c r="BQ62" s="16"/>
      <c r="BR62" s="16">
        <f t="shared" ca="1" si="175"/>
        <v>4</v>
      </c>
      <c r="BS62" s="16">
        <f t="shared" ca="1" si="193"/>
        <v>1</v>
      </c>
      <c r="BT62" s="16" t="str">
        <f t="shared" ca="1" si="194"/>
        <v>Pos. 1 (3)</v>
      </c>
      <c r="BU62" s="16">
        <f t="shared" ca="1" si="176"/>
        <v>0</v>
      </c>
      <c r="BV62" s="16">
        <f t="shared" ca="1" si="177"/>
        <v>2</v>
      </c>
      <c r="BW62" s="16" t="str">
        <f t="shared" ca="1" si="178"/>
        <v>-</v>
      </c>
      <c r="BX62" s="16" t="str">
        <f t="shared" ca="1" si="179"/>
        <v>-</v>
      </c>
      <c r="BY62" s="16">
        <f t="shared" ca="1" si="180"/>
        <v>2</v>
      </c>
      <c r="BZ62" s="16" t="str">
        <f t="shared" ca="1" si="181"/>
        <v>-</v>
      </c>
      <c r="CA62" s="16" t="str">
        <f t="shared" ca="1" si="182"/>
        <v>-</v>
      </c>
      <c r="CB62" s="16">
        <f t="shared" ca="1" si="195"/>
        <v>2</v>
      </c>
      <c r="CC62" s="16"/>
      <c r="CD62" s="16">
        <f t="shared" ca="1" si="183"/>
        <v>2</v>
      </c>
      <c r="CE62" s="16" t="str">
        <f t="shared" ca="1" si="196"/>
        <v>-</v>
      </c>
      <c r="CF62" s="16">
        <f t="shared" ca="1" si="197"/>
        <v>2</v>
      </c>
      <c r="DJ62" s="16">
        <f t="shared" ca="1" si="184"/>
        <v>4</v>
      </c>
      <c r="DK62" s="16"/>
      <c r="DL62" s="16">
        <f t="shared" ca="1" si="185"/>
        <v>3</v>
      </c>
      <c r="DM62" s="16" t="str">
        <f t="shared" ca="1" si="186"/>
        <v>4.3</v>
      </c>
      <c r="DN62" s="16" t="e" cm="1" vm="2">
        <f t="array" aca="1" ref="DN62" ca="1">OFFSET(Horarios!$P$3,DJ62-1,0,DL62,1)</f>
        <v>#VALUE!</v>
      </c>
      <c r="DO62" s="16"/>
      <c r="DP62" s="16">
        <v>5</v>
      </c>
      <c r="DQ62" s="16" t="str">
        <f t="shared" ca="1" si="198"/>
        <v>Ghana</v>
      </c>
    </row>
    <row r="63" spans="1:121" ht="16.05" customHeight="1">
      <c r="A63" s="16" t="str">
        <f ca="1">+Equipos!B32</f>
        <v>Arabia Saudita</v>
      </c>
      <c r="B63" s="16"/>
      <c r="C63" s="16"/>
      <c r="D63" s="16" t="str">
        <f t="shared" si="199"/>
        <v>Local</v>
      </c>
      <c r="E63" s="16" t="str">
        <f t="shared" ca="1" si="200"/>
        <v>P.1 (2)</v>
      </c>
      <c r="F63" s="16" t="str">
        <f t="shared" ca="1" si="201"/>
        <v>-</v>
      </c>
      <c r="G63" s="16"/>
      <c r="H63" s="16" t="str">
        <f t="shared" ca="1" si="202"/>
        <v>P.1 (2)</v>
      </c>
      <c r="I63" s="16" t="str">
        <f t="shared" ca="1" si="203"/>
        <v>-</v>
      </c>
      <c r="J63" s="16"/>
      <c r="K63" s="16" t="str">
        <f t="shared" ca="1" si="204"/>
        <v>P.1 (2)</v>
      </c>
      <c r="L63" s="16" t="str">
        <f t="shared" ca="1" si="205"/>
        <v>-</v>
      </c>
      <c r="M63" s="16"/>
      <c r="N63" s="16" t="str">
        <f t="shared" ca="1" si="206"/>
        <v>P.1 (2)</v>
      </c>
      <c r="O63" s="16" t="str">
        <f t="shared" ca="1" si="207"/>
        <v>-</v>
      </c>
      <c r="P63" s="16"/>
      <c r="Q63" s="16" t="str">
        <f t="shared" ca="1" si="208"/>
        <v>P.1 (2)</v>
      </c>
      <c r="R63" s="16" t="str">
        <f t="shared" ca="1" si="209"/>
        <v>-</v>
      </c>
      <c r="S63" s="16"/>
      <c r="T63" s="16" t="str">
        <f t="shared" ca="1" si="210"/>
        <v>P.1 (2)</v>
      </c>
      <c r="U63" s="16" t="str">
        <f t="shared" ca="1" si="211"/>
        <v>-</v>
      </c>
      <c r="V63" s="17"/>
      <c r="W63" s="625"/>
      <c r="X63" s="24">
        <f ca="1">Horarios!C63</f>
        <v>46195</v>
      </c>
      <c r="Y63" s="25">
        <f ca="1">Horarios!C63</f>
        <v>46195</v>
      </c>
      <c r="Z63" s="26" t="str">
        <f>$Z$6</f>
        <v>J2</v>
      </c>
      <c r="AA63" s="27" t="str">
        <f ca="1">A64</f>
        <v>Uruguay</v>
      </c>
      <c r="AB63" s="49" t="str" cm="1">
        <f t="array" aca="1" ref="AB63" ca="1">Ver_flag_local</f>
        <v/>
      </c>
      <c r="AC63" s="50">
        <v>3</v>
      </c>
      <c r="AD63" s="51">
        <v>0</v>
      </c>
      <c r="AE63" s="571" t="str" cm="1">
        <f t="array" aca="1" ref="AE63" ca="1">Ver_flag_visit</f>
        <v/>
      </c>
      <c r="AF63" s="32" t="str">
        <f ca="1">A62</f>
        <v>Cabo Verde</v>
      </c>
      <c r="AG63" s="306">
        <f t="shared" si="212"/>
        <v>1</v>
      </c>
      <c r="AH63" s="185">
        <v>37</v>
      </c>
      <c r="AI63" s="171" t="str">
        <f t="shared" ref="AI63:AI65" si="216">AJ63&amp;$B$60</f>
        <v>2H</v>
      </c>
      <c r="AJ63" s="42">
        <v>2</v>
      </c>
      <c r="AK63" s="578" t="str" cm="1">
        <f t="array" aca="1" ref="AK63" ca="1">Ver_flag_visit</f>
        <v/>
      </c>
      <c r="AL63" s="37" t="str">
        <f ca="1">IFERROR(INDEX($BD$6:$BD$53,MATCH(AI63,$BN$6:$BN$53,0)),"")</f>
        <v>España</v>
      </c>
      <c r="AM63" s="38">
        <f t="shared" ca="1" si="215"/>
        <v>7</v>
      </c>
      <c r="AN63" s="39">
        <f t="shared" ca="1" si="215"/>
        <v>3</v>
      </c>
      <c r="AO63" s="39">
        <f t="shared" ca="1" si="215"/>
        <v>2</v>
      </c>
      <c r="AP63" s="39">
        <f t="shared" ca="1" si="215"/>
        <v>1</v>
      </c>
      <c r="AQ63" s="39">
        <f t="shared" ca="1" si="215"/>
        <v>0</v>
      </c>
      <c r="AR63" s="39">
        <f t="shared" ca="1" si="215"/>
        <v>5</v>
      </c>
      <c r="AS63" s="39">
        <f t="shared" ca="1" si="215"/>
        <v>1</v>
      </c>
      <c r="AT63" s="43">
        <f t="shared" ca="1" si="215"/>
        <v>4</v>
      </c>
      <c r="AU63" s="313">
        <f ca="1">INDEX($DL$6:$DL$53,MATCH(AI63,$DP$6:$DP$53,0))</f>
        <v>1</v>
      </c>
      <c r="AV63" s="172" t="str">
        <f ca="1">INDEX($BD$6:$BD$53,MATCH(AI63,$BM$6:$BM$53,0))</f>
        <v>España</v>
      </c>
      <c r="AW63" s="200"/>
      <c r="AX63" s="161"/>
      <c r="AY63" s="193" t="str">
        <f ca="1">+A62</f>
        <v>Cabo Verde</v>
      </c>
      <c r="AZ63" s="194"/>
      <c r="BA63" s="166"/>
      <c r="BB63" s="16" t="str">
        <f t="shared" si="187"/>
        <v>3F</v>
      </c>
      <c r="BC63" s="16" t="s">
        <v>4</v>
      </c>
      <c r="BD63" s="16" t="str">
        <f t="shared" ca="1" si="168"/>
        <v>Japón</v>
      </c>
      <c r="BE63" s="16">
        <f t="shared" ca="1" si="188"/>
        <v>3</v>
      </c>
      <c r="BF63" s="16">
        <f t="shared" ca="1" si="189"/>
        <v>3</v>
      </c>
      <c r="BG63" s="16">
        <f t="shared" ca="1" si="169"/>
        <v>1</v>
      </c>
      <c r="BH63" s="16">
        <f t="shared" ca="1" si="170"/>
        <v>0</v>
      </c>
      <c r="BI63" s="16">
        <f t="shared" ca="1" si="171"/>
        <v>2</v>
      </c>
      <c r="BJ63" s="16">
        <f t="shared" ca="1" si="172"/>
        <v>4</v>
      </c>
      <c r="BK63" s="16">
        <f t="shared" ca="1" si="173"/>
        <v>5</v>
      </c>
      <c r="BL63" s="16">
        <f t="shared" ca="1" si="190"/>
        <v>-1</v>
      </c>
      <c r="BM63" s="16">
        <f t="shared" ca="1" si="191"/>
        <v>7</v>
      </c>
      <c r="BN63" s="16">
        <f t="shared" ca="1" si="192"/>
        <v>7</v>
      </c>
      <c r="BO63" s="16" t="str">
        <f t="shared" si="174"/>
        <v>4F</v>
      </c>
      <c r="BP63" s="16"/>
      <c r="BQ63" s="16"/>
      <c r="BR63" s="16">
        <f t="shared" ca="1" si="175"/>
        <v>3</v>
      </c>
      <c r="BS63" s="16">
        <f t="shared" ca="1" si="193"/>
        <v>4</v>
      </c>
      <c r="BT63" s="16" t="str">
        <f t="shared" ca="1" si="194"/>
        <v>Pos. 4 (7)</v>
      </c>
      <c r="BU63" s="16">
        <f t="shared" ca="1" si="176"/>
        <v>-1</v>
      </c>
      <c r="BV63" s="16">
        <f t="shared" ca="1" si="177"/>
        <v>7</v>
      </c>
      <c r="BW63" s="16" t="str">
        <f t="shared" ca="1" si="178"/>
        <v>Pos. 7 (4)</v>
      </c>
      <c r="BX63" s="16">
        <f t="shared" ca="1" si="179"/>
        <v>4</v>
      </c>
      <c r="BY63" s="16">
        <f t="shared" ca="1" si="180"/>
        <v>7</v>
      </c>
      <c r="BZ63" s="16" t="str">
        <f t="shared" ca="1" si="181"/>
        <v>Pos. 7 (3)</v>
      </c>
      <c r="CA63" s="16">
        <f t="shared" ca="1" si="182"/>
        <v>4</v>
      </c>
      <c r="CB63" s="16">
        <f t="shared" ca="1" si="195"/>
        <v>7</v>
      </c>
      <c r="CC63" s="16"/>
      <c r="CD63" s="16">
        <f t="shared" ca="1" si="183"/>
        <v>7</v>
      </c>
      <c r="CE63" s="16">
        <f t="shared" ca="1" si="196"/>
        <v>6</v>
      </c>
      <c r="CF63" s="16">
        <f t="shared" ca="1" si="197"/>
        <v>7</v>
      </c>
      <c r="DJ63" s="16">
        <f t="shared" ca="1" si="184"/>
        <v>4</v>
      </c>
      <c r="DK63" s="16"/>
      <c r="DL63" s="16">
        <f t="shared" ca="1" si="185"/>
        <v>3</v>
      </c>
      <c r="DM63" s="16" t="str">
        <f t="shared" ca="1" si="186"/>
        <v>4.3</v>
      </c>
      <c r="DN63" s="16" t="e" cm="1" vm="2">
        <f t="array" aca="1" ref="DN63" ca="1">OFFSET(Horarios!$P$3,DJ63-1,0,DL63,1)</f>
        <v>#VALUE!</v>
      </c>
      <c r="DO63" s="16"/>
      <c r="DP63" s="16">
        <v>6</v>
      </c>
      <c r="DQ63" s="16" t="str">
        <f t="shared" ca="1" si="198"/>
        <v>Senegal</v>
      </c>
    </row>
    <row r="64" spans="1:121" ht="16.0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25"/>
      <c r="X64" s="24">
        <f ca="1">Horarios!C64</f>
        <v>46200.083333333336</v>
      </c>
      <c r="Y64" s="25">
        <f ca="1">Horarios!C64</f>
        <v>46200.083333333336</v>
      </c>
      <c r="Z64" s="26" t="str">
        <f>$Z$8</f>
        <v>J3</v>
      </c>
      <c r="AA64" s="27" t="str">
        <f ca="1">A62</f>
        <v>Cabo Verde</v>
      </c>
      <c r="AB64" s="49" t="str" cm="1">
        <f t="array" aca="1" ref="AB64" ca="1">Ver_flag_local</f>
        <v/>
      </c>
      <c r="AC64" s="50">
        <v>0</v>
      </c>
      <c r="AD64" s="51">
        <v>2</v>
      </c>
      <c r="AE64" s="571" t="str" cm="1">
        <f t="array" aca="1" ref="AE64" ca="1">Ver_flag_visit</f>
        <v/>
      </c>
      <c r="AF64" s="32" t="str">
        <f ca="1">A63</f>
        <v>Arabia Saudita</v>
      </c>
      <c r="AG64" s="306">
        <f t="shared" si="212"/>
        <v>1</v>
      </c>
      <c r="AH64" s="185">
        <v>65</v>
      </c>
      <c r="AI64" s="171" t="str">
        <f t="shared" si="216"/>
        <v>3H</v>
      </c>
      <c r="AJ64" s="42">
        <v>3</v>
      </c>
      <c r="AK64" s="578" t="str" cm="1">
        <f t="array" aca="1" ref="AK64" ca="1">Ver_flag_visit</f>
        <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4</v>
      </c>
      <c r="AT64" s="43">
        <f t="shared" ca="1" si="215"/>
        <v>-1</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Egipto</v>
      </c>
      <c r="BE64" s="16">
        <f t="shared" ca="1" si="188"/>
        <v>3</v>
      </c>
      <c r="BF64" s="16">
        <f t="shared" ca="1" si="189"/>
        <v>3</v>
      </c>
      <c r="BG64" s="16">
        <f t="shared" ca="1" si="169"/>
        <v>1</v>
      </c>
      <c r="BH64" s="16">
        <f t="shared" ca="1" si="170"/>
        <v>0</v>
      </c>
      <c r="BI64" s="16">
        <f t="shared" ca="1" si="171"/>
        <v>2</v>
      </c>
      <c r="BJ64" s="16">
        <f t="shared" ca="1" si="172"/>
        <v>4</v>
      </c>
      <c r="BK64" s="16">
        <f t="shared" ca="1" si="173"/>
        <v>4</v>
      </c>
      <c r="BL64" s="16">
        <f t="shared" ca="1" si="190"/>
        <v>0</v>
      </c>
      <c r="BM64" s="16">
        <f t="shared" ca="1" si="191"/>
        <v>4</v>
      </c>
      <c r="BN64" s="16">
        <f t="shared" ca="1" si="192"/>
        <v>4</v>
      </c>
      <c r="BO64" s="16" t="str">
        <f t="shared" si="174"/>
        <v>4G</v>
      </c>
      <c r="BP64" s="16"/>
      <c r="BQ64" s="16"/>
      <c r="BR64" s="16">
        <f t="shared" ca="1" si="175"/>
        <v>3</v>
      </c>
      <c r="BS64" s="16">
        <f t="shared" ca="1" si="193"/>
        <v>4</v>
      </c>
      <c r="BT64" s="16" t="str">
        <f t="shared" ca="1" si="194"/>
        <v>Pos. 4 (7)</v>
      </c>
      <c r="BU64" s="16">
        <f t="shared" ca="1" si="176"/>
        <v>0</v>
      </c>
      <c r="BV64" s="16">
        <f t="shared" ca="1" si="177"/>
        <v>4</v>
      </c>
      <c r="BW64" s="16" t="str">
        <f t="shared" ca="1" si="178"/>
        <v>Pos. 4 (3)</v>
      </c>
      <c r="BX64" s="16">
        <f t="shared" ca="1" si="179"/>
        <v>4</v>
      </c>
      <c r="BY64" s="16">
        <f t="shared" ca="1" si="180"/>
        <v>4</v>
      </c>
      <c r="BZ64" s="16" t="str">
        <f t="shared" ca="1" si="181"/>
        <v>Pos. 4 (3)</v>
      </c>
      <c r="CA64" s="16">
        <f t="shared" ca="1" si="182"/>
        <v>7</v>
      </c>
      <c r="CB64" s="16">
        <f t="shared" ca="1" si="195"/>
        <v>4</v>
      </c>
      <c r="CC64" s="16"/>
      <c r="CD64" s="16">
        <f t="shared" ca="1" si="183"/>
        <v>4</v>
      </c>
      <c r="CE64" s="16">
        <f t="shared" ca="1" si="196"/>
        <v>3</v>
      </c>
      <c r="CF64" s="16">
        <f t="shared" ca="1" si="197"/>
        <v>4</v>
      </c>
      <c r="DJ64" s="16">
        <f t="shared" ca="1" si="184"/>
        <v>7</v>
      </c>
      <c r="DK64" s="16"/>
      <c r="DL64" s="16">
        <f t="shared" ca="1" si="185"/>
        <v>3</v>
      </c>
      <c r="DM64" s="16" t="str">
        <f t="shared" ca="1" si="186"/>
        <v>7.3</v>
      </c>
      <c r="DN64" s="16" t="e" cm="1" vm="2">
        <f t="array" aca="1" ref="DN64" ca="1">OFFSET(Horarios!$P$3,DJ64-1,0,DL64,1)</f>
        <v>#VALUE!</v>
      </c>
      <c r="DO64" s="16"/>
      <c r="DP64" s="16">
        <v>7</v>
      </c>
      <c r="DQ64" s="16" t="str">
        <f t="shared" ca="1" si="198"/>
        <v>Japón</v>
      </c>
    </row>
    <row r="65" spans="1:121" ht="16.0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26"/>
      <c r="X65" s="28">
        <f ca="1">Horarios!C65</f>
        <v>46200.083333333336</v>
      </c>
      <c r="Y65" s="29">
        <f ca="1">Horarios!C65</f>
        <v>46200.083333333336</v>
      </c>
      <c r="Z65" s="30" t="str">
        <f>$Z$8</f>
        <v>J3</v>
      </c>
      <c r="AA65" s="31" t="str">
        <f ca="1">A64</f>
        <v>Uruguay</v>
      </c>
      <c r="AB65" s="52" t="str" cm="1">
        <f t="array" aca="1" ref="AB65" ca="1">Ver_flag_local</f>
        <v/>
      </c>
      <c r="AC65" s="50">
        <v>1</v>
      </c>
      <c r="AD65" s="51">
        <v>1</v>
      </c>
      <c r="AE65" s="572" t="str" cm="1">
        <f t="array" aca="1" ref="AE65" ca="1">Ver_flag_visit</f>
        <v/>
      </c>
      <c r="AF65" s="33" t="str">
        <f ca="1">A61</f>
        <v>España</v>
      </c>
      <c r="AG65" s="306">
        <f t="shared" si="212"/>
        <v>1</v>
      </c>
      <c r="AH65" s="185">
        <v>66</v>
      </c>
      <c r="AI65" s="171" t="str">
        <f t="shared" si="216"/>
        <v>4H</v>
      </c>
      <c r="AJ65" s="44">
        <v>4</v>
      </c>
      <c r="AK65" s="580" t="str" cm="1">
        <f t="array" aca="1" ref="AK65" ca="1">Ver_flag_visit</f>
        <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7</v>
      </c>
      <c r="AT65" s="48">
        <f t="shared" ca="1" si="215"/>
        <v>-7</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4</v>
      </c>
      <c r="BL65" s="16">
        <f t="shared" ca="1" si="190"/>
        <v>-1</v>
      </c>
      <c r="BM65" s="16">
        <f t="shared" ca="1" si="191"/>
        <v>10</v>
      </c>
      <c r="BN65" s="16">
        <f t="shared" ca="1" si="192"/>
        <v>10</v>
      </c>
      <c r="BO65" s="16" t="str">
        <f t="shared" si="174"/>
        <v>4H</v>
      </c>
      <c r="BP65" s="16"/>
      <c r="BQ65" s="16"/>
      <c r="BR65" s="16">
        <f t="shared" ca="1" si="175"/>
        <v>3</v>
      </c>
      <c r="BS65" s="16">
        <f t="shared" ca="1" si="193"/>
        <v>4</v>
      </c>
      <c r="BT65" s="16" t="str">
        <f t="shared" ca="1" si="194"/>
        <v>Pos. 4 (7)</v>
      </c>
      <c r="BU65" s="16">
        <f t="shared" ca="1" si="176"/>
        <v>-1</v>
      </c>
      <c r="BV65" s="16">
        <f t="shared" ca="1" si="177"/>
        <v>7</v>
      </c>
      <c r="BW65" s="16" t="str">
        <f t="shared" ca="1" si="178"/>
        <v>Pos. 7 (4)</v>
      </c>
      <c r="BX65" s="16">
        <f t="shared" ca="1" si="179"/>
        <v>3</v>
      </c>
      <c r="BY65" s="16">
        <f t="shared" ca="1" si="180"/>
        <v>10</v>
      </c>
      <c r="BZ65" s="16" t="str">
        <f t="shared" ca="1" si="181"/>
        <v>-</v>
      </c>
      <c r="CA65" s="16" t="str">
        <f t="shared" ca="1" si="182"/>
        <v>-</v>
      </c>
      <c r="CB65" s="16">
        <f t="shared" ca="1" si="195"/>
        <v>10</v>
      </c>
      <c r="CC65" s="16"/>
      <c r="CD65" s="16">
        <f t="shared" ca="1" si="183"/>
        <v>10</v>
      </c>
      <c r="CE65" s="16" t="str">
        <f t="shared" ca="1" si="196"/>
        <v>-</v>
      </c>
      <c r="CF65" s="16">
        <f t="shared" ca="1" si="197"/>
        <v>10</v>
      </c>
      <c r="DJ65" s="16">
        <f t="shared" ca="1" si="184"/>
        <v>7</v>
      </c>
      <c r="DK65" s="16"/>
      <c r="DL65" s="16">
        <f t="shared" ca="1" si="185"/>
        <v>3</v>
      </c>
      <c r="DM65" s="16" t="str">
        <f t="shared" ca="1" si="186"/>
        <v>7.3</v>
      </c>
      <c r="DN65" s="16" t="e" cm="1" vm="2">
        <f t="array" aca="1" ref="DN65" ca="1">OFFSET(Horarios!$P$3,DJ65-1,0,DL65,1)</f>
        <v>#VALUE!</v>
      </c>
      <c r="DO65" s="16"/>
      <c r="DP65" s="16">
        <v>8</v>
      </c>
      <c r="DQ65" s="16" t="str">
        <f t="shared" ca="1" si="198"/>
        <v>Paraguay</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4</v>
      </c>
      <c r="BK66" s="16">
        <f t="shared" ca="1" si="173"/>
        <v>4</v>
      </c>
      <c r="BL66" s="16">
        <f t="shared" ca="1" si="190"/>
        <v>0</v>
      </c>
      <c r="BM66" s="16">
        <f t="shared" ca="1" si="191"/>
        <v>6</v>
      </c>
      <c r="BN66" s="16">
        <f t="shared" ca="1" si="192"/>
        <v>6</v>
      </c>
      <c r="BO66" s="16" t="str">
        <f t="shared" si="174"/>
        <v>4I</v>
      </c>
      <c r="BP66" s="16"/>
      <c r="BQ66" s="16"/>
      <c r="BR66" s="16">
        <f t="shared" ca="1" si="175"/>
        <v>3</v>
      </c>
      <c r="BS66" s="16">
        <f t="shared" ca="1" si="193"/>
        <v>4</v>
      </c>
      <c r="BT66" s="16" t="str">
        <f t="shared" ca="1" si="194"/>
        <v>Pos. 4 (7)</v>
      </c>
      <c r="BU66" s="16">
        <f t="shared" ca="1" si="176"/>
        <v>0</v>
      </c>
      <c r="BV66" s="16">
        <f t="shared" ca="1" si="177"/>
        <v>4</v>
      </c>
      <c r="BW66" s="16" t="str">
        <f t="shared" ca="1" si="178"/>
        <v>Pos. 4 (3)</v>
      </c>
      <c r="BX66" s="16">
        <f t="shared" ca="1" si="179"/>
        <v>4</v>
      </c>
      <c r="BY66" s="16">
        <f t="shared" ca="1" si="180"/>
        <v>4</v>
      </c>
      <c r="BZ66" s="16" t="str">
        <f t="shared" ca="1" si="181"/>
        <v>Pos. 4 (3)</v>
      </c>
      <c r="CA66" s="16">
        <f t="shared" ca="1" si="182"/>
        <v>2</v>
      </c>
      <c r="CB66" s="16">
        <f t="shared" ca="1" si="195"/>
        <v>6</v>
      </c>
      <c r="CC66" s="16"/>
      <c r="CD66" s="16">
        <f t="shared" ca="1" si="183"/>
        <v>6</v>
      </c>
      <c r="CE66" s="16">
        <f t="shared" ca="1" si="196"/>
        <v>5</v>
      </c>
      <c r="CF66" s="16">
        <f t="shared" ca="1" si="197"/>
        <v>6</v>
      </c>
      <c r="DJ66" s="16">
        <f t="shared" ca="1" si="184"/>
        <v>7</v>
      </c>
      <c r="DK66" s="16"/>
      <c r="DL66" s="16">
        <f t="shared" ca="1" si="185"/>
        <v>3</v>
      </c>
      <c r="DM66" s="16" t="str">
        <f t="shared" ca="1" si="186"/>
        <v>7.3</v>
      </c>
      <c r="DN66" s="16" t="e" cm="1" vm="2">
        <f t="array" aca="1" ref="DN66" ca="1">OFFSET(Horarios!$P$3,DJ66-1,0,DL66,1)</f>
        <v>#VALUE!</v>
      </c>
      <c r="DO66" s="16"/>
      <c r="DP66" s="16">
        <v>9</v>
      </c>
      <c r="DQ66" s="16" t="str">
        <f t="shared" ca="1" si="198"/>
        <v>Sudáfrica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Austria</v>
      </c>
      <c r="BE67" s="16">
        <f t="shared" ca="1" si="188"/>
        <v>1</v>
      </c>
      <c r="BF67" s="16">
        <f t="shared" ca="1" si="189"/>
        <v>3</v>
      </c>
      <c r="BG67" s="16">
        <f t="shared" ca="1" si="169"/>
        <v>0</v>
      </c>
      <c r="BH67" s="16">
        <f t="shared" ca="1" si="170"/>
        <v>1</v>
      </c>
      <c r="BI67" s="16">
        <f t="shared" ca="1" si="171"/>
        <v>2</v>
      </c>
      <c r="BJ67" s="16">
        <f t="shared" ca="1" si="172"/>
        <v>3</v>
      </c>
      <c r="BK67" s="16">
        <f t="shared" ca="1" si="173"/>
        <v>5</v>
      </c>
      <c r="BL67" s="16">
        <f t="shared" ca="1" si="190"/>
        <v>-2</v>
      </c>
      <c r="BM67" s="16">
        <f t="shared" ca="1" si="191"/>
        <v>12</v>
      </c>
      <c r="BN67" s="16">
        <f t="shared" ca="1" si="192"/>
        <v>12</v>
      </c>
      <c r="BO67" s="16" t="str">
        <f t="shared" si="174"/>
        <v>4J</v>
      </c>
      <c r="BP67" s="16"/>
      <c r="BQ67" s="16"/>
      <c r="BR67" s="16">
        <f t="shared" ca="1" si="175"/>
        <v>1</v>
      </c>
      <c r="BS67" s="16">
        <f t="shared" ca="1" si="193"/>
        <v>12</v>
      </c>
      <c r="BT67" s="16" t="str">
        <f t="shared" ca="1" si="194"/>
        <v>-</v>
      </c>
      <c r="BU67" s="16" t="str">
        <f t="shared" ca="1" si="176"/>
        <v>-</v>
      </c>
      <c r="BV67" s="16">
        <f t="shared" ca="1" si="177"/>
        <v>12</v>
      </c>
      <c r="BW67" s="16" t="str">
        <f t="shared" ca="1" si="178"/>
        <v>-</v>
      </c>
      <c r="BX67" s="16" t="str">
        <f t="shared" ca="1" si="179"/>
        <v>-</v>
      </c>
      <c r="BY67" s="16">
        <f t="shared" ca="1" si="180"/>
        <v>12</v>
      </c>
      <c r="BZ67" s="16" t="str">
        <f t="shared" ca="1" si="181"/>
        <v>-</v>
      </c>
      <c r="CA67" s="16" t="str">
        <f t="shared" ca="1" si="182"/>
        <v>-</v>
      </c>
      <c r="CB67" s="16">
        <f t="shared" ca="1" si="195"/>
        <v>12</v>
      </c>
      <c r="CC67" s="16"/>
      <c r="CD67" s="16">
        <f t="shared" ca="1" si="183"/>
        <v>12</v>
      </c>
      <c r="CE67" s="16" t="str">
        <f t="shared" ca="1" si="196"/>
        <v>-</v>
      </c>
      <c r="CF67" s="16">
        <f t="shared" ca="1" si="197"/>
        <v>12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Arabia Saudita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31" t="s">
        <v>448</v>
      </c>
      <c r="X68" s="24">
        <f ca="1">Horarios!C68</f>
        <v>46189.875</v>
      </c>
      <c r="Y68" s="25">
        <f ca="1">Horarios!C68</f>
        <v>46189.875</v>
      </c>
      <c r="Z68" s="26" t="str">
        <f>$Z$4</f>
        <v>J1</v>
      </c>
      <c r="AA68" s="27" t="str">
        <f ca="1">A69</f>
        <v>Francia</v>
      </c>
      <c r="AB68" s="49" t="str" cm="1">
        <f t="array" aca="1" ref="AB68" ca="1">Ver_flag_local</f>
        <v/>
      </c>
      <c r="AC68" s="50">
        <v>2</v>
      </c>
      <c r="AD68" s="51">
        <v>1</v>
      </c>
      <c r="AE68" s="571" t="str" cm="1">
        <f t="array" aca="1" ref="AE68" ca="1">Ver_flag_visit</f>
        <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Uzbekistán</v>
      </c>
      <c r="BE68" s="16">
        <f t="shared" ca="1" si="188"/>
        <v>2</v>
      </c>
      <c r="BF68" s="16">
        <f t="shared" ca="1" si="189"/>
        <v>3</v>
      </c>
      <c r="BG68" s="16">
        <f t="shared" ca="1" si="169"/>
        <v>0</v>
      </c>
      <c r="BH68" s="16">
        <f t="shared" ca="1" si="170"/>
        <v>2</v>
      </c>
      <c r="BI68" s="16">
        <f t="shared" ca="1" si="171"/>
        <v>1</v>
      </c>
      <c r="BJ68" s="16">
        <f t="shared" ca="1" si="172"/>
        <v>2</v>
      </c>
      <c r="BK68" s="16">
        <f t="shared" ca="1" si="173"/>
        <v>4</v>
      </c>
      <c r="BL68" s="16">
        <f t="shared" ca="1" si="190"/>
        <v>-2</v>
      </c>
      <c r="BM68" s="16">
        <f t="shared" ca="1" si="191"/>
        <v>11</v>
      </c>
      <c r="BN68" s="16">
        <f t="shared" ca="1" si="192"/>
        <v>11</v>
      </c>
      <c r="BO68" s="16" t="str">
        <f t="shared" si="174"/>
        <v>4K</v>
      </c>
      <c r="BP68" s="16"/>
      <c r="BQ68" s="16"/>
      <c r="BR68" s="16">
        <f t="shared" ca="1" si="175"/>
        <v>2</v>
      </c>
      <c r="BS68" s="16">
        <f t="shared" ca="1" si="193"/>
        <v>11</v>
      </c>
      <c r="BT68" s="16" t="str">
        <f t="shared" ca="1" si="194"/>
        <v>-</v>
      </c>
      <c r="BU68" s="16" t="str">
        <f t="shared" ca="1" si="176"/>
        <v>-</v>
      </c>
      <c r="BV68" s="16">
        <f t="shared" ca="1" si="177"/>
        <v>11</v>
      </c>
      <c r="BW68" s="16" t="str">
        <f t="shared" ca="1" si="178"/>
        <v>-</v>
      </c>
      <c r="BX68" s="16" t="str">
        <f t="shared" ca="1" si="179"/>
        <v>-</v>
      </c>
      <c r="BY68" s="16">
        <f t="shared" ca="1" si="180"/>
        <v>11</v>
      </c>
      <c r="BZ68" s="16" t="str">
        <f t="shared" ca="1" si="181"/>
        <v>-</v>
      </c>
      <c r="CA68" s="16" t="str">
        <f t="shared" ca="1" si="182"/>
        <v>-</v>
      </c>
      <c r="CB68" s="16">
        <f t="shared" ca="1" si="195"/>
        <v>11</v>
      </c>
      <c r="CC68" s="16"/>
      <c r="CD68" s="16">
        <f t="shared" ca="1" si="183"/>
        <v>11</v>
      </c>
      <c r="CE68" s="16" t="str">
        <f t="shared" ca="1" si="196"/>
        <v>-</v>
      </c>
      <c r="CF68" s="16">
        <f t="shared" ca="1" si="197"/>
        <v>11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Uzbekistán</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31"/>
      <c r="X69" s="24">
        <f ca="1">Horarios!C69</f>
        <v>46190</v>
      </c>
      <c r="Y69" s="25">
        <f ca="1">Horarios!C69</f>
        <v>46190</v>
      </c>
      <c r="Z69" s="26" t="str">
        <f>$Z$4</f>
        <v>J1</v>
      </c>
      <c r="AA69" s="27" t="str">
        <f ca="1">A71</f>
        <v>Irak</v>
      </c>
      <c r="AB69" s="49" t="str" cm="1">
        <f t="array" aca="1" ref="AB69" ca="1">Ver_flag_local</f>
        <v/>
      </c>
      <c r="AC69" s="50">
        <v>0</v>
      </c>
      <c r="AD69" s="51">
        <v>2</v>
      </c>
      <c r="AE69" s="571" t="str" cm="1">
        <f t="array" aca="1" ref="AE69" ca="1">Ver_flag_visit</f>
        <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4</v>
      </c>
      <c r="BK69" s="16">
        <f t="shared" ca="1" si="173"/>
        <v>4</v>
      </c>
      <c r="BL69" s="16">
        <f t="shared" ca="1" si="190"/>
        <v>0</v>
      </c>
      <c r="BM69" s="16">
        <f t="shared" ca="1" si="191"/>
        <v>5</v>
      </c>
      <c r="BN69" s="16">
        <f t="shared" ca="1" si="192"/>
        <v>5</v>
      </c>
      <c r="BO69" s="16" t="str">
        <f t="shared" si="174"/>
        <v>4L</v>
      </c>
      <c r="BP69" s="16"/>
      <c r="BQ69" s="16"/>
      <c r="BR69" s="16">
        <f t="shared" ca="1" si="175"/>
        <v>3</v>
      </c>
      <c r="BS69" s="16">
        <f t="shared" ca="1" si="193"/>
        <v>4</v>
      </c>
      <c r="BT69" s="16" t="str">
        <f t="shared" ca="1" si="194"/>
        <v>Pos. 4 (7)</v>
      </c>
      <c r="BU69" s="16">
        <f t="shared" ca="1" si="176"/>
        <v>0</v>
      </c>
      <c r="BV69" s="16">
        <f t="shared" ca="1" si="177"/>
        <v>4</v>
      </c>
      <c r="BW69" s="16" t="str">
        <f t="shared" ca="1" si="178"/>
        <v>Pos. 4 (3)</v>
      </c>
      <c r="BX69" s="16">
        <f t="shared" ca="1" si="179"/>
        <v>4</v>
      </c>
      <c r="BY69" s="16">
        <f t="shared" ca="1" si="180"/>
        <v>4</v>
      </c>
      <c r="BZ69" s="16" t="str">
        <f t="shared" ca="1" si="181"/>
        <v>Pos. 4 (3)</v>
      </c>
      <c r="CA69" s="16">
        <f t="shared" ca="1" si="182"/>
        <v>5</v>
      </c>
      <c r="CB69" s="16">
        <f ca="1">BY69+COUNTIFS(BZ$58:BZ$69,BZ69,CA$58:CA$69,"&gt;"&amp;CA69)</f>
        <v>5</v>
      </c>
      <c r="CC69" s="16"/>
      <c r="CD69" s="16">
        <f t="shared" ca="1" si="183"/>
        <v>5</v>
      </c>
      <c r="CE69" s="16">
        <f t="shared" ca="1" si="196"/>
        <v>4</v>
      </c>
      <c r="CF69" s="16">
        <f t="shared" ca="1" si="197"/>
        <v>5</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Austria</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31"/>
      <c r="X70" s="24">
        <f ca="1">Horarios!C70</f>
        <v>46195.958333333336</v>
      </c>
      <c r="Y70" s="25">
        <f ca="1">Horarios!C70</f>
        <v>46195.958333333336</v>
      </c>
      <c r="Z70" s="26" t="str">
        <f>$Z$6</f>
        <v>J2</v>
      </c>
      <c r="AA70" s="27" t="str">
        <f ca="1">A69</f>
        <v>Francia</v>
      </c>
      <c r="AB70" s="49" t="str" cm="1">
        <f t="array" aca="1" ref="AB70" ca="1">Ver_flag_local</f>
        <v/>
      </c>
      <c r="AC70" s="50">
        <v>2</v>
      </c>
      <c r="AD70" s="51">
        <v>0</v>
      </c>
      <c r="AE70" s="571" t="str" cm="1">
        <f t="array" aca="1" ref="AE70" ca="1">Ver_flag_visit</f>
        <v/>
      </c>
      <c r="AF70" s="32" t="str">
        <f ca="1">A71</f>
        <v>Irak</v>
      </c>
      <c r="AG70" s="306">
        <f t="shared" si="230"/>
        <v>1</v>
      </c>
      <c r="AH70" s="185">
        <v>42</v>
      </c>
      <c r="AI70" s="171" t="str">
        <f>AJ70&amp;$B$68</f>
        <v>1I</v>
      </c>
      <c r="AJ70" s="40">
        <v>1</v>
      </c>
      <c r="AK70" s="577"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6</v>
      </c>
      <c r="AS70" s="36">
        <f t="shared" ca="1" si="233"/>
        <v>1</v>
      </c>
      <c r="AT70" s="41">
        <f t="shared" ca="1" si="233"/>
        <v>5</v>
      </c>
      <c r="AU70" s="313">
        <f ca="1">INDEX($DL$6:$DL$53,MATCH(AI70,$DP$6:$DP$53,0))</f>
        <v>1</v>
      </c>
      <c r="AV70" s="172" t="str">
        <f ca="1">INDEX($BD$6:$BD$53,MATCH(AI70,$BM$6:$BM$53,0))</f>
        <v>Francia</v>
      </c>
      <c r="AW70" s="200"/>
      <c r="AX70" s="161"/>
      <c r="AY70" s="191" t="str">
        <f ca="1">+A69</f>
        <v>Francia</v>
      </c>
      <c r="AZ70" s="192"/>
      <c r="BA70" s="16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31"/>
      <c r="X71" s="24">
        <f ca="1">Horarios!C71</f>
        <v>46196.083333333336</v>
      </c>
      <c r="Y71" s="25">
        <f ca="1">Horarios!C71</f>
        <v>46196.083333333336</v>
      </c>
      <c r="Z71" s="26" t="str">
        <f>$Z$6</f>
        <v>J2</v>
      </c>
      <c r="AA71" s="27" t="str">
        <f ca="1">A72</f>
        <v>Noruega</v>
      </c>
      <c r="AB71" s="49" t="str" cm="1">
        <f t="array" aca="1" ref="AB71" ca="1">Ver_flag_local</f>
        <v/>
      </c>
      <c r="AC71" s="50">
        <v>2</v>
      </c>
      <c r="AD71" s="51">
        <v>1</v>
      </c>
      <c r="AE71" s="571" t="str" cm="1">
        <f t="array" aca="1" ref="AE71" ca="1">Ver_flag_visit</f>
        <v/>
      </c>
      <c r="AF71" s="32" t="str">
        <f ca="1">A70</f>
        <v>Senegal</v>
      </c>
      <c r="AG71" s="306">
        <f t="shared" si="230"/>
        <v>1</v>
      </c>
      <c r="AH71" s="185">
        <v>41</v>
      </c>
      <c r="AI71" s="171" t="str">
        <f t="shared" ref="AI71:AI73" si="234">AJ71&amp;$B$68</f>
        <v>2I</v>
      </c>
      <c r="AJ71" s="42">
        <v>2</v>
      </c>
      <c r="AK71" s="578"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4</v>
      </c>
      <c r="AS71" s="39">
        <f t="shared" ca="1" si="233"/>
        <v>3</v>
      </c>
      <c r="AT71" s="43">
        <f t="shared" ca="1" si="233"/>
        <v>1</v>
      </c>
      <c r="AU71" s="313">
        <f ca="1">INDEX($DL$6:$DL$53,MATCH(AI71,$DP$6:$DP$53,0))</f>
        <v>1</v>
      </c>
      <c r="AV71" s="172" t="str">
        <f ca="1">INDEX($BD$6:$BD$53,MATCH(AI71,$BM$6:$BM$53,0))</f>
        <v>Noruega</v>
      </c>
      <c r="AW71" s="200"/>
      <c r="AX71" s="161"/>
      <c r="AY71" s="193" t="str">
        <f ca="1">+A70</f>
        <v>Senegal</v>
      </c>
      <c r="AZ71" s="194"/>
      <c r="BA71" s="16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31"/>
      <c r="X72" s="24">
        <f ca="1">Horarios!C72</f>
        <v>46199.875</v>
      </c>
      <c r="Y72" s="25">
        <f ca="1">Horarios!C72</f>
        <v>46199.875</v>
      </c>
      <c r="Z72" s="26" t="str">
        <f>$Z$8</f>
        <v>J3</v>
      </c>
      <c r="AA72" s="27" t="str">
        <f ca="1">A72</f>
        <v>Noruega</v>
      </c>
      <c r="AB72" s="49" t="str" cm="1">
        <f t="array" aca="1" ref="AB72" ca="1">Ver_flag_local</f>
        <v/>
      </c>
      <c r="AC72" s="50">
        <v>0</v>
      </c>
      <c r="AD72" s="51">
        <v>2</v>
      </c>
      <c r="AE72" s="571" t="str" cm="1">
        <f t="array" aca="1" ref="AE72" ca="1">Ver_flag_visit</f>
        <v/>
      </c>
      <c r="AF72" s="32" t="str">
        <f ca="1">A69</f>
        <v>Francia</v>
      </c>
      <c r="AG72" s="306">
        <f t="shared" si="230"/>
        <v>1</v>
      </c>
      <c r="AH72" s="185">
        <v>61</v>
      </c>
      <c r="AI72" s="171" t="str">
        <f t="shared" si="234"/>
        <v>3I</v>
      </c>
      <c r="AJ72" s="42">
        <v>3</v>
      </c>
      <c r="AK72" s="578"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4</v>
      </c>
      <c r="AS72" s="39">
        <f t="shared" ca="1" si="233"/>
        <v>4</v>
      </c>
      <c r="AT72" s="43">
        <f t="shared" ca="1" si="233"/>
        <v>0</v>
      </c>
      <c r="AU72" s="313">
        <f ca="1">INDEX($DL$6:$DL$53,MATCH(AI72,$DP$6:$DP$53,0))</f>
        <v>1</v>
      </c>
      <c r="AV72" s="172" t="str">
        <f ca="1">INDEX($BD$6:$BD$53,MATCH(AI72,$BM$6:$BM$53,0))</f>
        <v>Senegal</v>
      </c>
      <c r="AW72" s="200"/>
      <c r="AX72" s="161"/>
      <c r="AY72" s="191" t="str">
        <f ca="1">+A71</f>
        <v>Irak</v>
      </c>
      <c r="AZ72" s="192"/>
      <c r="BA72" s="16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32"/>
      <c r="X73" s="28">
        <f ca="1">Horarios!C73</f>
        <v>46199.875</v>
      </c>
      <c r="Y73" s="29">
        <f ca="1">Horarios!C73</f>
        <v>46199.875</v>
      </c>
      <c r="Z73" s="30" t="str">
        <f>$Z$8</f>
        <v>J3</v>
      </c>
      <c r="AA73" s="31" t="str">
        <f ca="1">A70</f>
        <v>Senegal</v>
      </c>
      <c r="AB73" s="52" t="str" cm="1">
        <f t="array" aca="1" ref="AB73" ca="1">Ver_flag_local</f>
        <v/>
      </c>
      <c r="AC73" s="50">
        <v>2</v>
      </c>
      <c r="AD73" s="51">
        <v>0</v>
      </c>
      <c r="AE73" s="572" t="str" cm="1">
        <f t="array" aca="1" ref="AE73" ca="1">Ver_flag_visit</f>
        <v/>
      </c>
      <c r="AF73" s="33" t="str">
        <f ca="1">A71</f>
        <v>Irak</v>
      </c>
      <c r="AG73" s="306">
        <f t="shared" si="230"/>
        <v>1</v>
      </c>
      <c r="AH73" s="185">
        <v>62</v>
      </c>
      <c r="AI73" s="171" t="str">
        <f t="shared" si="234"/>
        <v>4I</v>
      </c>
      <c r="AJ73" s="44">
        <v>4</v>
      </c>
      <c r="AK73" s="580"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6</v>
      </c>
      <c r="AT73" s="48">
        <f t="shared" ca="1" si="233"/>
        <v>-6</v>
      </c>
      <c r="AU73" s="313">
        <f ca="1">INDEX($DL$6:$DL$53,MATCH(AI73,$DP$6:$DP$53,0))</f>
        <v>1</v>
      </c>
      <c r="AV73" s="172" t="str">
        <f ca="1">INDEX($BD$6:$BD$53,MATCH(AI73,$BM$6:$BM$53,0))</f>
        <v>Irak</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27" t="s">
        <v>5</v>
      </c>
      <c r="X76" s="24">
        <f ca="1">Horarios!C76</f>
        <v>46190.125</v>
      </c>
      <c r="Y76" s="25">
        <f ca="1">Horarios!C76</f>
        <v>46190.125</v>
      </c>
      <c r="Z76" s="26" t="str">
        <f>$Z$4</f>
        <v>J1</v>
      </c>
      <c r="AA76" s="27" t="str">
        <f ca="1">A77</f>
        <v>Argentina</v>
      </c>
      <c r="AB76" s="49" t="str" cm="1">
        <f t="array" aca="1" ref="AB76" ca="1">Ver_flag_local</f>
        <v/>
      </c>
      <c r="AC76" s="50">
        <v>2</v>
      </c>
      <c r="AD76" s="51">
        <v>0</v>
      </c>
      <c r="AE76" s="571" t="str" cm="1">
        <f t="array" aca="1" ref="AE76" ca="1">Ver_flag_visit</f>
        <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05" customHeight="1">
      <c r="A77" s="16" t="str">
        <f ca="1">+Equipos!B38</f>
        <v>Argentina</v>
      </c>
      <c r="B77" s="16"/>
      <c r="C77" s="16"/>
      <c r="D77" s="16" t="str">
        <f t="shared" si="235"/>
        <v>Empate</v>
      </c>
      <c r="E77" s="16" t="str">
        <f t="shared" ca="1" si="236"/>
        <v>P.3 (2)</v>
      </c>
      <c r="F77" s="16" t="str">
        <f t="shared" ca="1" si="237"/>
        <v>P.3 (2)</v>
      </c>
      <c r="G77" s="16"/>
      <c r="H77" s="16" t="str">
        <f t="shared" ca="1" si="238"/>
        <v>P.3 (2)</v>
      </c>
      <c r="I77" s="16" t="str">
        <f t="shared" ca="1" si="239"/>
        <v>P.3 (2)</v>
      </c>
      <c r="J77" s="16"/>
      <c r="K77" s="16" t="str">
        <f t="shared" ca="1" si="240"/>
        <v>P.3 (2)</v>
      </c>
      <c r="L77" s="16" t="str">
        <f t="shared" ca="1" si="241"/>
        <v>P.3 (2)</v>
      </c>
      <c r="M77" s="16"/>
      <c r="N77" s="16" t="str">
        <f t="shared" ca="1" si="242"/>
        <v>P.3 (2)</v>
      </c>
      <c r="O77" s="16" t="str">
        <f t="shared" ca="1" si="243"/>
        <v>P.3 (2)</v>
      </c>
      <c r="P77" s="16"/>
      <c r="Q77" s="16" t="str">
        <f t="shared" ca="1" si="244"/>
        <v>P.3 (2)</v>
      </c>
      <c r="R77" s="16" t="str">
        <f t="shared" ca="1" si="245"/>
        <v>P.3 (2)</v>
      </c>
      <c r="S77" s="16"/>
      <c r="T77" s="16" t="str">
        <f t="shared" ca="1" si="246"/>
        <v>P.3 (2)</v>
      </c>
      <c r="U77" s="16" t="str">
        <f t="shared" ca="1" si="247"/>
        <v>P.3 (2)</v>
      </c>
      <c r="V77" s="17"/>
      <c r="W77" s="627"/>
      <c r="X77" s="24">
        <f ca="1">Horarios!C77</f>
        <v>46190.25</v>
      </c>
      <c r="Y77" s="25">
        <f ca="1">Horarios!C77</f>
        <v>46190.25</v>
      </c>
      <c r="Z77" s="26" t="str">
        <f>$Z$4</f>
        <v>J1</v>
      </c>
      <c r="AA77" s="27" t="str">
        <f ca="1">A79</f>
        <v>Austria</v>
      </c>
      <c r="AB77" s="49" t="str" cm="1">
        <f t="array" aca="1" ref="AB77" ca="1">Ver_flag_local</f>
        <v/>
      </c>
      <c r="AC77" s="50">
        <v>1</v>
      </c>
      <c r="AD77" s="51">
        <v>1</v>
      </c>
      <c r="AE77" s="571" t="str" cm="1">
        <f t="array" aca="1" ref="AE77" ca="1">Ver_flag_visit</f>
        <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Local</v>
      </c>
      <c r="E78" s="16" t="str">
        <f t="shared" ca="1" si="236"/>
        <v>-</v>
      </c>
      <c r="F78" s="16" t="str">
        <f t="shared" ca="1" si="237"/>
        <v>P.3 (2)</v>
      </c>
      <c r="G78" s="16"/>
      <c r="H78" s="16" t="str">
        <f t="shared" ca="1" si="238"/>
        <v>-</v>
      </c>
      <c r="I78" s="16" t="str">
        <f t="shared" ca="1" si="239"/>
        <v>P.3 (2)</v>
      </c>
      <c r="J78" s="16"/>
      <c r="K78" s="16" t="str">
        <f t="shared" ca="1" si="240"/>
        <v>-</v>
      </c>
      <c r="L78" s="16" t="str">
        <f t="shared" ca="1" si="241"/>
        <v>P.3 (2)</v>
      </c>
      <c r="M78" s="16"/>
      <c r="N78" s="16" t="str">
        <f t="shared" ca="1" si="242"/>
        <v>-</v>
      </c>
      <c r="O78" s="16" t="str">
        <f t="shared" ca="1" si="243"/>
        <v>P.3 (2)</v>
      </c>
      <c r="P78" s="16"/>
      <c r="Q78" s="16" t="str">
        <f t="shared" ca="1" si="244"/>
        <v>-</v>
      </c>
      <c r="R78" s="16" t="str">
        <f t="shared" ca="1" si="245"/>
        <v>P.3 (2)</v>
      </c>
      <c r="S78" s="16"/>
      <c r="T78" s="16" t="str">
        <f t="shared" ca="1" si="246"/>
        <v>-</v>
      </c>
      <c r="U78" s="16" t="str">
        <f t="shared" ca="1" si="247"/>
        <v>P.3 (2)</v>
      </c>
      <c r="V78" s="17"/>
      <c r="W78" s="627"/>
      <c r="X78" s="24">
        <f ca="1">Horarios!C78</f>
        <v>46195.791666666664</v>
      </c>
      <c r="Y78" s="25">
        <f ca="1">Horarios!C78</f>
        <v>46195.791666666664</v>
      </c>
      <c r="Z78" s="26" t="str">
        <f>$Z$6</f>
        <v>J2</v>
      </c>
      <c r="AA78" s="27" t="str">
        <f ca="1">A77</f>
        <v>Argentina</v>
      </c>
      <c r="AB78" s="49" t="str" cm="1">
        <f t="array" aca="1" ref="AB78" ca="1">Ver_flag_local</f>
        <v/>
      </c>
      <c r="AC78" s="50">
        <v>2</v>
      </c>
      <c r="AD78" s="51">
        <v>1</v>
      </c>
      <c r="AE78" s="571" t="str" cm="1">
        <f t="array" aca="1" ref="AE78" ca="1">Ver_flag_visit</f>
        <v/>
      </c>
      <c r="AF78" s="32" t="str">
        <f ca="1">A79</f>
        <v>Austria</v>
      </c>
      <c r="AG78" s="306">
        <f t="shared" si="248"/>
        <v>1</v>
      </c>
      <c r="AH78" s="185">
        <v>43</v>
      </c>
      <c r="AI78" s="171" t="str">
        <f>AJ78&amp;$B$76</f>
        <v>1J</v>
      </c>
      <c r="AJ78" s="40">
        <v>1</v>
      </c>
      <c r="AK78" s="577"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Visitante</v>
      </c>
      <c r="E79" s="16" t="str">
        <f t="shared" ca="1" si="236"/>
        <v>P.3 (2)</v>
      </c>
      <c r="F79" s="16" t="str">
        <f t="shared" ca="1" si="237"/>
        <v>-</v>
      </c>
      <c r="G79" s="16"/>
      <c r="H79" s="16" t="str">
        <f t="shared" ca="1" si="238"/>
        <v>P.3 (2)</v>
      </c>
      <c r="I79" s="16" t="str">
        <f t="shared" ca="1" si="239"/>
        <v>-</v>
      </c>
      <c r="J79" s="16"/>
      <c r="K79" s="16" t="str">
        <f t="shared" ca="1" si="240"/>
        <v>P.3 (2)</v>
      </c>
      <c r="L79" s="16" t="str">
        <f t="shared" ca="1" si="241"/>
        <v>-</v>
      </c>
      <c r="M79" s="16"/>
      <c r="N79" s="16" t="str">
        <f t="shared" ca="1" si="242"/>
        <v>P.3 (2)</v>
      </c>
      <c r="O79" s="16" t="str">
        <f t="shared" ca="1" si="243"/>
        <v>-</v>
      </c>
      <c r="P79" s="16"/>
      <c r="Q79" s="16" t="str">
        <f t="shared" ca="1" si="244"/>
        <v>P.3 (2)</v>
      </c>
      <c r="R79" s="16" t="str">
        <f t="shared" ca="1" si="245"/>
        <v>-</v>
      </c>
      <c r="S79" s="16"/>
      <c r="T79" s="16" t="str">
        <f t="shared" ca="1" si="246"/>
        <v>P.3 (2)</v>
      </c>
      <c r="U79" s="16" t="str">
        <f t="shared" ca="1" si="247"/>
        <v>-</v>
      </c>
      <c r="V79" s="17"/>
      <c r="W79" s="627"/>
      <c r="X79" s="24">
        <f ca="1">Horarios!C79</f>
        <v>46196.208333333336</v>
      </c>
      <c r="Y79" s="25">
        <f ca="1">Horarios!C79</f>
        <v>46196.208333333336</v>
      </c>
      <c r="Z79" s="26" t="str">
        <f>$Z$6</f>
        <v>J2</v>
      </c>
      <c r="AA79" s="27" t="str">
        <f ca="1">A80</f>
        <v>Jordania</v>
      </c>
      <c r="AB79" s="49" t="str" cm="1">
        <f t="array" aca="1" ref="AB79" ca="1">Ver_flag_local</f>
        <v/>
      </c>
      <c r="AC79" s="50">
        <v>0</v>
      </c>
      <c r="AD79" s="51">
        <v>2</v>
      </c>
      <c r="AE79" s="571" t="str" cm="1">
        <f t="array" aca="1" ref="AE79" ca="1">Ver_flag_visit</f>
        <v/>
      </c>
      <c r="AF79" s="32" t="str">
        <f ca="1">A78</f>
        <v>Argelia</v>
      </c>
      <c r="AG79" s="306">
        <f t="shared" si="248"/>
        <v>1</v>
      </c>
      <c r="AH79" s="185">
        <v>44</v>
      </c>
      <c r="AI79" s="171" t="str">
        <f t="shared" ref="AI79:AI81" si="252">AJ79&amp;$B$76</f>
        <v>2J</v>
      </c>
      <c r="AJ79" s="42">
        <v>2</v>
      </c>
      <c r="AK79" s="578" t="str" cm="1">
        <f t="array" aca="1" ref="AK79" ca="1">Ver_flag_visit</f>
        <v/>
      </c>
      <c r="AL79" s="37" t="str">
        <f ca="1">IFERROR(INDEX($BD$6:$BD$53,MATCH(AI79,$BN$6:$BN$53,0)),"")</f>
        <v>Argelia</v>
      </c>
      <c r="AM79" s="38">
        <f t="shared" ca="1" si="251"/>
        <v>6</v>
      </c>
      <c r="AN79" s="39">
        <f t="shared" ca="1" si="251"/>
        <v>3</v>
      </c>
      <c r="AO79" s="39">
        <f t="shared" ca="1" si="251"/>
        <v>2</v>
      </c>
      <c r="AP79" s="39">
        <f t="shared" ca="1" si="251"/>
        <v>0</v>
      </c>
      <c r="AQ79" s="39">
        <f t="shared" ca="1" si="251"/>
        <v>1</v>
      </c>
      <c r="AR79" s="39">
        <f t="shared" ca="1" si="251"/>
        <v>4</v>
      </c>
      <c r="AS79" s="39">
        <f t="shared" ca="1" si="251"/>
        <v>3</v>
      </c>
      <c r="AT79" s="43">
        <f t="shared" ca="1" si="251"/>
        <v>1</v>
      </c>
      <c r="AU79" s="313">
        <f ca="1">INDEX($DL$6:$DL$53,MATCH(AI79,$DP$6:$DP$53,0))</f>
        <v>1</v>
      </c>
      <c r="AV79" s="172" t="str">
        <f ca="1">INDEX($BD$6:$BD$53,MATCH(AI79,$BM$6:$BM$53,0))</f>
        <v>Argelia</v>
      </c>
      <c r="AW79" s="200"/>
      <c r="AX79" s="161"/>
      <c r="AY79" s="193" t="str">
        <f ca="1">+A78</f>
        <v>Argelia</v>
      </c>
      <c r="AZ79" s="194"/>
      <c r="BA79" s="166"/>
      <c r="DN79" s="16"/>
    </row>
    <row r="80" spans="1:121" ht="16.05" customHeight="1">
      <c r="A80" s="16" t="str">
        <f ca="1">+Equipos!B41</f>
        <v>Jordania</v>
      </c>
      <c r="B80" s="16"/>
      <c r="C80" s="16"/>
      <c r="D80" s="16" t="str">
        <f t="shared" si="235"/>
        <v>Local</v>
      </c>
      <c r="E80" s="16" t="str">
        <f t="shared" ca="1" si="236"/>
        <v>-</v>
      </c>
      <c r="F80" s="16" t="str">
        <f t="shared" ca="1" si="237"/>
        <v>P.3 (2)</v>
      </c>
      <c r="G80" s="16"/>
      <c r="H80" s="16" t="str">
        <f t="shared" ca="1" si="238"/>
        <v>-</v>
      </c>
      <c r="I80" s="16" t="str">
        <f t="shared" ca="1" si="239"/>
        <v>P.3 (2)</v>
      </c>
      <c r="J80" s="16"/>
      <c r="K80" s="16" t="str">
        <f t="shared" ca="1" si="240"/>
        <v>-</v>
      </c>
      <c r="L80" s="16" t="str">
        <f t="shared" ca="1" si="241"/>
        <v>P.3 (2)</v>
      </c>
      <c r="M80" s="16"/>
      <c r="N80" s="16" t="str">
        <f t="shared" ca="1" si="242"/>
        <v>-</v>
      </c>
      <c r="O80" s="16" t="str">
        <f t="shared" ca="1" si="243"/>
        <v>P.3 (2)</v>
      </c>
      <c r="P80" s="16"/>
      <c r="Q80" s="16" t="str">
        <f t="shared" ca="1" si="244"/>
        <v>-</v>
      </c>
      <c r="R80" s="16" t="str">
        <f t="shared" ca="1" si="245"/>
        <v>P.3 (2)</v>
      </c>
      <c r="S80" s="16"/>
      <c r="T80" s="16" t="str">
        <f t="shared" ca="1" si="246"/>
        <v>-</v>
      </c>
      <c r="U80" s="16" t="str">
        <f t="shared" ca="1" si="247"/>
        <v>P.3 (2)</v>
      </c>
      <c r="V80" s="17"/>
      <c r="W80" s="627"/>
      <c r="X80" s="24">
        <f ca="1">Horarios!C80</f>
        <v>46201.166666666664</v>
      </c>
      <c r="Y80" s="25">
        <f ca="1">Horarios!C80</f>
        <v>46201.166666666664</v>
      </c>
      <c r="Z80" s="26" t="str">
        <f>$Z$8</f>
        <v>J3</v>
      </c>
      <c r="AA80" s="27" t="str">
        <f ca="1">A78</f>
        <v>Argelia</v>
      </c>
      <c r="AB80" s="49" t="str" cm="1">
        <f t="array" aca="1" ref="AB80" ca="1">Ver_flag_local</f>
        <v/>
      </c>
      <c r="AC80" s="50">
        <v>2</v>
      </c>
      <c r="AD80" s="51">
        <v>1</v>
      </c>
      <c r="AE80" s="571" t="str" cm="1">
        <f t="array" aca="1" ref="AE80" ca="1">Ver_flag_visit</f>
        <v/>
      </c>
      <c r="AF80" s="32" t="str">
        <f ca="1">A79</f>
        <v>Austria</v>
      </c>
      <c r="AG80" s="306">
        <f t="shared" si="248"/>
        <v>1</v>
      </c>
      <c r="AH80" s="185">
        <v>69</v>
      </c>
      <c r="AI80" s="171" t="str">
        <f t="shared" si="252"/>
        <v>3J</v>
      </c>
      <c r="AJ80" s="42">
        <v>3</v>
      </c>
      <c r="AK80" s="578" t="str" cm="1">
        <f t="array" aca="1" ref="AK80" ca="1">Ver_flag_visit</f>
        <v/>
      </c>
      <c r="AL80" s="37" t="str">
        <f ca="1">IFERROR(INDEX($BD$6:$BD$53,MATCH(AI80,$BN$6:$BN$53,0)),"")</f>
        <v>Austria</v>
      </c>
      <c r="AM80" s="38">
        <f t="shared" ca="1" si="251"/>
        <v>1</v>
      </c>
      <c r="AN80" s="39">
        <f t="shared" ca="1" si="251"/>
        <v>3</v>
      </c>
      <c r="AO80" s="39">
        <f t="shared" ca="1" si="251"/>
        <v>0</v>
      </c>
      <c r="AP80" s="39">
        <f t="shared" ca="1" si="251"/>
        <v>1</v>
      </c>
      <c r="AQ80" s="39">
        <f t="shared" ca="1" si="251"/>
        <v>2</v>
      </c>
      <c r="AR80" s="39">
        <f t="shared" ca="1" si="251"/>
        <v>3</v>
      </c>
      <c r="AS80" s="39">
        <f t="shared" ca="1" si="251"/>
        <v>5</v>
      </c>
      <c r="AT80" s="43">
        <f t="shared" ca="1" si="251"/>
        <v>-2</v>
      </c>
      <c r="AU80" s="313">
        <f ca="1">INDEX($DL$6:$DL$53,MATCH(AI80,$DP$6:$DP$53,0))</f>
        <v>1</v>
      </c>
      <c r="AV80" s="172" t="str">
        <f ca="1">INDEX($BD$6:$BD$53,MATCH(AI80,$BM$6:$BM$53,0))</f>
        <v>Austria</v>
      </c>
      <c r="AW80" s="200"/>
      <c r="AX80" s="161"/>
      <c r="AY80" s="191" t="str">
        <f ca="1">+A79</f>
        <v>Austria</v>
      </c>
      <c r="AZ80" s="192"/>
      <c r="BA80" s="166"/>
      <c r="DN80" s="16"/>
    </row>
    <row r="81" spans="1:118" ht="16.0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28"/>
      <c r="X81" s="28">
        <f ca="1">Horarios!C81</f>
        <v>46201.166666666664</v>
      </c>
      <c r="Y81" s="29">
        <f ca="1">Horarios!C81</f>
        <v>46201.166666666664</v>
      </c>
      <c r="Z81" s="30" t="str">
        <f>$Z$8</f>
        <v>J3</v>
      </c>
      <c r="AA81" s="31" t="str">
        <f ca="1">A80</f>
        <v>Jordania</v>
      </c>
      <c r="AB81" s="52" t="str" cm="1">
        <f t="array" aca="1" ref="AB81" ca="1">Ver_flag_local</f>
        <v/>
      </c>
      <c r="AC81" s="50">
        <v>0</v>
      </c>
      <c r="AD81" s="51">
        <v>3</v>
      </c>
      <c r="AE81" s="572" t="str" cm="1">
        <f t="array" aca="1" ref="AE81" ca="1">Ver_flag_visit</f>
        <v/>
      </c>
      <c r="AF81" s="33" t="str">
        <f ca="1">A77</f>
        <v>Argentina</v>
      </c>
      <c r="AG81" s="306">
        <f t="shared" si="248"/>
        <v>1</v>
      </c>
      <c r="AH81" s="185">
        <v>70</v>
      </c>
      <c r="AI81" s="171" t="str">
        <f t="shared" si="252"/>
        <v>4J</v>
      </c>
      <c r="AJ81" s="44">
        <v>4</v>
      </c>
      <c r="AK81" s="580" t="str" cm="1">
        <f t="array" aca="1" ref="AK81" ca="1">Ver_flag_visit</f>
        <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6</v>
      </c>
      <c r="AT81" s="48">
        <f t="shared" ca="1" si="251"/>
        <v>-5</v>
      </c>
      <c r="AU81" s="313">
        <f ca="1">INDEX($DL$6:$DL$53,MATCH(AI81,$DP$6:$DP$53,0))</f>
        <v>1</v>
      </c>
      <c r="AV81" s="172" t="str">
        <f ca="1">INDEX($BD$6:$BD$53,MATCH(AI81,$BM$6:$BM$53,0))</f>
        <v>Jordania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33" t="s">
        <v>449</v>
      </c>
      <c r="X84" s="24">
        <f ca="1">Horarios!C84</f>
        <v>46190.791666666664</v>
      </c>
      <c r="Y84" s="25">
        <f ca="1">Horarios!C84</f>
        <v>46190.791666666664</v>
      </c>
      <c r="Z84" s="26" t="str">
        <f>$Z$4</f>
        <v>J1</v>
      </c>
      <c r="AA84" s="27" t="str">
        <f ca="1">A85</f>
        <v>Portugal</v>
      </c>
      <c r="AB84" s="49" t="str" cm="1">
        <f t="array" aca="1" ref="AB84" ca="1">Ver_flag_local</f>
        <v/>
      </c>
      <c r="AC84" s="50">
        <v>2</v>
      </c>
      <c r="AD84" s="51">
        <v>1</v>
      </c>
      <c r="AE84" s="571" t="str" cm="1">
        <f t="array" aca="1" ref="AE84" ca="1">Ver_flag_visit</f>
        <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05" customHeight="1">
      <c r="A85" s="16" t="str">
        <f ca="1">+Equipos!B42</f>
        <v>Portugal</v>
      </c>
      <c r="B85" s="16"/>
      <c r="C85" s="16"/>
      <c r="D85" s="16" t="str">
        <f t="shared" si="253"/>
        <v>Empate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33"/>
      <c r="X85" s="24">
        <f ca="1">Horarios!C85</f>
        <v>46191.166666666664</v>
      </c>
      <c r="Y85" s="25">
        <f ca="1">Horarios!C85</f>
        <v>46191.166666666664</v>
      </c>
      <c r="Z85" s="26" t="str">
        <f>$Z$4</f>
        <v>J1</v>
      </c>
      <c r="AA85" s="27" t="str">
        <f ca="1">A87</f>
        <v>Uzbekistán</v>
      </c>
      <c r="AB85" s="49" t="str" cm="1">
        <f t="array" aca="1" ref="AB85" ca="1">Ver_flag_local</f>
        <v/>
      </c>
      <c r="AC85" s="50">
        <v>1</v>
      </c>
      <c r="AD85" s="51">
        <v>1</v>
      </c>
      <c r="AE85" s="571" t="str" cm="1">
        <f t="array" aca="1" ref="AE85" ca="1">Ver_flag_visit</f>
        <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33"/>
      <c r="X86" s="24">
        <f ca="1">Horarios!C86</f>
        <v>46196.791666666664</v>
      </c>
      <c r="Y86" s="25">
        <f ca="1">Horarios!C86</f>
        <v>46196.791666666664</v>
      </c>
      <c r="Z86" s="26" t="str">
        <f>$Z$6</f>
        <v>J2</v>
      </c>
      <c r="AA86" s="27" t="str">
        <f ca="1">A85</f>
        <v>Portugal</v>
      </c>
      <c r="AB86" s="49" t="str" cm="1">
        <f t="array" aca="1" ref="AB86" ca="1">Ver_flag_local</f>
        <v/>
      </c>
      <c r="AC86" s="50">
        <v>2</v>
      </c>
      <c r="AD86" s="51">
        <v>0</v>
      </c>
      <c r="AE86" s="571" t="str" cm="1">
        <f t="array" aca="1" ref="AE86" ca="1">Ver_flag_visit</f>
        <v/>
      </c>
      <c r="AF86" s="32" t="str">
        <f ca="1">A87</f>
        <v>Uzbekistán</v>
      </c>
      <c r="AG86" s="306">
        <f t="shared" si="266"/>
        <v>1</v>
      </c>
      <c r="AH86" s="185">
        <v>47</v>
      </c>
      <c r="AI86" s="171" t="str">
        <f>AJ86&amp;$B$84</f>
        <v>1K</v>
      </c>
      <c r="AJ86" s="40">
        <v>1</v>
      </c>
      <c r="AK86" s="577"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6</v>
      </c>
      <c r="AS86" s="36">
        <f t="shared" ca="1" si="269"/>
        <v>2</v>
      </c>
      <c r="AT86" s="41">
        <f t="shared" ca="1" si="269"/>
        <v>4</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33"/>
      <c r="X87" s="24">
        <f ca="1">Horarios!C87</f>
        <v>46197.166666666664</v>
      </c>
      <c r="Y87" s="25">
        <f ca="1">Horarios!C87</f>
        <v>46197.166666666664</v>
      </c>
      <c r="Z87" s="26" t="str">
        <f>$Z$6</f>
        <v>J2</v>
      </c>
      <c r="AA87" s="27" t="str">
        <f ca="1">A88</f>
        <v>Colombia</v>
      </c>
      <c r="AB87" s="49" t="str" cm="1">
        <f t="array" aca="1" ref="AB87" ca="1">Ver_flag_local</f>
        <v/>
      </c>
      <c r="AC87" s="50">
        <v>2</v>
      </c>
      <c r="AD87" s="51">
        <v>0</v>
      </c>
      <c r="AE87" s="571" t="str" cm="1">
        <f t="array" aca="1" ref="AE87" ca="1">Ver_flag_visit</f>
        <v/>
      </c>
      <c r="AF87" s="32" t="str">
        <f ca="1">A86</f>
        <v>RD Congo</v>
      </c>
      <c r="AG87" s="306">
        <f t="shared" si="266"/>
        <v>1</v>
      </c>
      <c r="AH87" s="185">
        <v>48</v>
      </c>
      <c r="AI87" s="171" t="str">
        <f t="shared" ref="AI87:AI89" si="270">AJ87&amp;$B$84</f>
        <v>2K</v>
      </c>
      <c r="AJ87" s="42">
        <v>2</v>
      </c>
      <c r="AK87" s="578" t="str" cm="1">
        <f t="array" aca="1" ref="AK87" ca="1">Ver_flag_visit</f>
        <v/>
      </c>
      <c r="AL87" s="37" t="str">
        <f ca="1">IFERROR(INDEX($BD$6:$BD$53,MATCH(AI87,$BN$6:$BN$53,0)),"")</f>
        <v>Colombia</v>
      </c>
      <c r="AM87" s="38">
        <f t="shared" ca="1" si="269"/>
        <v>4</v>
      </c>
      <c r="AN87" s="39">
        <f t="shared" ca="1" si="269"/>
        <v>3</v>
      </c>
      <c r="AO87" s="39">
        <f t="shared" ca="1" si="269"/>
        <v>1</v>
      </c>
      <c r="AP87" s="39">
        <f t="shared" ca="1" si="269"/>
        <v>1</v>
      </c>
      <c r="AQ87" s="39">
        <f t="shared" ca="1" si="269"/>
        <v>1</v>
      </c>
      <c r="AR87" s="39">
        <f t="shared" ca="1" si="269"/>
        <v>4</v>
      </c>
      <c r="AS87" s="39">
        <f t="shared" ca="1" si="269"/>
        <v>3</v>
      </c>
      <c r="AT87" s="43">
        <f t="shared" ca="1" si="269"/>
        <v>1</v>
      </c>
      <c r="AU87" s="313">
        <f ca="1">INDEX($DL$6:$DL$53,MATCH(AI87,$DP$6:$DP$53,0))</f>
        <v>1</v>
      </c>
      <c r="AV87" s="172" t="str">
        <f ca="1">INDEX($BD$6:$BD$53,MATCH(AI87,$BM$6:$BM$53,0))</f>
        <v>Colombia</v>
      </c>
      <c r="AW87" s="200"/>
      <c r="AX87" s="161"/>
      <c r="AY87" s="193" t="str">
        <f ca="1">+A86</f>
        <v>RD Congo</v>
      </c>
      <c r="AZ87" s="194"/>
      <c r="BA87" s="16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33"/>
      <c r="X88" s="24">
        <f ca="1">Horarios!C88</f>
        <v>46201.0625</v>
      </c>
      <c r="Y88" s="25">
        <f ca="1">Horarios!C88</f>
        <v>46201.0625</v>
      </c>
      <c r="Z88" s="26" t="str">
        <f>$Z$8</f>
        <v>J3</v>
      </c>
      <c r="AA88" s="27" t="str">
        <f ca="1">A88</f>
        <v>Colombia</v>
      </c>
      <c r="AB88" s="49" t="str" cm="1">
        <f t="array" aca="1" ref="AB88" ca="1">Ver_flag_local</f>
        <v/>
      </c>
      <c r="AC88" s="50">
        <v>1</v>
      </c>
      <c r="AD88" s="51">
        <v>2</v>
      </c>
      <c r="AE88" s="571" t="str" cm="1">
        <f t="array" aca="1" ref="AE88" ca="1">Ver_flag_visit</f>
        <v/>
      </c>
      <c r="AF88" s="32" t="str">
        <f ca="1">A85</f>
        <v>Portugal</v>
      </c>
      <c r="AG88" s="306">
        <f t="shared" si="266"/>
        <v>1</v>
      </c>
      <c r="AH88" s="185">
        <v>71</v>
      </c>
      <c r="AI88" s="171" t="str">
        <f t="shared" si="270"/>
        <v>3K</v>
      </c>
      <c r="AJ88" s="42">
        <v>3</v>
      </c>
      <c r="AK88" s="578" t="str" cm="1">
        <f t="array" aca="1" ref="AK88" ca="1">Ver_flag_visit</f>
        <v/>
      </c>
      <c r="AL88" s="37" t="str">
        <f ca="1">IFERROR(INDEX($BD$6:$BD$53,MATCH(AI88,$BN$6:$BN$53,0)),"")</f>
        <v>Uzbekistán</v>
      </c>
      <c r="AM88" s="38">
        <f t="shared" ca="1" si="269"/>
        <v>2</v>
      </c>
      <c r="AN88" s="39">
        <f t="shared" ca="1" si="269"/>
        <v>3</v>
      </c>
      <c r="AO88" s="39">
        <f t="shared" ca="1" si="269"/>
        <v>0</v>
      </c>
      <c r="AP88" s="39">
        <f t="shared" ca="1" si="269"/>
        <v>2</v>
      </c>
      <c r="AQ88" s="39">
        <f t="shared" ca="1" si="269"/>
        <v>1</v>
      </c>
      <c r="AR88" s="39">
        <f t="shared" ca="1" si="269"/>
        <v>2</v>
      </c>
      <c r="AS88" s="39">
        <f t="shared" ca="1" si="269"/>
        <v>4</v>
      </c>
      <c r="AT88" s="43">
        <f t="shared" ca="1" si="269"/>
        <v>-2</v>
      </c>
      <c r="AU88" s="313">
        <f ca="1">INDEX($DL$6:$DL$53,MATCH(AI88,$DP$6:$DP$53,0))</f>
        <v>1</v>
      </c>
      <c r="AV88" s="172" t="str">
        <f ca="1">INDEX($BD$6:$BD$53,MATCH(AI88,$BM$6:$BM$53,0))</f>
        <v>Uzbekistán</v>
      </c>
      <c r="AW88" s="200"/>
      <c r="AX88" s="161"/>
      <c r="AY88" s="191" t="str">
        <f ca="1">+A87</f>
        <v>Uzbekistán</v>
      </c>
      <c r="AZ88" s="192"/>
      <c r="BA88" s="166"/>
    </row>
    <row r="89" spans="1:118" ht="16.05" customHeight="1" thickBot="1">
      <c r="A89" s="16"/>
      <c r="B89" s="16"/>
      <c r="C89" s="16"/>
      <c r="D89" s="16" t="str">
        <f t="shared" si="253"/>
        <v>Empate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34"/>
      <c r="X89" s="28">
        <f ca="1">Horarios!C89</f>
        <v>46201.0625</v>
      </c>
      <c r="Y89" s="29">
        <f ca="1">Horarios!C89</f>
        <v>46201.0625</v>
      </c>
      <c r="Z89" s="30" t="str">
        <f>$Z$8</f>
        <v>J3</v>
      </c>
      <c r="AA89" s="31" t="str">
        <f ca="1">A86</f>
        <v>RD Congo</v>
      </c>
      <c r="AB89" s="52" t="str" cm="1">
        <f t="array" aca="1" ref="AB89" ca="1">Ver_flag_local</f>
        <v/>
      </c>
      <c r="AC89" s="50">
        <v>1</v>
      </c>
      <c r="AD89" s="51">
        <v>1</v>
      </c>
      <c r="AE89" s="572" t="str" cm="1">
        <f t="array" aca="1" ref="AE89" ca="1">Ver_flag_visit</f>
        <v/>
      </c>
      <c r="AF89" s="33" t="str">
        <f ca="1">A87</f>
        <v>Uzbekistán</v>
      </c>
      <c r="AG89" s="306">
        <f t="shared" si="266"/>
        <v>1</v>
      </c>
      <c r="AH89" s="185">
        <v>72</v>
      </c>
      <c r="AI89" s="171" t="str">
        <f t="shared" si="270"/>
        <v>4K</v>
      </c>
      <c r="AJ89" s="44">
        <v>4</v>
      </c>
      <c r="AK89" s="580" t="str" cm="1">
        <f t="array" aca="1" ref="AK89" ca="1">Ver_flag_visit</f>
        <v/>
      </c>
      <c r="AL89" s="45" t="str">
        <f ca="1">IFERROR(INDEX($BD$6:$BD$53,MATCH(AI89,$BN$6:$BN$53,0)),"")</f>
        <v>RD Congo</v>
      </c>
      <c r="AM89" s="46">
        <f t="shared" ca="1" si="269"/>
        <v>1</v>
      </c>
      <c r="AN89" s="47">
        <f t="shared" ca="1" si="269"/>
        <v>3</v>
      </c>
      <c r="AO89" s="47">
        <f t="shared" ca="1" si="269"/>
        <v>0</v>
      </c>
      <c r="AP89" s="47">
        <f t="shared" ca="1" si="269"/>
        <v>1</v>
      </c>
      <c r="AQ89" s="47">
        <f t="shared" ca="1" si="269"/>
        <v>2</v>
      </c>
      <c r="AR89" s="47">
        <f t="shared" ca="1" si="269"/>
        <v>2</v>
      </c>
      <c r="AS89" s="47">
        <f t="shared" ca="1" si="269"/>
        <v>5</v>
      </c>
      <c r="AT89" s="48">
        <f t="shared" ca="1" si="269"/>
        <v>-3</v>
      </c>
      <c r="AU89" s="313">
        <f ca="1">INDEX($DL$6:$DL$53,MATCH(AI89,$DP$6:$DP$53,0))</f>
        <v>1</v>
      </c>
      <c r="AV89" s="172" t="str">
        <f ca="1">INDEX($BD$6:$BD$53,MATCH(AI89,$BM$6:$BM$53,0))</f>
        <v>RD Congo</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9" t="s">
        <v>247</v>
      </c>
      <c r="X92" s="24">
        <f ca="1">Horarios!C92</f>
        <v>46190.916666666664</v>
      </c>
      <c r="Y92" s="25">
        <f ca="1">Horarios!C92</f>
        <v>46190.916666666664</v>
      </c>
      <c r="Z92" s="26" t="str">
        <f>$Z$4</f>
        <v>J1</v>
      </c>
      <c r="AA92" s="27" t="str">
        <f ca="1">A93</f>
        <v>Inglaterra</v>
      </c>
      <c r="AB92" s="49" t="str" cm="1">
        <f t="array" aca="1" ref="AB92" ca="1">Ver_flag_local</f>
        <v/>
      </c>
      <c r="AC92" s="50">
        <v>2</v>
      </c>
      <c r="AD92" s="51">
        <v>0</v>
      </c>
      <c r="AE92" s="571" t="str" cm="1">
        <f t="array" aca="1" ref="AE92" ca="1">Ver_flag_visit</f>
        <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9"/>
      <c r="X93" s="24">
        <f ca="1">Horarios!C93</f>
        <v>46191.041666666664</v>
      </c>
      <c r="Y93" s="25">
        <f ca="1">Horarios!C93</f>
        <v>46191.041666666664</v>
      </c>
      <c r="Z93" s="26" t="str">
        <f>$Z$4</f>
        <v>J1</v>
      </c>
      <c r="AA93" s="27" t="str">
        <f ca="1">A95</f>
        <v>Ghana</v>
      </c>
      <c r="AB93" s="49" t="str" cm="1">
        <f t="array" aca="1" ref="AB93" ca="1">Ver_flag_local</f>
        <v/>
      </c>
      <c r="AC93" s="50">
        <v>2</v>
      </c>
      <c r="AD93" s="51">
        <v>0</v>
      </c>
      <c r="AE93" s="571" t="str" cm="1">
        <f t="array" aca="1" ref="AE93" ca="1">Ver_flag_visit</f>
        <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9"/>
      <c r="X94" s="24">
        <f ca="1">Horarios!C94</f>
        <v>46196.916666666664</v>
      </c>
      <c r="Y94" s="25">
        <f ca="1">Horarios!C94</f>
        <v>46196.916666666664</v>
      </c>
      <c r="Z94" s="26" t="str">
        <f>$Z$6</f>
        <v>J2</v>
      </c>
      <c r="AA94" s="27" t="str">
        <f ca="1">A93</f>
        <v>Inglaterra</v>
      </c>
      <c r="AB94" s="49" t="str" cm="1">
        <f t="array" aca="1" ref="AB94" ca="1">Ver_flag_local</f>
        <v/>
      </c>
      <c r="AC94" s="50">
        <v>2</v>
      </c>
      <c r="AD94" s="51">
        <v>1</v>
      </c>
      <c r="AE94" s="571" t="str" cm="1">
        <f t="array" aca="1" ref="AE94" ca="1">Ver_flag_visit</f>
        <v/>
      </c>
      <c r="AF94" s="32" t="str">
        <f ca="1">A95</f>
        <v>Ghana</v>
      </c>
      <c r="AG94" s="306">
        <f t="shared" si="284"/>
        <v>1</v>
      </c>
      <c r="AH94" s="185">
        <v>45</v>
      </c>
      <c r="AI94" s="171" t="str">
        <f>AJ94&amp;$B$92</f>
        <v>1L</v>
      </c>
      <c r="AJ94" s="40">
        <v>1</v>
      </c>
      <c r="AK94" s="577" t="str" cm="1">
        <f t="array" aca="1" ref="AK94" ca="1">Ver_flag_visit</f>
        <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1</v>
      </c>
      <c r="AT94" s="41">
        <f t="shared" ca="1" si="287"/>
        <v>6</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9"/>
      <c r="X95" s="24">
        <f ca="1">Horarios!C95</f>
        <v>46197.041666666664</v>
      </c>
      <c r="Y95" s="25">
        <f ca="1">Horarios!C95</f>
        <v>46197.041666666664</v>
      </c>
      <c r="Z95" s="26" t="str">
        <f>$Z$6</f>
        <v>J2</v>
      </c>
      <c r="AA95" s="27" t="str">
        <f ca="1">A96</f>
        <v>Panamá</v>
      </c>
      <c r="AB95" s="49" t="str" cm="1">
        <f t="array" aca="1" ref="AB95" ca="1">Ver_flag_local</f>
        <v/>
      </c>
      <c r="AC95" s="50">
        <v>1</v>
      </c>
      <c r="AD95" s="51">
        <v>2</v>
      </c>
      <c r="AE95" s="571" t="str" cm="1">
        <f t="array" aca="1" ref="AE95" ca="1">Ver_flag_visit</f>
        <v/>
      </c>
      <c r="AF95" s="32" t="str">
        <f ca="1">A94</f>
        <v>Croacia</v>
      </c>
      <c r="AG95" s="306">
        <f t="shared" si="284"/>
        <v>1</v>
      </c>
      <c r="AH95" s="185">
        <v>46</v>
      </c>
      <c r="AI95" s="171" t="str">
        <f t="shared" ref="AI95:AI97" si="288">AJ95&amp;$B$92</f>
        <v>2L</v>
      </c>
      <c r="AJ95" s="42">
        <v>2</v>
      </c>
      <c r="AK95" s="578"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4</v>
      </c>
      <c r="AS95" s="39">
        <f t="shared" ca="1" si="287"/>
        <v>4</v>
      </c>
      <c r="AT95" s="43">
        <f t="shared" ca="1" si="287"/>
        <v>0</v>
      </c>
      <c r="AU95" s="313">
        <f ca="1">INDEX($DL$6:$DL$53,MATCH(AI95,$DP$6:$DP$53,0))</f>
        <v>1</v>
      </c>
      <c r="AV95" s="172" t="str">
        <f ca="1">INDEX($BD$6:$BD$53,MATCH(AI95,$BM$6:$BM$53,0))</f>
        <v>Croacia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9"/>
      <c r="X96" s="24">
        <f ca="1">Horarios!C96</f>
        <v>46200.958333333336</v>
      </c>
      <c r="Y96" s="25">
        <f ca="1">Horarios!C96</f>
        <v>46200.958333333336</v>
      </c>
      <c r="Z96" s="26" t="str">
        <f>$Z$8</f>
        <v>J3</v>
      </c>
      <c r="AA96" s="27" t="str">
        <f ca="1">A96</f>
        <v>Panamá</v>
      </c>
      <c r="AB96" s="49" t="str" cm="1">
        <f t="array" aca="1" ref="AB96" ca="1">Ver_flag_local</f>
        <v/>
      </c>
      <c r="AC96" s="50">
        <v>0</v>
      </c>
      <c r="AD96" s="51">
        <v>3</v>
      </c>
      <c r="AE96" s="571" t="str" cm="1">
        <f t="array" aca="1" ref="AE96" ca="1">Ver_flag_visit</f>
        <v/>
      </c>
      <c r="AF96" s="32" t="str">
        <f ca="1">A93</f>
        <v>Inglaterra</v>
      </c>
      <c r="AG96" s="306">
        <f t="shared" si="284"/>
        <v>1</v>
      </c>
      <c r="AH96" s="185">
        <v>67</v>
      </c>
      <c r="AI96" s="171" t="str">
        <f t="shared" si="288"/>
        <v>3L</v>
      </c>
      <c r="AJ96" s="42">
        <v>3</v>
      </c>
      <c r="AK96" s="578" t="str" cm="1">
        <f t="array" aca="1" ref="AK96" ca="1">Ver_flag_visit</f>
        <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4</v>
      </c>
      <c r="AS96" s="39">
        <f t="shared" ca="1" si="287"/>
        <v>4</v>
      </c>
      <c r="AT96" s="43">
        <f t="shared" ca="1" si="287"/>
        <v>0</v>
      </c>
      <c r="AU96" s="313">
        <f ca="1">INDEX($DL$6:$DL$53,MATCH(AI96,$DP$6:$DP$53,0))</f>
        <v>1</v>
      </c>
      <c r="AV96" s="172" t="str">
        <f ca="1">INDEX($BD$6:$BD$53,MATCH(AI96,$BM$6:$BM$53,0))</f>
        <v>Ghana</v>
      </c>
      <c r="AW96" s="200"/>
      <c r="AX96" s="161"/>
      <c r="AY96" s="191" t="str">
        <f ca="1">+A95</f>
        <v>Ghana</v>
      </c>
      <c r="AZ96" s="192"/>
      <c r="BA96" s="166"/>
    </row>
    <row r="97" spans="1:62" ht="16.0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30"/>
      <c r="X97" s="28">
        <f ca="1">Horarios!C97</f>
        <v>46200.958333333336</v>
      </c>
      <c r="Y97" s="29">
        <f ca="1">Horarios!C97</f>
        <v>46200.958333333336</v>
      </c>
      <c r="Z97" s="30" t="str">
        <f>$Z$8</f>
        <v>J3</v>
      </c>
      <c r="AA97" s="31" t="str">
        <f ca="1">A94</f>
        <v>Croacia</v>
      </c>
      <c r="AB97" s="52" t="str" cm="1">
        <f t="array" aca="1" ref="AB97" ca="1">Ver_flag_local</f>
        <v/>
      </c>
      <c r="AC97" s="50">
        <v>2</v>
      </c>
      <c r="AD97" s="51">
        <v>1</v>
      </c>
      <c r="AE97" s="572" t="str" cm="1">
        <f t="array" aca="1" ref="AE97" ca="1">Ver_flag_visit</f>
        <v/>
      </c>
      <c r="AF97" s="33" t="str">
        <f ca="1">A95</f>
        <v>Ghana</v>
      </c>
      <c r="AG97" s="306">
        <f t="shared" si="284"/>
        <v>1</v>
      </c>
      <c r="AH97" s="185">
        <v>68</v>
      </c>
      <c r="AI97" s="171" t="str">
        <f t="shared" si="288"/>
        <v>4L</v>
      </c>
      <c r="AJ97" s="44">
        <v>4</v>
      </c>
      <c r="AK97" s="580"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7</v>
      </c>
      <c r="AT97" s="48">
        <f t="shared" ca="1" si="287"/>
        <v>-6</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0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5" t="s">
        <v>493</v>
      </c>
      <c r="X101" s="24">
        <f ca="1">Horarios!C101</f>
        <v>46201.875</v>
      </c>
      <c r="Y101" s="25">
        <f ca="1">Horarios!C101</f>
        <v>46201.875</v>
      </c>
      <c r="Z101" s="264">
        <f>AH101</f>
        <v>73</v>
      </c>
      <c r="AA101" s="86" t="str">
        <f t="shared" ref="AA101:AA116" ca="1" si="292">+INDEX($M$101:$M$147,MATCH(AH101,$J$101:$J$147,0))</f>
        <v>Corea del Sur</v>
      </c>
      <c r="AB101" s="87"/>
      <c r="AC101" s="50">
        <v>1</v>
      </c>
      <c r="AD101" s="51">
        <v>2</v>
      </c>
      <c r="AE101" s="88"/>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6</v>
      </c>
      <c r="AV101" s="178"/>
      <c r="AW101" s="204"/>
      <c r="AX101" s="204"/>
      <c r="AY101" s="318" t="str">
        <f ca="1">+IF(OR($H$113&gt;=48,$AJ$99=144),Idiomas!D68,"")</f>
        <v xml:space="preserve">Grupos mejores 3ºs: </v>
      </c>
      <c r="AZ101" s="319" t="str">
        <f ca="1">+IF(OR($H$113&gt;=48,$AJ$99=144),BI112,"")</f>
        <v>BCDEFGIL</v>
      </c>
      <c r="BA101" s="166"/>
    </row>
    <row r="102" spans="1:62" ht="16.0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35"/>
      <c r="X102" s="24">
        <f ca="1">Horarios!C102</f>
        <v>46202.791666666664</v>
      </c>
      <c r="Y102" s="25">
        <f ca="1">Horarios!C102</f>
        <v>46202.791666666664</v>
      </c>
      <c r="Z102" s="264">
        <f t="shared" ref="Z102:Z116" si="296">AH102</f>
        <v>76</v>
      </c>
      <c r="AA102" s="86" t="str">
        <f t="shared" ca="1" si="292"/>
        <v>Brasil</v>
      </c>
      <c r="AB102" s="87"/>
      <c r="AC102" s="50">
        <v>2</v>
      </c>
      <c r="AD102" s="51">
        <v>1</v>
      </c>
      <c r="AE102" s="87"/>
      <c r="AF102" s="89" t="str">
        <f t="shared" ca="1" si="293"/>
        <v>Suecia</v>
      </c>
      <c r="AG102" s="310">
        <f t="shared" ca="1" si="294"/>
        <v>1</v>
      </c>
      <c r="AH102" s="185">
        <v>76</v>
      </c>
      <c r="AI102" s="172">
        <v>1</v>
      </c>
      <c r="AJ102" s="78">
        <v>1</v>
      </c>
      <c r="AK102" s="581" t="str" cm="1">
        <f t="array" aca="1" ref="AK102" ca="1">Ver_flag_visit</f>
        <v/>
      </c>
      <c r="AL102" s="79" t="str">
        <f t="shared" ref="AL102:AL113" ca="1" si="297">+IF($H$113&gt;=48,INDEX($BD$58:$BD$69,MATCH(AI102,$BN$58:$BN$69,0)),BB58)</f>
        <v>Bosnia y Herzegovina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3</v>
      </c>
      <c r="AT102" s="82">
        <f t="shared" ca="1" si="298"/>
        <v>1</v>
      </c>
      <c r="AU102" s="313">
        <f t="shared" ref="AU102:AU113" ca="1" si="299">IF($H$113=144,INDEX($DL$58:$DL$69,MATCH(AI102,$DP$58:$DP$69,0)),"")</f>
        <v>1</v>
      </c>
      <c r="AV102" s="172" t="str">
        <f t="shared" ref="AV102:AV113" ca="1" si="300">INDEX($BD$58:$BD$69,MATCH(AI102,$BM$58:$BM$69,0))</f>
        <v>Bosnia y Herzegovina</v>
      </c>
      <c r="AW102" s="205"/>
      <c r="AX102" s="160"/>
      <c r="AY102" s="144"/>
      <c r="AZ102" s="145"/>
      <c r="BA102" s="166"/>
      <c r="BE102" t="s">
        <v>454</v>
      </c>
      <c r="BF102" t="s">
        <v>731</v>
      </c>
      <c r="BG102" t="s">
        <v>776</v>
      </c>
      <c r="BI102" t="s">
        <v>86</v>
      </c>
    </row>
    <row r="103" spans="1:62" ht="16.0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35"/>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Paraguay</v>
      </c>
      <c r="AG103" s="310">
        <f t="shared" ca="1" si="294"/>
        <v>1</v>
      </c>
      <c r="AH103" s="185">
        <v>74</v>
      </c>
      <c r="AI103" s="172">
        <v>2</v>
      </c>
      <c r="AJ103" s="42">
        <v>2</v>
      </c>
      <c r="AK103" s="578" t="str" cm="1">
        <f t="array" aca="1" ref="AK103" ca="1">Ver_flag_visit</f>
        <v/>
      </c>
      <c r="AL103" s="83" t="str">
        <f t="shared" ca="1" si="297"/>
        <v>Ecuador</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4</v>
      </c>
      <c r="AS103" s="84">
        <f t="shared" ca="1" si="302"/>
        <v>4</v>
      </c>
      <c r="AT103" s="85">
        <f t="shared" ca="1" si="302"/>
        <v>0</v>
      </c>
      <c r="AU103" s="313">
        <f t="shared" ca="1" si="299"/>
        <v>1</v>
      </c>
      <c r="AV103" s="172" t="str">
        <f t="shared" ca="1" si="300"/>
        <v>Ecuador</v>
      </c>
      <c r="AW103" s="205"/>
      <c r="AX103" s="160"/>
      <c r="AY103" s="261"/>
      <c r="AZ103" s="263" t="str">
        <f t="shared" ref="AZ103:AZ110" ca="1" si="303">+IF(OR($H$113&gt;=48,$AJ$99=144),BF117&amp;" - "&amp;BG117,"")</f>
        <v>1A - 3C</v>
      </c>
      <c r="BA103" s="166"/>
      <c r="BF103" t="str">
        <f t="shared" ref="BF103:BF110" ca="1" si="304">IFERROR(INDEX($BC$6:$BC$53,MATCH(AL102,$BD$6:$BD$53,0)),"")</f>
        <v>B</v>
      </c>
      <c r="BG103">
        <f t="shared" ref="BG103:BG110" ca="1" si="305">COUNTIF($BF$103:$BF$110,"&lt;="&amp;BF103)</f>
        <v>1</v>
      </c>
      <c r="BI103">
        <v>1</v>
      </c>
      <c r="BJ103" t="str">
        <f t="shared" ref="BJ103:BJ110" ca="1" si="306">IFERROR(INDEX($BF$103:$BF$110,MATCH(BI103,$BG$103:$BG$110,0)),"Grupo")</f>
        <v>B</v>
      </c>
    </row>
    <row r="104" spans="1:62" ht="16.05" customHeight="1">
      <c r="A104" s="16" t="s">
        <v>663</v>
      </c>
      <c r="B104" s="16" t="s">
        <v>677</v>
      </c>
      <c r="C104" s="16"/>
      <c r="D104" s="16" t="str">
        <f t="shared" ca="1" si="289"/>
        <v>Países Bajos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35"/>
      <c r="X104" s="24">
        <f ca="1">Horarios!C104</f>
        <v>46203.125</v>
      </c>
      <c r="Y104" s="25">
        <f ca="1">Horarios!C104</f>
        <v>46203.125</v>
      </c>
      <c r="Z104" s="264">
        <f t="shared" si="296"/>
        <v>75</v>
      </c>
      <c r="AA104" s="86" t="str">
        <f t="shared" ca="1" si="292"/>
        <v>Países Bajos</v>
      </c>
      <c r="AB104" s="87"/>
      <c r="AC104" s="50">
        <v>2</v>
      </c>
      <c r="AD104" s="51">
        <v>1</v>
      </c>
      <c r="AE104" s="87"/>
      <c r="AF104" s="89" t="str">
        <f t="shared" ca="1" si="293"/>
        <v>Marruecos</v>
      </c>
      <c r="AG104" s="310">
        <f t="shared" ca="1" si="294"/>
        <v>1</v>
      </c>
      <c r="AH104" s="185">
        <v>75</v>
      </c>
      <c r="AI104" s="172">
        <v>3</v>
      </c>
      <c r="AJ104" s="42">
        <v>3</v>
      </c>
      <c r="AK104" s="578" t="str" cm="1">
        <f t="array" aca="1" ref="AK104" ca="1">Ver_flag_visit</f>
        <v/>
      </c>
      <c r="AL104" s="83" t="str">
        <f t="shared" ca="1" si="297"/>
        <v>Escocia</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3</v>
      </c>
      <c r="AS104" s="84">
        <f t="shared" ca="1" si="307"/>
        <v>4</v>
      </c>
      <c r="AT104" s="85">
        <f t="shared" ca="1" si="307"/>
        <v>-1</v>
      </c>
      <c r="AU104" s="313">
        <f t="shared" ca="1" si="299"/>
        <v>1</v>
      </c>
      <c r="AV104" s="172" t="str">
        <f t="shared" ca="1" si="300"/>
        <v>Escocia</v>
      </c>
      <c r="AW104" s="205"/>
      <c r="AX104" s="160"/>
      <c r="AY104" s="261"/>
      <c r="AZ104" s="263" t="str">
        <f t="shared" ca="1" si="303"/>
        <v>1B - 3G</v>
      </c>
      <c r="BA104" s="166"/>
      <c r="BF104" t="str">
        <f t="shared" ca="1" si="304"/>
        <v>E</v>
      </c>
      <c r="BG104">
        <f t="shared" ca="1" si="305"/>
        <v>4</v>
      </c>
      <c r="BI104">
        <v>2</v>
      </c>
      <c r="BJ104" t="str">
        <f t="shared" ca="1" si="306"/>
        <v>C</v>
      </c>
    </row>
    <row r="105" spans="1:62" ht="16.05"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35"/>
      <c r="X105" s="24">
        <f ca="1">Horarios!C105</f>
        <v>46203.791666666664</v>
      </c>
      <c r="Y105" s="25">
        <f ca="1">Horarios!C105</f>
        <v>46203.791666666664</v>
      </c>
      <c r="Z105" s="264">
        <f t="shared" si="296"/>
        <v>78</v>
      </c>
      <c r="AA105" s="86" t="str">
        <f t="shared" ca="1" si="292"/>
        <v>Costa de Marfil</v>
      </c>
      <c r="AB105" s="87"/>
      <c r="AC105" s="50">
        <v>1</v>
      </c>
      <c r="AD105" s="51">
        <v>2</v>
      </c>
      <c r="AE105" s="87"/>
      <c r="AF105" s="89" t="str">
        <f t="shared" ca="1" si="293"/>
        <v>Noruega</v>
      </c>
      <c r="AG105" s="310">
        <f t="shared" ca="1" si="294"/>
        <v>1</v>
      </c>
      <c r="AH105" s="185">
        <v>78</v>
      </c>
      <c r="AI105" s="172">
        <v>4</v>
      </c>
      <c r="AJ105" s="42">
        <v>4</v>
      </c>
      <c r="AK105" s="578" t="str" cm="1">
        <f t="array" aca="1" ref="AK105" ca="1">Ver_flag_visit</f>
        <v/>
      </c>
      <c r="AL105" s="83" t="str">
        <f t="shared" ca="1" si="297"/>
        <v>Egipto</v>
      </c>
      <c r="AM105" s="565">
        <f t="shared" ca="1" si="301"/>
        <v>3</v>
      </c>
      <c r="AN105" s="84">
        <f t="shared" ref="AN105:AT105" ca="1" si="308">+IF($H$113&gt;=48,INDEX($BE$58:$BN$69,MATCH($AL105,$BD$58:$BD$69,0),MATCH(AN$5,$BE$57:$BN$57,0)),$BB61)</f>
        <v>3</v>
      </c>
      <c r="AO105" s="84">
        <f t="shared" ca="1" si="308"/>
        <v>1</v>
      </c>
      <c r="AP105" s="84">
        <f t="shared" ca="1" si="308"/>
        <v>0</v>
      </c>
      <c r="AQ105" s="84">
        <f t="shared" ca="1" si="308"/>
        <v>2</v>
      </c>
      <c r="AR105" s="84">
        <f t="shared" ca="1" si="308"/>
        <v>4</v>
      </c>
      <c r="AS105" s="84">
        <f t="shared" ca="1" si="308"/>
        <v>4</v>
      </c>
      <c r="AT105" s="85">
        <f t="shared" ca="1" si="308"/>
        <v>0</v>
      </c>
      <c r="AU105" s="313">
        <f t="shared" ca="1" si="299"/>
        <v>3</v>
      </c>
      <c r="AV105" s="172" t="str">
        <f t="shared" ca="1" si="300"/>
        <v>Egipto</v>
      </c>
      <c r="AW105" s="205"/>
      <c r="AX105" s="160"/>
      <c r="AY105" s="261"/>
      <c r="AZ105" s="263" t="str">
        <f t="shared" ca="1" si="303"/>
        <v>1D - 3B</v>
      </c>
      <c r="BA105" s="166"/>
      <c r="BF105" t="str">
        <f t="shared" ca="1" si="304"/>
        <v>C</v>
      </c>
      <c r="BG105">
        <f t="shared" ca="1" si="305"/>
        <v>2</v>
      </c>
      <c r="BI105">
        <v>3</v>
      </c>
      <c r="BJ105" t="str">
        <f t="shared" ca="1" si="306"/>
        <v>D</v>
      </c>
    </row>
    <row r="106" spans="1:62" ht="16.0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35"/>
      <c r="X106" s="24">
        <f ca="1">Horarios!C106</f>
        <v>46203.958333333336</v>
      </c>
      <c r="Y106" s="25">
        <f ca="1">Horarios!C106</f>
        <v>46203.958333333336</v>
      </c>
      <c r="Z106" s="264">
        <f t="shared" si="296"/>
        <v>77</v>
      </c>
      <c r="AA106" s="86" t="str">
        <f t="shared" ca="1" si="292"/>
        <v>Francia</v>
      </c>
      <c r="AB106" s="87"/>
      <c r="AC106" s="50">
        <v>2</v>
      </c>
      <c r="AD106" s="51">
        <v>0</v>
      </c>
      <c r="AE106" s="87"/>
      <c r="AF106" s="89" t="str">
        <f t="shared" ca="1" si="293"/>
        <v>Japón</v>
      </c>
      <c r="AG106" s="310">
        <f t="shared" ca="1" si="294"/>
        <v>1</v>
      </c>
      <c r="AH106" s="185">
        <v>77</v>
      </c>
      <c r="AI106" s="172">
        <v>5</v>
      </c>
      <c r="AJ106" s="42">
        <v>5</v>
      </c>
      <c r="AK106" s="578" t="str" cm="1">
        <f t="array" aca="1" ref="AK106" ca="1">Ver_flag_visit</f>
        <v/>
      </c>
      <c r="AL106" s="83" t="str">
        <f t="shared" ca="1" si="297"/>
        <v>Ghana</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4</v>
      </c>
      <c r="AS106" s="84">
        <f t="shared" ca="1" si="309"/>
        <v>4</v>
      </c>
      <c r="AT106" s="85">
        <f t="shared" ca="1" si="309"/>
        <v>0</v>
      </c>
      <c r="AU106" s="313">
        <f t="shared" ca="1" si="299"/>
        <v>3</v>
      </c>
      <c r="AV106" s="172" t="str">
        <f t="shared" ca="1" si="300"/>
        <v>Ghana</v>
      </c>
      <c r="AW106" s="205"/>
      <c r="AX106" s="160"/>
      <c r="AY106" s="261"/>
      <c r="AZ106" s="263" t="str">
        <f t="shared" ca="1" si="303"/>
        <v>1E - 3D</v>
      </c>
      <c r="BA106" s="166"/>
      <c r="BF106" t="str">
        <f t="shared" ca="1" si="304"/>
        <v>G</v>
      </c>
      <c r="BG106">
        <f t="shared" ca="1" si="305"/>
        <v>6</v>
      </c>
      <c r="BI106">
        <v>4</v>
      </c>
      <c r="BJ106" t="str">
        <f t="shared" ca="1" si="306"/>
        <v>E</v>
      </c>
    </row>
    <row r="107" spans="1:62" ht="16.0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35"/>
      <c r="X107" s="24">
        <f ca="1">Horarios!C107</f>
        <v>46204.125</v>
      </c>
      <c r="Y107" s="25">
        <f ca="1">Horarios!C107</f>
        <v>46204.125</v>
      </c>
      <c r="Z107" s="264">
        <f t="shared" si="296"/>
        <v>79</v>
      </c>
      <c r="AA107" s="86" t="str">
        <f t="shared" ca="1" si="292"/>
        <v>México</v>
      </c>
      <c r="AB107" s="87"/>
      <c r="AC107" s="50">
        <v>2</v>
      </c>
      <c r="AD107" s="51">
        <v>1</v>
      </c>
      <c r="AE107" s="87"/>
      <c r="AF107" s="89" t="str">
        <f t="shared" ca="1" si="293"/>
        <v>Escocia</v>
      </c>
      <c r="AG107" s="310">
        <f t="shared" ca="1" si="294"/>
        <v>1</v>
      </c>
      <c r="AH107" s="185">
        <v>79</v>
      </c>
      <c r="AI107" s="172">
        <v>6</v>
      </c>
      <c r="AJ107" s="42">
        <v>6</v>
      </c>
      <c r="AK107" s="578" t="str" cm="1">
        <f t="array" aca="1" ref="AK107" ca="1">Ver_flag_visit</f>
        <v/>
      </c>
      <c r="AL107" s="83" t="str">
        <f t="shared" ca="1" si="297"/>
        <v>Senegal</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4</v>
      </c>
      <c r="AS107" s="84">
        <f t="shared" ca="1" si="310"/>
        <v>4</v>
      </c>
      <c r="AT107" s="85">
        <f t="shared" ca="1" si="310"/>
        <v>0</v>
      </c>
      <c r="AU107" s="313">
        <f t="shared" ca="1" si="299"/>
        <v>3</v>
      </c>
      <c r="AV107" s="172" t="str">
        <f ca="1">INDEX($BD$58:$BD$69,MATCH(AI107,$BM$58:$BM$69,0))</f>
        <v>Senegal</v>
      </c>
      <c r="AW107" s="205"/>
      <c r="AX107" s="160"/>
      <c r="AY107" s="261"/>
      <c r="AZ107" s="263" t="str">
        <f t="shared" ca="1" si="303"/>
        <v>1G - 3E</v>
      </c>
      <c r="BA107" s="166"/>
      <c r="BF107" t="str">
        <f t="shared" ca="1" si="304"/>
        <v>L</v>
      </c>
      <c r="BG107">
        <f t="shared" ca="1" si="305"/>
        <v>8</v>
      </c>
      <c r="BI107">
        <v>5</v>
      </c>
      <c r="BJ107" t="str">
        <f t="shared" ca="1" si="306"/>
        <v>F</v>
      </c>
    </row>
    <row r="108" spans="1:62" ht="16.0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35"/>
      <c r="X108" s="24">
        <f ca="1">Horarios!C108</f>
        <v>46204.75</v>
      </c>
      <c r="Y108" s="25">
        <f ca="1">Horarios!C108</f>
        <v>46204.75</v>
      </c>
      <c r="Z108" s="264">
        <f t="shared" si="296"/>
        <v>80</v>
      </c>
      <c r="AA108" s="86" t="str">
        <f t="shared" ca="1" si="292"/>
        <v>Inglaterra</v>
      </c>
      <c r="AB108" s="87"/>
      <c r="AC108" s="50">
        <v>2</v>
      </c>
      <c r="AD108" s="51">
        <v>0</v>
      </c>
      <c r="AE108" s="87"/>
      <c r="AF108" s="89" t="str">
        <f t="shared" ca="1" si="293"/>
        <v>Senegal</v>
      </c>
      <c r="AG108" s="310">
        <f t="shared" ca="1" si="294"/>
        <v>1</v>
      </c>
      <c r="AH108" s="185">
        <v>80</v>
      </c>
      <c r="AI108" s="172">
        <v>7</v>
      </c>
      <c r="AJ108" s="42">
        <v>7</v>
      </c>
      <c r="AK108" s="578" t="str" cm="1">
        <f t="array" aca="1" ref="AK108" ca="1">Ver_flag_visit</f>
        <v/>
      </c>
      <c r="AL108" s="83" t="str">
        <f t="shared" ca="1" si="297"/>
        <v>Japón</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4</v>
      </c>
      <c r="AS108" s="84">
        <f t="shared" ca="1" si="311"/>
        <v>5</v>
      </c>
      <c r="AT108" s="85">
        <f t="shared" ca="1" si="311"/>
        <v>-1</v>
      </c>
      <c r="AU108" s="313">
        <f t="shared" ca="1" si="299"/>
        <v>3</v>
      </c>
      <c r="AV108" s="172" t="str">
        <f t="shared" ca="1" si="300"/>
        <v>Japón</v>
      </c>
      <c r="AW108" s="205"/>
      <c r="AX108" s="160"/>
      <c r="AY108" s="261"/>
      <c r="AZ108" s="263" t="str">
        <f t="shared" ca="1" si="303"/>
        <v>1I - 3F</v>
      </c>
      <c r="BA108" s="166"/>
      <c r="BF108" t="str">
        <f t="shared" ca="1" si="304"/>
        <v>I</v>
      </c>
      <c r="BG108">
        <f t="shared" ca="1" si="305"/>
        <v>7</v>
      </c>
      <c r="BI108">
        <v>6</v>
      </c>
      <c r="BJ108" t="str">
        <f t="shared" ca="1" si="306"/>
        <v>G</v>
      </c>
    </row>
    <row r="109" spans="1:62" ht="16.0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35"/>
      <c r="X109" s="24">
        <f ca="1">Horarios!C109</f>
        <v>46204.916666666664</v>
      </c>
      <c r="Y109" s="25">
        <f ca="1">Horarios!C109</f>
        <v>46204.916666666664</v>
      </c>
      <c r="Z109" s="264">
        <f t="shared" si="296"/>
        <v>82</v>
      </c>
      <c r="AA109" s="86" t="str">
        <f t="shared" ca="1" si="292"/>
        <v>Bélgica</v>
      </c>
      <c r="AB109" s="87"/>
      <c r="AC109" s="50">
        <v>2</v>
      </c>
      <c r="AD109" s="51">
        <v>1</v>
      </c>
      <c r="AE109" s="87"/>
      <c r="AF109" s="89" t="str">
        <f t="shared" ca="1" si="293"/>
        <v>Ecuador</v>
      </c>
      <c r="AG109" s="310">
        <f t="shared" ca="1" si="294"/>
        <v>1</v>
      </c>
      <c r="AH109" s="185">
        <v>82</v>
      </c>
      <c r="AI109" s="172">
        <v>8</v>
      </c>
      <c r="AJ109" s="42">
        <v>8</v>
      </c>
      <c r="AK109" s="578" t="str" cm="1">
        <f t="array" aca="1" ref="AK109" ca="1">Ver_flag_visit</f>
        <v/>
      </c>
      <c r="AL109" s="83" t="str">
        <f t="shared" ca="1" si="297"/>
        <v>Paraguay</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4</v>
      </c>
      <c r="AS109" s="84">
        <f t="shared" ca="1" si="312"/>
        <v>5</v>
      </c>
      <c r="AT109" s="85">
        <f t="shared" ca="1" si="312"/>
        <v>-1</v>
      </c>
      <c r="AU109" s="313">
        <f t="shared" ca="1" si="299"/>
        <v>3</v>
      </c>
      <c r="AV109" s="172" t="str">
        <f t="shared" ca="1" si="300"/>
        <v>Paraguay</v>
      </c>
      <c r="AW109" s="205"/>
      <c r="AX109" s="160"/>
      <c r="AY109" s="261"/>
      <c r="AZ109" s="263" t="str">
        <f t="shared" ca="1" si="303"/>
        <v>1K - 3L</v>
      </c>
      <c r="BA109" s="166"/>
      <c r="BF109" t="str">
        <f t="shared" ca="1" si="304"/>
        <v>F</v>
      </c>
      <c r="BG109">
        <f t="shared" ca="1" si="305"/>
        <v>5</v>
      </c>
      <c r="BI109">
        <v>7</v>
      </c>
      <c r="BJ109" t="str">
        <f t="shared" ca="1" si="306"/>
        <v>I</v>
      </c>
    </row>
    <row r="110" spans="1:62" ht="16.05" customHeight="1">
      <c r="A110" s="16" t="s">
        <v>679</v>
      </c>
      <c r="B110" s="16" t="s">
        <v>739</v>
      </c>
      <c r="C110" s="16"/>
      <c r="D110" s="16" t="str">
        <f t="shared" ca="1" si="289"/>
        <v>Estados Unidos</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Ecuador</v>
      </c>
      <c r="O110" s="16"/>
      <c r="P110" s="16"/>
      <c r="Q110" s="16"/>
      <c r="R110" s="16"/>
      <c r="S110" s="16"/>
      <c r="T110" s="16"/>
      <c r="U110" s="16"/>
      <c r="V110" s="17"/>
      <c r="W110" s="635"/>
      <c r="X110" s="24">
        <f ca="1">Horarios!C110</f>
        <v>46205.083333333336</v>
      </c>
      <c r="Y110" s="25">
        <f ca="1">Horarios!C110</f>
        <v>46205.083333333336</v>
      </c>
      <c r="Z110" s="264">
        <f t="shared" si="296"/>
        <v>81</v>
      </c>
      <c r="AA110" s="86" t="str">
        <f t="shared" ca="1" si="292"/>
        <v>Estados Unidos</v>
      </c>
      <c r="AB110" s="87"/>
      <c r="AC110" s="50">
        <v>2</v>
      </c>
      <c r="AD110" s="51">
        <v>1</v>
      </c>
      <c r="AE110" s="87"/>
      <c r="AF110" s="89" t="str">
        <f t="shared" ca="1" si="293"/>
        <v>Bosnia y Herzegovina</v>
      </c>
      <c r="AG110" s="310">
        <f t="shared" ca="1" si="294"/>
        <v>1</v>
      </c>
      <c r="AH110" s="185">
        <v>81</v>
      </c>
      <c r="AI110" s="172">
        <v>9</v>
      </c>
      <c r="AJ110" s="42">
        <v>9</v>
      </c>
      <c r="AK110" s="578" t="str" cm="1">
        <f t="array" aca="1" ref="AK110" ca="1">Ver_flag_visit</f>
        <v/>
      </c>
      <c r="AL110" s="83" t="str">
        <f t="shared" ca="1" si="297"/>
        <v>Sudáfrica</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4</v>
      </c>
      <c r="AS110" s="84">
        <f t="shared" ca="1" si="313"/>
        <v>5</v>
      </c>
      <c r="AT110" s="85">
        <f t="shared" ca="1" si="313"/>
        <v>-1</v>
      </c>
      <c r="AU110" s="313">
        <f t="shared" ca="1" si="299"/>
        <v>3</v>
      </c>
      <c r="AV110" s="172" t="str">
        <f t="shared" ca="1" si="300"/>
        <v>Sudáfrica</v>
      </c>
      <c r="AW110" s="205"/>
      <c r="AX110" s="160"/>
      <c r="AY110" s="261"/>
      <c r="AZ110" s="263" t="str">
        <f t="shared" ca="1" si="303"/>
        <v>1L - 3I</v>
      </c>
      <c r="BA110" s="166"/>
      <c r="BF110" t="str">
        <f t="shared" ca="1" si="304"/>
        <v>D</v>
      </c>
      <c r="BG110">
        <f t="shared" ca="1" si="305"/>
        <v>3</v>
      </c>
      <c r="BI110">
        <v>8</v>
      </c>
      <c r="BJ110" t="str">
        <f t="shared" ca="1" si="306"/>
        <v>L</v>
      </c>
    </row>
    <row r="111" spans="1:62" ht="16.05" customHeight="1">
      <c r="A111" s="16" t="s">
        <v>692</v>
      </c>
      <c r="B111" s="16" t="s">
        <v>695</v>
      </c>
      <c r="C111" s="16"/>
      <c r="D111" s="16" t="str">
        <f t="shared" ca="1" si="289"/>
        <v>Uruguay</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35"/>
      <c r="X111" s="24">
        <f ca="1">Horarios!C111</f>
        <v>46205.875</v>
      </c>
      <c r="Y111" s="25">
        <f ca="1">Horarios!C111</f>
        <v>46205.875</v>
      </c>
      <c r="Z111" s="264">
        <f t="shared" si="296"/>
        <v>84</v>
      </c>
      <c r="AA111" s="86" t="str">
        <f t="shared" ca="1" si="292"/>
        <v>Uruguay</v>
      </c>
      <c r="AB111" s="87"/>
      <c r="AC111" s="50">
        <v>1</v>
      </c>
      <c r="AD111" s="51">
        <v>0</v>
      </c>
      <c r="AE111" s="87"/>
      <c r="AF111" s="89" t="str">
        <f t="shared" ca="1" si="293"/>
        <v>Argelia</v>
      </c>
      <c r="AG111" s="310">
        <f t="shared" ca="1" si="294"/>
        <v>1</v>
      </c>
      <c r="AH111" s="185">
        <v>84</v>
      </c>
      <c r="AI111" s="172">
        <v>10</v>
      </c>
      <c r="AJ111" s="42">
        <v>10</v>
      </c>
      <c r="AK111" s="578" t="str" cm="1">
        <f t="array" aca="1" ref="AK111" ca="1">Ver_flag_visit</f>
        <v/>
      </c>
      <c r="AL111" s="83" t="str">
        <f t="shared" ca="1" si="297"/>
        <v>Arabia Saudita</v>
      </c>
      <c r="AM111" s="565">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3</v>
      </c>
      <c r="AS111" s="84">
        <f t="shared" ca="1" si="314"/>
        <v>4</v>
      </c>
      <c r="AT111" s="85">
        <f t="shared" ca="1" si="314"/>
        <v>-1</v>
      </c>
      <c r="AU111" s="313">
        <f t="shared" ca="1" si="299"/>
        <v>1</v>
      </c>
      <c r="AV111" s="172" t="str">
        <f t="shared" ca="1" si="300"/>
        <v>Arabia Saudita</v>
      </c>
      <c r="AW111" s="205"/>
      <c r="AX111" s="160"/>
      <c r="AY111" s="260"/>
      <c r="AZ111" s="260"/>
      <c r="BA111" s="166"/>
      <c r="BI111" t="s">
        <v>87</v>
      </c>
    </row>
    <row r="112" spans="1:62" ht="16.05"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Uruguay</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35"/>
      <c r="X112" s="24">
        <f ca="1">Horarios!C112</f>
        <v>46206.041666666664</v>
      </c>
      <c r="Y112" s="25">
        <f ca="1">Horarios!C112</f>
        <v>46206.041666666664</v>
      </c>
      <c r="Z112" s="264">
        <f t="shared" si="296"/>
        <v>83</v>
      </c>
      <c r="AA112" s="86" t="str">
        <f t="shared" ca="1" si="292"/>
        <v>Colombia</v>
      </c>
      <c r="AB112" s="87"/>
      <c r="AC112" s="50">
        <v>2</v>
      </c>
      <c r="AD112" s="51">
        <v>1</v>
      </c>
      <c r="AE112" s="87"/>
      <c r="AF112" s="89" t="str">
        <f t="shared" ca="1" si="293"/>
        <v>Croacia</v>
      </c>
      <c r="AG112" s="310">
        <f t="shared" ca="1" si="294"/>
        <v>1</v>
      </c>
      <c r="AH112" s="185">
        <v>83</v>
      </c>
      <c r="AI112" s="172">
        <v>11</v>
      </c>
      <c r="AJ112" s="42">
        <v>11</v>
      </c>
      <c r="AK112" s="578" t="str" cm="1">
        <f t="array" aca="1" ref="AK112" ca="1">Ver_flag_visit</f>
        <v/>
      </c>
      <c r="AL112" s="83" t="str">
        <f t="shared" ca="1" si="297"/>
        <v>Uzbekistán</v>
      </c>
      <c r="AM112" s="565">
        <f t="shared" ca="1" si="301"/>
        <v>2</v>
      </c>
      <c r="AN112" s="84">
        <f t="shared" ref="AN112:AT112" ca="1" si="315">+IF($H$113&gt;=48,INDEX($BE$58:$BN$69,MATCH($AL112,$BD$58:$BD$69,0),MATCH(AN$5,$BE$57:$BN$57,0)),$BB68)</f>
        <v>3</v>
      </c>
      <c r="AO112" s="84">
        <f t="shared" ca="1" si="315"/>
        <v>0</v>
      </c>
      <c r="AP112" s="84">
        <f t="shared" ca="1" si="315"/>
        <v>2</v>
      </c>
      <c r="AQ112" s="84">
        <f t="shared" ca="1" si="315"/>
        <v>1</v>
      </c>
      <c r="AR112" s="84">
        <f t="shared" ca="1" si="315"/>
        <v>2</v>
      </c>
      <c r="AS112" s="84">
        <f t="shared" ca="1" si="315"/>
        <v>4</v>
      </c>
      <c r="AT112" s="85">
        <f t="shared" ca="1" si="315"/>
        <v>-2</v>
      </c>
      <c r="AU112" s="313">
        <f t="shared" ca="1" si="299"/>
        <v>1</v>
      </c>
      <c r="AV112" s="172" t="str">
        <f t="shared" ca="1" si="300"/>
        <v>Uzbekistán</v>
      </c>
      <c r="AW112" s="205"/>
      <c r="AX112" s="160"/>
      <c r="AY112" s="260"/>
      <c r="AZ112" s="260"/>
      <c r="BA112" s="166"/>
      <c r="BI112" t="str">
        <f ca="1">IFERROR(CONCATENATE(BJ103,BJ104,BJ105,BJ106,BJ107,BJ108,BJ109,BJ110),"¿A/B/C/D/E/F/G/H/I/J/K/L?")</f>
        <v>BCDEFGIL</v>
      </c>
    </row>
    <row r="113" spans="1:59" ht="16.05"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35"/>
      <c r="X113" s="24">
        <f ca="1">Horarios!C113</f>
        <v>46206.208333333336</v>
      </c>
      <c r="Y113" s="25">
        <f ca="1">Horarios!C113</f>
        <v>46206.208333333336</v>
      </c>
      <c r="Z113" s="264">
        <f t="shared" si="296"/>
        <v>85</v>
      </c>
      <c r="AA113" s="86" t="str">
        <f t="shared" ca="1" si="292"/>
        <v>Suiza</v>
      </c>
      <c r="AB113" s="87"/>
      <c r="AC113" s="50">
        <v>4</v>
      </c>
      <c r="AD113" s="51">
        <v>3</v>
      </c>
      <c r="AE113" s="88"/>
      <c r="AF113" s="89" t="str">
        <f t="shared" ca="1" si="293"/>
        <v>Egipto</v>
      </c>
      <c r="AG113" s="310">
        <f t="shared" ca="1" si="294"/>
        <v>1</v>
      </c>
      <c r="AH113" s="185">
        <v>85</v>
      </c>
      <c r="AI113" s="172">
        <v>12</v>
      </c>
      <c r="AJ113" s="44">
        <v>12</v>
      </c>
      <c r="AK113" s="580" t="str" cm="1">
        <f t="array" aca="1" ref="AK113" ca="1">Ver_flag_visit</f>
        <v/>
      </c>
      <c r="AL113" s="45" t="str">
        <f t="shared" ca="1" si="297"/>
        <v>Austria</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3</v>
      </c>
      <c r="AS113" s="47">
        <f t="shared" ca="1" si="316"/>
        <v>5</v>
      </c>
      <c r="AT113" s="48">
        <f t="shared" ca="1" si="316"/>
        <v>-2</v>
      </c>
      <c r="AU113" s="313">
        <f t="shared" ca="1" si="299"/>
        <v>1</v>
      </c>
      <c r="AV113" s="172" t="str">
        <f t="shared" ca="1" si="300"/>
        <v>Austria</v>
      </c>
      <c r="AW113" s="205"/>
      <c r="AX113" s="160"/>
      <c r="AY113" s="144"/>
      <c r="AZ113" s="145"/>
      <c r="BA113" s="166"/>
    </row>
    <row r="114" spans="1:59" ht="16.05" customHeight="1">
      <c r="A114" s="16" t="s">
        <v>688</v>
      </c>
      <c r="B114" s="16" t="s">
        <v>683</v>
      </c>
      <c r="C114" s="16"/>
      <c r="D114" s="16" t="str">
        <f t="shared" ca="1" si="289"/>
        <v>Turquía</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España</v>
      </c>
      <c r="O114" s="16"/>
      <c r="P114" s="16"/>
      <c r="Q114" s="16"/>
      <c r="R114" s="16"/>
      <c r="S114" s="16"/>
      <c r="T114" s="16"/>
      <c r="U114" s="16"/>
      <c r="V114" s="17"/>
      <c r="W114" s="635"/>
      <c r="X114" s="24">
        <f ca="1">Horarios!C114</f>
        <v>46206.833333333336</v>
      </c>
      <c r="Y114" s="25">
        <f ca="1">Horarios!C114</f>
        <v>46206.833333333336</v>
      </c>
      <c r="Z114" s="264">
        <f t="shared" si="296"/>
        <v>88</v>
      </c>
      <c r="AA114" s="86" t="str">
        <f t="shared" ca="1" si="292"/>
        <v>Turquía</v>
      </c>
      <c r="AB114" s="87"/>
      <c r="AC114" s="50">
        <v>2</v>
      </c>
      <c r="AD114" s="51">
        <v>1</v>
      </c>
      <c r="AE114" s="87"/>
      <c r="AF114" s="89" t="str">
        <f t="shared" ca="1" si="293"/>
        <v>Irán</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35"/>
      <c r="X115" s="24">
        <f ca="1">Horarios!C115</f>
        <v>46207</v>
      </c>
      <c r="Y115" s="25">
        <f ca="1">Horarios!C115</f>
        <v>46207</v>
      </c>
      <c r="Z115" s="264">
        <f t="shared" si="296"/>
        <v>86</v>
      </c>
      <c r="AA115" s="86" t="str">
        <f t="shared" ca="1" si="292"/>
        <v>Argentina</v>
      </c>
      <c r="AB115" s="87"/>
      <c r="AC115" s="50">
        <v>2</v>
      </c>
      <c r="AD115" s="51">
        <v>1</v>
      </c>
      <c r="AE115" s="87"/>
      <c r="AF115" s="89" t="str">
        <f t="shared" ca="1" si="293"/>
        <v>España</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36"/>
      <c r="X116" s="28">
        <f ca="1">Horarios!C116</f>
        <v>46207.145833333336</v>
      </c>
      <c r="Y116" s="29">
        <f ca="1">Horarios!C116</f>
        <v>46207.145833333336</v>
      </c>
      <c r="Z116" s="265">
        <f t="shared" si="296"/>
        <v>87</v>
      </c>
      <c r="AA116" s="90" t="str">
        <f t="shared" ca="1" si="292"/>
        <v>Portugal</v>
      </c>
      <c r="AB116" s="91"/>
      <c r="AC116" s="50">
        <v>2</v>
      </c>
      <c r="AD116" s="51">
        <v>0</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3C</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37" t="s">
        <v>89</v>
      </c>
      <c r="X120" s="24">
        <f ca="1">Horarios!C120</f>
        <v>46207.791666666664</v>
      </c>
      <c r="Y120" s="25">
        <f ca="1">Horarios!C120</f>
        <v>46207.791666666664</v>
      </c>
      <c r="Z120" s="264">
        <f t="shared" ref="Z120:Z127" si="319">AH120</f>
        <v>90</v>
      </c>
      <c r="AA120" s="86" t="str">
        <f t="shared" ref="AA120:AA127" ca="1" si="320">+INDEX($M$101:$M$147,MATCH(AH120,$J$101:$J$147,0))</f>
        <v>Canadá</v>
      </c>
      <c r="AB120" s="87"/>
      <c r="AC120" s="50">
        <v>1</v>
      </c>
      <c r="AD120" s="51">
        <v>2</v>
      </c>
      <c r="AE120" s="87"/>
      <c r="AF120" s="89" t="str">
        <f t="shared" ref="AF120:AF127" ca="1" si="321">+INDEX($N$101:$N$147,MATCH(AH120,$J$101:$J$147,0))</f>
        <v>Países Bajos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6.0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Canadá</v>
      </c>
      <c r="N121" s="16" t="str">
        <f t="shared" ca="1" si="318"/>
        <v>Países Bajos</v>
      </c>
      <c r="O121" s="16"/>
      <c r="P121" s="16"/>
      <c r="Q121" s="16"/>
      <c r="R121" s="16"/>
      <c r="S121" s="16"/>
      <c r="T121" s="16"/>
      <c r="U121" s="16"/>
      <c r="V121" s="17"/>
      <c r="W121" s="637"/>
      <c r="X121" s="24">
        <f ca="1">Horarios!C121</f>
        <v>46207.958333333336</v>
      </c>
      <c r="Y121" s="25">
        <f ca="1">Horarios!C121</f>
        <v>46207.958333333336</v>
      </c>
      <c r="Z121" s="264">
        <f t="shared" si="319"/>
        <v>89</v>
      </c>
      <c r="AA121" s="86" t="str">
        <f t="shared" ca="1" si="320"/>
        <v>Alemania</v>
      </c>
      <c r="AB121" s="87"/>
      <c r="AC121" s="50">
        <v>1</v>
      </c>
      <c r="AD121" s="51">
        <v>2</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3E</v>
      </c>
    </row>
    <row r="122" spans="1:59" ht="16.0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37"/>
      <c r="X122" s="24">
        <f ca="1">Horarios!C122</f>
        <v>46208.916666666664</v>
      </c>
      <c r="Y122" s="25">
        <f ca="1">Horarios!C122</f>
        <v>46208.916666666664</v>
      </c>
      <c r="Z122" s="264">
        <f t="shared" si="319"/>
        <v>91</v>
      </c>
      <c r="AA122" s="86" t="str">
        <f t="shared" ca="1" si="320"/>
        <v>Brasil</v>
      </c>
      <c r="AB122" s="87"/>
      <c r="AC122" s="50">
        <v>2</v>
      </c>
      <c r="AD122" s="51">
        <v>0</v>
      </c>
      <c r="AE122" s="87"/>
      <c r="AF122" s="89" t="str">
        <f t="shared" ca="1" si="321"/>
        <v>Noruega</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37"/>
      <c r="X123" s="24">
        <f ca="1">Horarios!C123</f>
        <v>46209.083333333336</v>
      </c>
      <c r="Y123" s="25">
        <f ca="1">Horarios!C123</f>
        <v>46209.083333333336</v>
      </c>
      <c r="Z123" s="264">
        <f t="shared" si="319"/>
        <v>92</v>
      </c>
      <c r="AA123" s="86" t="str">
        <f t="shared" ca="1" si="320"/>
        <v>México</v>
      </c>
      <c r="AB123" s="87"/>
      <c r="AC123" s="50">
        <v>1</v>
      </c>
      <c r="AD123" s="51">
        <v>2</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05" customHeight="1">
      <c r="A124" s="16" t="s">
        <v>750</v>
      </c>
      <c r="B124" s="16" t="s">
        <v>751</v>
      </c>
      <c r="C124" s="16"/>
      <c r="D124" s="16" t="str">
        <f t="shared" ca="1" si="317"/>
        <v>Uruguay</v>
      </c>
      <c r="E124" s="16">
        <v>83</v>
      </c>
      <c r="F124" s="16">
        <v>84</v>
      </c>
      <c r="G124" s="16"/>
      <c r="H124" s="16"/>
      <c r="I124" s="16"/>
      <c r="J124" s="16">
        <v>93</v>
      </c>
      <c r="K124" s="16">
        <v>46209.75</v>
      </c>
      <c r="L124" s="16" t="s">
        <v>717</v>
      </c>
      <c r="M124" s="16" t="str">
        <f t="shared" ca="1" si="318"/>
        <v>Colombia</v>
      </c>
      <c r="N124" s="16" t="str">
        <f t="shared" ca="1" si="318"/>
        <v>Uruguay</v>
      </c>
      <c r="O124" s="16"/>
      <c r="P124" s="16"/>
      <c r="Q124" s="16"/>
      <c r="R124" s="16"/>
      <c r="S124" s="16"/>
      <c r="T124" s="16"/>
      <c r="U124" s="16"/>
      <c r="V124" s="17"/>
      <c r="W124" s="637"/>
      <c r="X124" s="24">
        <f ca="1">Horarios!C124</f>
        <v>46209.875</v>
      </c>
      <c r="Y124" s="25">
        <f ca="1">Horarios!C124</f>
        <v>46209.875</v>
      </c>
      <c r="Z124" s="264">
        <f t="shared" si="319"/>
        <v>93</v>
      </c>
      <c r="AA124" s="86" t="str">
        <f t="shared" ca="1" si="320"/>
        <v>Colombia</v>
      </c>
      <c r="AB124" s="93"/>
      <c r="AC124" s="50">
        <v>0</v>
      </c>
      <c r="AD124" s="51">
        <v>2</v>
      </c>
      <c r="AE124" s="88"/>
      <c r="AF124" s="89" t="str">
        <f t="shared" ca="1" si="321"/>
        <v>Uruguay</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6.0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Estados Unidos</v>
      </c>
      <c r="N125" s="16" t="str">
        <f t="shared" ca="1" si="318"/>
        <v>Bélgica</v>
      </c>
      <c r="O125" s="16"/>
      <c r="P125" s="16"/>
      <c r="Q125" s="16"/>
      <c r="R125" s="16"/>
      <c r="S125" s="16"/>
      <c r="T125" s="16"/>
      <c r="U125" s="16"/>
      <c r="V125" s="17"/>
      <c r="W125" s="637"/>
      <c r="X125" s="24">
        <f ca="1">Horarios!C125</f>
        <v>46210.083333333336</v>
      </c>
      <c r="Y125" s="25">
        <f ca="1">Horarios!C125</f>
        <v>46210.083333333336</v>
      </c>
      <c r="Z125" s="264">
        <f t="shared" si="319"/>
        <v>94</v>
      </c>
      <c r="AA125" s="86" t="str">
        <f t="shared" ca="1" si="320"/>
        <v>Estados Unidos</v>
      </c>
      <c r="AB125" s="87"/>
      <c r="AC125" s="50">
        <v>1</v>
      </c>
      <c r="AD125" s="51">
        <v>2</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Turquía</v>
      </c>
      <c r="O126" s="16"/>
      <c r="P126" s="16"/>
      <c r="Q126" s="16"/>
      <c r="R126" s="16"/>
      <c r="S126" s="16"/>
      <c r="T126" s="16"/>
      <c r="U126" s="16"/>
      <c r="V126" s="17"/>
      <c r="W126" s="637"/>
      <c r="X126" s="24">
        <f ca="1">Horarios!C126</f>
        <v>46210.75</v>
      </c>
      <c r="Y126" s="25">
        <f ca="1">Horarios!C126</f>
        <v>46210.75</v>
      </c>
      <c r="Z126" s="264">
        <f t="shared" si="319"/>
        <v>95</v>
      </c>
      <c r="AA126" s="86" t="str">
        <f t="shared" ca="1" si="320"/>
        <v>Argentina</v>
      </c>
      <c r="AB126" s="87"/>
      <c r="AC126" s="50">
        <v>2</v>
      </c>
      <c r="AD126" s="51">
        <v>1</v>
      </c>
      <c r="AE126" s="87"/>
      <c r="AF126" s="89" t="str">
        <f t="shared" ca="1" si="321"/>
        <v>Turquía</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38"/>
      <c r="X127" s="28">
        <f ca="1">Horarios!C127</f>
        <v>46210.916666666664</v>
      </c>
      <c r="Y127" s="29">
        <f ca="1">Horarios!C127</f>
        <v>46210.916666666664</v>
      </c>
      <c r="Z127" s="265">
        <f t="shared" si="319"/>
        <v>96</v>
      </c>
      <c r="AA127" s="90" t="str">
        <f t="shared" ca="1" si="320"/>
        <v>Suiza</v>
      </c>
      <c r="AB127" s="91"/>
      <c r="AC127" s="50">
        <v>1</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Países Bajos</v>
      </c>
      <c r="O131" s="16"/>
      <c r="P131" s="16"/>
      <c r="Q131" s="16"/>
      <c r="R131" s="16"/>
      <c r="S131" s="16"/>
      <c r="T131" s="16"/>
      <c r="U131" s="16"/>
      <c r="V131" s="17"/>
      <c r="W131" s="639"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2</v>
      </c>
      <c r="AD131" s="51">
        <v>1</v>
      </c>
      <c r="AE131" s="88"/>
      <c r="AF131" s="106" t="str">
        <f ca="1">+INDEX($N$101:$N$147,MATCH(AH131,$J$101:$J$147,0))</f>
        <v>Países Bajos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Bélgica</v>
      </c>
      <c r="E132" s="16">
        <v>93</v>
      </c>
      <c r="F132" s="16">
        <v>94</v>
      </c>
      <c r="G132" s="16"/>
      <c r="H132" s="16"/>
      <c r="I132" s="16"/>
      <c r="J132" s="16">
        <v>98</v>
      </c>
      <c r="K132" s="16">
        <v>46213.875</v>
      </c>
      <c r="L132" s="16" t="s">
        <v>722</v>
      </c>
      <c r="M132" s="16" t="str">
        <f t="shared" ca="1" si="323"/>
        <v>Uruguay</v>
      </c>
      <c r="N132" s="16" t="str">
        <f t="shared" ca="1" si="323"/>
        <v>Bélgica</v>
      </c>
      <c r="O132" s="16"/>
      <c r="P132" s="16"/>
      <c r="Q132" s="16"/>
      <c r="R132" s="16"/>
      <c r="S132" s="16"/>
      <c r="T132" s="16"/>
      <c r="U132" s="16"/>
      <c r="V132" s="17"/>
      <c r="W132" s="639"/>
      <c r="X132" s="24">
        <f ca="1">Horarios!C132</f>
        <v>46213.875</v>
      </c>
      <c r="Y132" s="25">
        <f ca="1">Horarios!C132</f>
        <v>46213.875</v>
      </c>
      <c r="Z132" s="266">
        <f t="shared" si="324"/>
        <v>98</v>
      </c>
      <c r="AA132" s="86" t="str">
        <f t="shared" ca="1" si="325"/>
        <v>Uruguay</v>
      </c>
      <c r="AB132" s="87"/>
      <c r="AC132" s="50">
        <v>1</v>
      </c>
      <c r="AD132" s="51">
        <v>2</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9"/>
      <c r="X133" s="24">
        <f ca="1">Horarios!C133</f>
        <v>46214.958333333336</v>
      </c>
      <c r="Y133" s="25">
        <f ca="1">Horarios!C133</f>
        <v>46214.958333333336</v>
      </c>
      <c r="Z133" s="266">
        <f t="shared" si="324"/>
        <v>99</v>
      </c>
      <c r="AA133" s="86" t="str">
        <f t="shared" ca="1" si="325"/>
        <v>Brasil</v>
      </c>
      <c r="AB133" s="87"/>
      <c r="AC133" s="50">
        <v>2</v>
      </c>
      <c r="AD133" s="51">
        <v>1</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40"/>
      <c r="X134" s="28">
        <f ca="1">Horarios!C134</f>
        <v>46215.125</v>
      </c>
      <c r="Y134" s="29">
        <f ca="1">Horarios!C134</f>
        <v>46215.125</v>
      </c>
      <c r="Z134" s="267">
        <f t="shared" si="324"/>
        <v>100</v>
      </c>
      <c r="AA134" s="90" t="str">
        <f t="shared" ca="1" si="325"/>
        <v>Argentina</v>
      </c>
      <c r="AB134" s="91"/>
      <c r="AC134" s="50">
        <v>1</v>
      </c>
      <c r="AD134" s="51">
        <v>2</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Bélgica</v>
      </c>
      <c r="I138" s="16"/>
      <c r="J138" s="16">
        <v>101</v>
      </c>
      <c r="K138" s="16">
        <v>46217.875</v>
      </c>
      <c r="L138" s="16" t="s">
        <v>725</v>
      </c>
      <c r="M138" s="16" t="str">
        <f ca="1">+INDEX($D$101:$D$147,MATCH(E138,$AH$101:$AH$147,0))</f>
        <v>Francia</v>
      </c>
      <c r="N138" s="16" t="str">
        <f ca="1">+INDEX($D$101:$D$147,MATCH(F138,$AH$101:$AH$147,0))</f>
        <v>Bélgica</v>
      </c>
      <c r="O138" s="16"/>
      <c r="P138" s="16"/>
      <c r="Q138" s="16"/>
      <c r="R138" s="16"/>
      <c r="S138" s="16"/>
      <c r="T138" s="16"/>
      <c r="U138" s="16"/>
      <c r="V138" s="17"/>
      <c r="W138" s="641" t="s">
        <v>37</v>
      </c>
      <c r="X138" s="24">
        <f ca="1">Horarios!C138</f>
        <v>46217.875</v>
      </c>
      <c r="Y138" s="25">
        <f ca="1">Horarios!C138</f>
        <v>46217.875</v>
      </c>
      <c r="Z138" s="266">
        <f t="shared" ref="Z138:Z139" si="326">AH138</f>
        <v>101</v>
      </c>
      <c r="AA138" s="86" t="str">
        <f t="shared" ref="AA138:AA139" ca="1" si="327">+INDEX($M$101:$M$147,MATCH(AH138,$J$101:$J$147,0))</f>
        <v>Francia</v>
      </c>
      <c r="AB138" s="87"/>
      <c r="AC138" s="50">
        <v>2</v>
      </c>
      <c r="AD138" s="51">
        <v>1</v>
      </c>
      <c r="AE138" s="87"/>
      <c r="AF138" s="106" t="str">
        <f ca="1">+INDEX($N$101:$N$147,MATCH(AH138,$J$101:$J$147,0))</f>
        <v>Bélgica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Portugal</v>
      </c>
      <c r="I139" s="16"/>
      <c r="J139" s="16">
        <v>102</v>
      </c>
      <c r="K139" s="16">
        <v>46218.875</v>
      </c>
      <c r="L139" s="16" t="s">
        <v>726</v>
      </c>
      <c r="M139" s="16" t="str">
        <f ca="1">+INDEX($D$101:$D$147,MATCH(E139,$AH$101:$AH$147,0))</f>
        <v>Brasil</v>
      </c>
      <c r="N139" s="16" t="str">
        <f ca="1">+INDEX($D$101:$D$147,MATCH(F139,$AH$101:$AH$147,0))</f>
        <v>Portugal</v>
      </c>
      <c r="O139" s="16"/>
      <c r="P139" s="16"/>
      <c r="Q139" s="16"/>
      <c r="R139" s="16"/>
      <c r="S139" s="16"/>
      <c r="T139" s="16"/>
      <c r="U139" s="16"/>
      <c r="V139" s="17"/>
      <c r="W139" s="642"/>
      <c r="X139" s="113">
        <f ca="1">Horarios!C139</f>
        <v>46218.875</v>
      </c>
      <c r="Y139" s="114">
        <f ca="1">Horarios!C139</f>
        <v>46218.875</v>
      </c>
      <c r="Z139" s="268">
        <f t="shared" si="326"/>
        <v>102</v>
      </c>
      <c r="AA139" s="129" t="str">
        <f t="shared" ca="1" si="327"/>
        <v>Brasil</v>
      </c>
      <c r="AB139" s="130"/>
      <c r="AC139" s="50">
        <v>4</v>
      </c>
      <c r="AD139" s="51">
        <v>3</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Portugal</v>
      </c>
      <c r="E143" s="16">
        <v>101</v>
      </c>
      <c r="F143" s="16">
        <v>102</v>
      </c>
      <c r="G143" s="16"/>
      <c r="H143" s="16"/>
      <c r="I143" s="16"/>
      <c r="J143" s="16">
        <v>103</v>
      </c>
      <c r="K143" s="16">
        <v>46221.875</v>
      </c>
      <c r="L143" s="16" t="s">
        <v>727</v>
      </c>
      <c r="M143" s="16" t="str">
        <f ca="1">+INDEX($D$101:$D$147,MATCH(E143,$AH$101:$AH$147,0))</f>
        <v>Francia</v>
      </c>
      <c r="N143" s="16" t="str">
        <f ca="1">+INDEX($D$101:$D$147,MATCH(F143,$AH$101:$AH$147,0))</f>
        <v>Brasil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Bélgica</v>
      </c>
      <c r="AB143" s="206"/>
      <c r="AC143" s="97">
        <v>1</v>
      </c>
      <c r="AD143" s="97">
        <v>2</v>
      </c>
      <c r="AE143" s="206"/>
      <c r="AF143" s="98" t="str">
        <f ca="1">IF(AND(OR(AC139="",AD139="")),"L102",IF(AC139&gt;AD139,AF139,IF(AC139&lt;AD139,AA139,IF(AND(AC139=AD139,AB139=AE139),"L102",IF(AND(AC139=AD139,OR(AB139="",AE139="")),"L102",IF(AND(AC139=AD139,AB139&gt;AE139),AF139,AA139))))))</f>
        <v>Portugal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Brasil</v>
      </c>
      <c r="E147" s="16">
        <v>101</v>
      </c>
      <c r="F147" s="16">
        <v>102</v>
      </c>
      <c r="G147" s="16"/>
      <c r="H147" s="16" t="str">
        <f ca="1">IF(AND(OR(AC147="",AD147="")),"LF",IF(AC147&gt;AD147,AF147,IF(AC147&lt;AD147,AA147,IF(AND(AC147=AD147,AB147=AE147),"LF",IF(AND(AC147=AD147,OR(AB147="",AE147="")),"LF",IF(AND(AC147=AD147,AB147&gt;AE147),AF147,AA147))))))</f>
        <v>Francia</v>
      </c>
      <c r="I147" s="16"/>
      <c r="J147" s="16">
        <v>104</v>
      </c>
      <c r="K147" s="16">
        <v>46222.875</v>
      </c>
      <c r="L147" s="16" t="s">
        <v>728</v>
      </c>
      <c r="M147" s="16" t="str">
        <f ca="1">+INDEX($D$101:$D$147,MATCH(E147,$AH$101:$AH$147,0))</f>
        <v>Francia</v>
      </c>
      <c r="N147" s="16" t="str">
        <f ca="1">+INDEX($D$101:$D$147,MATCH(F147,$AH$101:$AH$147,0))</f>
        <v>Brasil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Francia</v>
      </c>
      <c r="AB147" s="206"/>
      <c r="AC147" s="97">
        <v>1</v>
      </c>
      <c r="AD147" s="97">
        <v>3</v>
      </c>
      <c r="AE147" s="206"/>
      <c r="AF147" s="98" t="str">
        <f ca="1">IF(AND(OR(AC139="",AD139="")),"W"&amp;AH139,IF(AC139&gt;AD139,AA139,IF(AC139&lt;AD139,AF139,IF(AND(AC139=AD139,AB139=AE139),"W"&amp;AH139,IF(AND(AC139=AD139,OR(AB139="",AE139="")),"W"&amp;AH139,IF(AND(AC139=AD139,AB139&gt;AE139),AA139,AF139))))))</f>
        <v>Brasil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Brasil</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Francia</v>
      </c>
      <c r="AB151" s="103"/>
      <c r="AC151" s="103"/>
      <c r="AD151" s="103"/>
      <c r="AE151" s="103"/>
      <c r="AF151" s="99"/>
      <c r="AG151" s="310">
        <f ca="1">IF(AA151="LF",0,1)</f>
        <v>1</v>
      </c>
      <c r="AH151" s="174"/>
      <c r="AI151" s="174"/>
      <c r="AJ151" s="650" t="str">
        <f ca="1">IF(SUM(COUNTIF(AG4:AG97,0),COUNTIF(AG101:AG156,0)&gt;0),AL148,AL149)</f>
        <v>PORRA COMPLETA:</v>
      </c>
      <c r="AK151" s="651"/>
      <c r="AL151" s="651"/>
      <c r="AM151" s="651"/>
      <c r="AN151" s="651"/>
      <c r="AO151" s="651"/>
      <c r="AP151" s="651"/>
      <c r="AQ151" s="651"/>
      <c r="AR151" s="651"/>
      <c r="AS151" s="651"/>
      <c r="AT151" s="651"/>
      <c r="AU151" s="652"/>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Portugal</v>
      </c>
      <c r="AB152" s="102"/>
      <c r="AC152" s="102"/>
      <c r="AD152" s="102"/>
      <c r="AE152" s="102"/>
      <c r="AF152" s="95"/>
      <c r="AG152" s="310">
        <f ca="1">IF(AA152="W34",0,1)</f>
        <v>1</v>
      </c>
      <c r="AH152" s="174"/>
      <c r="AI152" s="174"/>
      <c r="AJ152" s="653"/>
      <c r="AK152" s="654"/>
      <c r="AL152" s="654"/>
      <c r="AM152" s="654"/>
      <c r="AN152" s="654"/>
      <c r="AO152" s="654"/>
      <c r="AP152" s="654"/>
      <c r="AQ152" s="654"/>
      <c r="AR152" s="654"/>
      <c r="AS152" s="654"/>
      <c r="AT152" s="654"/>
      <c r="AU152" s="655"/>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53"/>
      <c r="AK153" s="654"/>
      <c r="AL153" s="654"/>
      <c r="AM153" s="654"/>
      <c r="AN153" s="654"/>
      <c r="AO153" s="654"/>
      <c r="AP153" s="654"/>
      <c r="AQ153" s="654"/>
      <c r="AR153" s="654"/>
      <c r="AS153" s="654"/>
      <c r="AT153" s="654"/>
      <c r="AU153" s="655"/>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53"/>
      <c r="AK154" s="654"/>
      <c r="AL154" s="654"/>
      <c r="AM154" s="654"/>
      <c r="AN154" s="654"/>
      <c r="AO154" s="654"/>
      <c r="AP154" s="654"/>
      <c r="AQ154" s="654"/>
      <c r="AR154" s="654"/>
      <c r="AS154" s="654"/>
      <c r="AT154" s="654"/>
      <c r="AU154" s="655"/>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17" t="str">
        <f ca="1">IF(SUM(COUNTIF(AG4:AG97,0),COUNTIF(AG101:AG156,0)&gt;0),AM148,AM149)</f>
        <v>Guarda el archivo y envialo al administrador de tu porra</v>
      </c>
      <c r="AK155" s="618"/>
      <c r="AL155" s="618"/>
      <c r="AM155" s="618"/>
      <c r="AN155" s="618"/>
      <c r="AO155" s="618"/>
      <c r="AP155" s="618"/>
      <c r="AQ155" s="618"/>
      <c r="AR155" s="618"/>
      <c r="AS155" s="618"/>
      <c r="AT155" s="618"/>
      <c r="AU155" s="619"/>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1533</v>
      </c>
      <c r="AB156" s="141"/>
      <c r="AC156" s="141"/>
      <c r="AD156" s="138"/>
      <c r="AE156" s="138"/>
      <c r="AF156" s="138"/>
      <c r="AG156" s="310">
        <f>IF(AA156=$AH$154,0,IF(AA156="",0,1))</f>
        <v>1</v>
      </c>
      <c r="AH156" s="174"/>
      <c r="AI156" s="174"/>
      <c r="AJ156" s="617"/>
      <c r="AK156" s="618"/>
      <c r="AL156" s="618"/>
      <c r="AM156" s="618"/>
      <c r="AN156" s="618"/>
      <c r="AO156" s="618"/>
      <c r="AP156" s="618"/>
      <c r="AQ156" s="618"/>
      <c r="AR156" s="618"/>
      <c r="AS156" s="618"/>
      <c r="AT156" s="618"/>
      <c r="AU156" s="619"/>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20"/>
      <c r="AK157" s="621"/>
      <c r="AL157" s="621"/>
      <c r="AM157" s="621"/>
      <c r="AN157" s="621"/>
      <c r="AO157" s="621"/>
      <c r="AP157" s="621"/>
      <c r="AQ157" s="621"/>
      <c r="AR157" s="621"/>
      <c r="AS157" s="621"/>
      <c r="AT157" s="621"/>
      <c r="AU157" s="622"/>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1</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1</v>
      </c>
      <c r="E4" s="7">
        <f>WORLDCUP!AD6</f>
        <v>2</v>
      </c>
    </row>
    <row r="5" spans="1:6">
      <c r="A5" s="7">
        <v>4</v>
      </c>
      <c r="B5" s="608" t="str">
        <f ca="1">WORLDCUP!AA7</f>
        <v>México</v>
      </c>
      <c r="C5" t="str">
        <f ca="1">WORLDCUP!AF7</f>
        <v>Corea del Sur</v>
      </c>
      <c r="D5" s="7">
        <f>WORLDCUP!AC7</f>
        <v>2</v>
      </c>
      <c r="E5" s="7">
        <f>WORLDCUP!AD7</f>
        <v>0</v>
      </c>
    </row>
    <row r="6" spans="1:6">
      <c r="A6" s="7">
        <v>5</v>
      </c>
      <c r="B6" s="608" t="str">
        <f ca="1">WORLDCUP!AA8</f>
        <v>República Checa</v>
      </c>
      <c r="C6" t="str">
        <f ca="1">WORLDCUP!AF8</f>
        <v>México</v>
      </c>
      <c r="D6" s="7">
        <f>WORLDCUP!AC8</f>
        <v>1</v>
      </c>
      <c r="E6" s="7">
        <f>WORLDCUP!AD8</f>
        <v>2</v>
      </c>
    </row>
    <row r="7" spans="1:6">
      <c r="A7" s="7">
        <v>6</v>
      </c>
      <c r="B7" s="608" t="str">
        <f ca="1">WORLDCUP!AA9</f>
        <v>Sudáfrica</v>
      </c>
      <c r="C7" t="str">
        <f ca="1">WORLDCUP!AF9</f>
        <v>Corea del Sur</v>
      </c>
      <c r="D7" s="7">
        <f>WORLDCUP!AC9</f>
        <v>1</v>
      </c>
      <c r="E7" s="7">
        <f>WORLDCUP!AD9</f>
        <v>2</v>
      </c>
    </row>
    <row r="8" spans="1:6">
      <c r="A8" s="7">
        <v>7</v>
      </c>
      <c r="B8" s="608" t="str">
        <f ca="1">WORLDCUP!AA12</f>
        <v>Canadá</v>
      </c>
      <c r="C8" t="str">
        <f ca="1">WORLDCUP!AF12</f>
        <v>Bosnia y Herzegovina</v>
      </c>
      <c r="D8" s="7">
        <f>WORLDCUP!AC12</f>
        <v>1</v>
      </c>
      <c r="E8" s="7">
        <f>WORLDCUP!AD12</f>
        <v>1</v>
      </c>
    </row>
    <row r="9" spans="1:6">
      <c r="A9" s="7">
        <v>8</v>
      </c>
      <c r="B9" s="608" t="str">
        <f ca="1">WORLDCUP!AA13</f>
        <v>Catar</v>
      </c>
      <c r="C9" t="str">
        <f ca="1">WORLDCUP!AF13</f>
        <v>Suiza</v>
      </c>
      <c r="D9" s="7">
        <f>WORLDCUP!AC13</f>
        <v>0</v>
      </c>
      <c r="E9" s="7">
        <f>WORLDCUP!AD13</f>
        <v>2</v>
      </c>
    </row>
    <row r="10" spans="1:6">
      <c r="A10" s="7">
        <v>9</v>
      </c>
      <c r="B10" s="608" t="str">
        <f ca="1">WORLDCUP!AA14</f>
        <v>Suiza</v>
      </c>
      <c r="C10" t="str">
        <f ca="1">WORLDCUP!AF14</f>
        <v>Bosnia y Herzegovina</v>
      </c>
      <c r="D10" s="7">
        <f>WORLDCUP!AC14</f>
        <v>2</v>
      </c>
      <c r="E10" s="7">
        <f>WORLDCUP!AD14</f>
        <v>1</v>
      </c>
    </row>
    <row r="11" spans="1:6">
      <c r="A11" s="7">
        <v>10</v>
      </c>
      <c r="B11" s="608" t="str">
        <f ca="1">WORLDCUP!AA15</f>
        <v>Canadá</v>
      </c>
      <c r="C11" t="str">
        <f ca="1">WORLDCUP!AF15</f>
        <v>Catar</v>
      </c>
      <c r="D11" s="7">
        <f>WORLDCUP!AC15</f>
        <v>3</v>
      </c>
      <c r="E11" s="7">
        <f>WORLDCUP!AD15</f>
        <v>0</v>
      </c>
    </row>
    <row r="12" spans="1:6">
      <c r="A12" s="7">
        <v>11</v>
      </c>
      <c r="B12" s="608" t="str">
        <f ca="1">WORLDCUP!AA16</f>
        <v>Suiza</v>
      </c>
      <c r="C12" t="str">
        <f ca="1">WORLDCUP!AF16</f>
        <v>Canadá</v>
      </c>
      <c r="D12" s="7">
        <f>WORLDCUP!AC16</f>
        <v>1</v>
      </c>
      <c r="E12" s="7">
        <f>WORLDCUP!AD16</f>
        <v>1</v>
      </c>
    </row>
    <row r="13" spans="1:6">
      <c r="A13" s="7">
        <v>12</v>
      </c>
      <c r="B13" s="608" t="str">
        <f ca="1">WORLDCUP!AA17</f>
        <v>Bosnia y Herzegovina</v>
      </c>
      <c r="C13" t="str">
        <f ca="1">WORLDCUP!AF17</f>
        <v>Catar</v>
      </c>
      <c r="D13" s="7">
        <f>WORLDCUP!AC17</f>
        <v>2</v>
      </c>
      <c r="E13" s="7">
        <f>WORLDCUP!AD17</f>
        <v>0</v>
      </c>
    </row>
    <row r="14" spans="1:6">
      <c r="A14" s="7">
        <v>13</v>
      </c>
      <c r="B14" s="608" t="str">
        <f ca="1">WORLDCUP!AA20</f>
        <v>Brasil</v>
      </c>
      <c r="C14" t="str">
        <f ca="1">WORLDCUP!AF20</f>
        <v>Marruecos</v>
      </c>
      <c r="D14" s="7">
        <f>WORLDCUP!AC20</f>
        <v>3</v>
      </c>
      <c r="E14" s="7">
        <f>WORLDCUP!AD20</f>
        <v>0</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1</v>
      </c>
      <c r="E16" s="7">
        <f>WORLDCUP!AD22</f>
        <v>1</v>
      </c>
    </row>
    <row r="17" spans="1:5">
      <c r="A17" s="7">
        <v>16</v>
      </c>
      <c r="B17" s="608" t="str">
        <f ca="1">WORLDCUP!AA23</f>
        <v>Brasil</v>
      </c>
      <c r="C17" t="str">
        <f ca="1">WORLDCUP!AF23</f>
        <v>Haití</v>
      </c>
      <c r="D17" s="7">
        <f>WORLDCUP!AC23</f>
        <v>2</v>
      </c>
      <c r="E17" s="7">
        <f>WORLDCUP!AD23</f>
        <v>0</v>
      </c>
    </row>
    <row r="18" spans="1:5">
      <c r="A18" s="7">
        <v>17</v>
      </c>
      <c r="B18" s="608" t="str">
        <f ca="1">WORLDCUP!AA24</f>
        <v>Escocia</v>
      </c>
      <c r="C18" t="str">
        <f ca="1">WORLDCUP!AF24</f>
        <v>Brasil</v>
      </c>
      <c r="D18" s="7">
        <f>WORLDCUP!AC24</f>
        <v>0</v>
      </c>
      <c r="E18" s="7">
        <f>WORLDCUP!AD24</f>
        <v>3</v>
      </c>
    </row>
    <row r="19" spans="1:5">
      <c r="A19" s="7">
        <v>18</v>
      </c>
      <c r="B19" s="608" t="str">
        <f ca="1">WORLDCUP!AA25</f>
        <v>Marruecos</v>
      </c>
      <c r="C19" t="str">
        <f ca="1">WORLDCUP!AF25</f>
        <v>Haití</v>
      </c>
      <c r="D19" s="7">
        <f>WORLDCUP!AC25</f>
        <v>2</v>
      </c>
      <c r="E19" s="7">
        <f>WORLDCUP!AD25</f>
        <v>0</v>
      </c>
    </row>
    <row r="20" spans="1:5">
      <c r="A20" s="7">
        <v>19</v>
      </c>
      <c r="B20" s="608" t="str">
        <f ca="1">WORLDCUP!AA28</f>
        <v>Estados Unidos</v>
      </c>
      <c r="C20" t="str">
        <f ca="1">WORLDCUP!AF28</f>
        <v>Paraguay</v>
      </c>
      <c r="D20" s="7">
        <f>WORLDCUP!AC28</f>
        <v>2</v>
      </c>
      <c r="E20" s="7">
        <f>WORLDCUP!AD28</f>
        <v>1</v>
      </c>
    </row>
    <row r="21" spans="1:5">
      <c r="A21" s="7">
        <v>20</v>
      </c>
      <c r="B21" s="608" t="str">
        <f ca="1">WORLDCUP!AA29</f>
        <v>Australia</v>
      </c>
      <c r="C21" t="str">
        <f ca="1">WORLDCUP!AF29</f>
        <v>Turquía</v>
      </c>
      <c r="D21" s="7">
        <f>WORLDCUP!AC29</f>
        <v>1</v>
      </c>
      <c r="E21" s="7">
        <f>WORLDCUP!AD29</f>
        <v>2</v>
      </c>
    </row>
    <row r="22" spans="1:5">
      <c r="A22" s="7">
        <v>21</v>
      </c>
      <c r="B22" s="608" t="str">
        <f ca="1">WORLDCUP!AA30</f>
        <v>Estados Unidos</v>
      </c>
      <c r="C22" t="str">
        <f ca="1">WORLDCUP!AF30</f>
        <v>Australia</v>
      </c>
      <c r="D22" s="7">
        <f>WORLDCUP!AC30</f>
        <v>1</v>
      </c>
      <c r="E22" s="7">
        <f>WORLDCUP!AD30</f>
        <v>1</v>
      </c>
    </row>
    <row r="23" spans="1:5">
      <c r="A23" s="7">
        <v>22</v>
      </c>
      <c r="B23" s="608" t="str">
        <f ca="1">WORLDCUP!AA31</f>
        <v>Turquía</v>
      </c>
      <c r="C23" t="str">
        <f ca="1">WORLDCUP!AF31</f>
        <v>Paraguay</v>
      </c>
      <c r="D23" s="7">
        <f>WORLDCUP!AC31</f>
        <v>2</v>
      </c>
      <c r="E23" s="7">
        <f>WORLDCUP!AD31</f>
        <v>1</v>
      </c>
    </row>
    <row r="24" spans="1:5">
      <c r="A24" s="7">
        <v>23</v>
      </c>
      <c r="B24" s="608" t="str">
        <f ca="1">WORLDCUP!AA32</f>
        <v>Turquía</v>
      </c>
      <c r="C24" t="str">
        <f ca="1">WORLDCUP!AF32</f>
        <v>Estados Unidos</v>
      </c>
      <c r="D24" s="7">
        <f>WORLDCUP!AC32</f>
        <v>1</v>
      </c>
      <c r="E24" s="7">
        <f>WORLDCUP!AD32</f>
        <v>2</v>
      </c>
    </row>
    <row r="25" spans="1:5">
      <c r="A25" s="7">
        <v>24</v>
      </c>
      <c r="B25" s="608" t="str">
        <f ca="1">WORLDCUP!AA33</f>
        <v>Paraguay</v>
      </c>
      <c r="C25" t="str">
        <f ca="1">WORLDCUP!AF33</f>
        <v>Australia</v>
      </c>
      <c r="D25" s="7">
        <f>WORLDCUP!AC33</f>
        <v>2</v>
      </c>
      <c r="E25" s="7">
        <f>WORLDCUP!AD33</f>
        <v>1</v>
      </c>
    </row>
    <row r="26" spans="1:5">
      <c r="A26" s="7">
        <v>25</v>
      </c>
      <c r="B26" s="608" t="str">
        <f ca="1">WORLDCUP!AA36</f>
        <v>Alemania</v>
      </c>
      <c r="C26" t="str">
        <f ca="1">WORLDCUP!AF36</f>
        <v>Curazao</v>
      </c>
      <c r="D26" s="7">
        <f>WORLDCUP!AC36</f>
        <v>3</v>
      </c>
      <c r="E26" s="7">
        <f>WORLDCUP!AD36</f>
        <v>0</v>
      </c>
    </row>
    <row r="27" spans="1:5">
      <c r="A27" s="7">
        <v>26</v>
      </c>
      <c r="B27" s="608" t="str">
        <f ca="1">WORLDCUP!AA37</f>
        <v>Costa de Marfil</v>
      </c>
      <c r="C27" t="str">
        <f ca="1">WORLDCUP!AF37</f>
        <v>Ecuador</v>
      </c>
      <c r="D27" s="7">
        <f>WORLDCUP!AC37</f>
        <v>1</v>
      </c>
      <c r="E27" s="7">
        <f>WORLDCUP!AD37</f>
        <v>1</v>
      </c>
    </row>
    <row r="28" spans="1:5">
      <c r="A28" s="7">
        <v>27</v>
      </c>
      <c r="B28" s="608" t="str">
        <f ca="1">WORLDCUP!AA38</f>
        <v>Alemania</v>
      </c>
      <c r="C28" t="str">
        <f ca="1">WORLDCUP!AF38</f>
        <v>Costa de Marfil</v>
      </c>
      <c r="D28" s="7">
        <f>WORLDCUP!AC38</f>
        <v>2</v>
      </c>
      <c r="E28" s="7">
        <f>WORLDCUP!AD38</f>
        <v>1</v>
      </c>
    </row>
    <row r="29" spans="1:5">
      <c r="A29" s="7">
        <v>28</v>
      </c>
      <c r="B29" s="608" t="str">
        <f ca="1">WORLDCUP!AA39</f>
        <v>Ecuador</v>
      </c>
      <c r="C29" t="str">
        <f ca="1">WORLDCUP!AF39</f>
        <v>Curazao</v>
      </c>
      <c r="D29" s="7">
        <f>WORLDCUP!AC39</f>
        <v>2</v>
      </c>
      <c r="E29" s="7">
        <f>WORLDCUP!AD39</f>
        <v>0</v>
      </c>
    </row>
    <row r="30" spans="1:5">
      <c r="A30" s="7">
        <v>29</v>
      </c>
      <c r="B30" s="608" t="str">
        <f ca="1">WORLDCUP!AA40</f>
        <v>Curazao</v>
      </c>
      <c r="C30" t="str">
        <f ca="1">WORLDCUP!AF40</f>
        <v>Costa de Marfil</v>
      </c>
      <c r="D30" s="7">
        <f>WORLDCUP!AC40</f>
        <v>0</v>
      </c>
      <c r="E30" s="7">
        <f>WORLDCUP!AD40</f>
        <v>2</v>
      </c>
    </row>
    <row r="31" spans="1:5">
      <c r="A31" s="7">
        <v>30</v>
      </c>
      <c r="B31" s="608" t="str">
        <f ca="1">WORLDCUP!AA41</f>
        <v>Ecuador</v>
      </c>
      <c r="C31" t="str">
        <f ca="1">WORLDCUP!AF41</f>
        <v>Alemania</v>
      </c>
      <c r="D31" s="7">
        <f>WORLDCUP!AC41</f>
        <v>1</v>
      </c>
      <c r="E31" s="7">
        <f>WORLDCUP!AD41</f>
        <v>3</v>
      </c>
    </row>
    <row r="32" spans="1:5">
      <c r="A32" s="7">
        <v>31</v>
      </c>
      <c r="B32" s="608" t="str">
        <f ca="1">WORLDCUP!AA44</f>
        <v>Países Bajos</v>
      </c>
      <c r="C32" t="str">
        <f ca="1">WORLDCUP!AF44</f>
        <v>Japón</v>
      </c>
      <c r="D32" s="7">
        <f>WORLDCUP!AC44</f>
        <v>2</v>
      </c>
      <c r="E32" s="7">
        <f>WORLDCUP!AD44</f>
        <v>1</v>
      </c>
    </row>
    <row r="33" spans="1:5">
      <c r="A33" s="7">
        <v>32</v>
      </c>
      <c r="B33" s="608" t="str">
        <f ca="1">WORLDCUP!AA45</f>
        <v>Suecia</v>
      </c>
      <c r="C33" t="str">
        <f ca="1">WORLDCUP!AF45</f>
        <v>Túnez</v>
      </c>
      <c r="D33" s="7">
        <f>WORLDCUP!AC45</f>
        <v>1</v>
      </c>
      <c r="E33" s="7">
        <f>WORLDCUP!AD45</f>
        <v>1</v>
      </c>
    </row>
    <row r="34" spans="1:5">
      <c r="A34" s="7">
        <v>33</v>
      </c>
      <c r="B34" s="608" t="str">
        <f ca="1">WORLDCUP!AA46</f>
        <v>Países Bajos</v>
      </c>
      <c r="C34" t="str">
        <f ca="1">WORLDCUP!AF46</f>
        <v>Suecia</v>
      </c>
      <c r="D34" s="7">
        <f>WORLDCUP!AC46</f>
        <v>1</v>
      </c>
      <c r="E34" s="7">
        <f>WORLDCUP!AD46</f>
        <v>1</v>
      </c>
    </row>
    <row r="35" spans="1:5">
      <c r="A35" s="7">
        <v>34</v>
      </c>
      <c r="B35" s="608" t="str">
        <f ca="1">WORLDCUP!AA47</f>
        <v>Túnez</v>
      </c>
      <c r="C35" t="str">
        <f ca="1">WORLDCUP!AF47</f>
        <v>Japón</v>
      </c>
      <c r="D35" s="7">
        <f>WORLDCUP!AC47</f>
        <v>1</v>
      </c>
      <c r="E35" s="7">
        <f>WORLDCUP!AD47</f>
        <v>2</v>
      </c>
    </row>
    <row r="36" spans="1:5">
      <c r="A36" s="7">
        <v>35</v>
      </c>
      <c r="B36" s="608" t="str">
        <f ca="1">WORLDCUP!AA48</f>
        <v>Japón</v>
      </c>
      <c r="C36" t="str">
        <f ca="1">WORLDCUP!AF48</f>
        <v>Suecia</v>
      </c>
      <c r="D36" s="7">
        <f>WORLDCUP!AC48</f>
        <v>1</v>
      </c>
      <c r="E36" s="7">
        <f>WORLDCUP!AD48</f>
        <v>2</v>
      </c>
    </row>
    <row r="37" spans="1:5">
      <c r="A37" s="7">
        <v>36</v>
      </c>
      <c r="B37" s="608" t="str">
        <f ca="1">WORLDCUP!AA49</f>
        <v>Túnez</v>
      </c>
      <c r="C37" t="str">
        <f ca="1">WORLDCUP!AF49</f>
        <v>Países Bajos</v>
      </c>
      <c r="D37" s="7">
        <f>WORLDCUP!AC49</f>
        <v>0</v>
      </c>
      <c r="E37" s="7">
        <f>WORLDCUP!AD49</f>
        <v>2</v>
      </c>
    </row>
    <row r="38" spans="1:5">
      <c r="A38" s="7">
        <v>37</v>
      </c>
      <c r="B38" s="608" t="str">
        <f ca="1">WORLDCUP!AA52</f>
        <v>Bélgica</v>
      </c>
      <c r="C38" t="str">
        <f ca="1">WORLDCUP!AF52</f>
        <v>Egipto</v>
      </c>
      <c r="D38" s="7">
        <f>WORLDCUP!AC52</f>
        <v>2</v>
      </c>
      <c r="E38" s="7">
        <f>WORLDCUP!AD52</f>
        <v>1</v>
      </c>
    </row>
    <row r="39" spans="1:5">
      <c r="A39" s="7">
        <v>38</v>
      </c>
      <c r="B39" s="608" t="str">
        <f ca="1">WORLDCUP!AA53</f>
        <v>Irán</v>
      </c>
      <c r="C39" t="str">
        <f ca="1">WORLDCUP!AF53</f>
        <v>Nueva Zelanda</v>
      </c>
      <c r="D39" s="7">
        <f>WORLDCUP!AC53</f>
        <v>1</v>
      </c>
      <c r="E39" s="7">
        <f>WORLDCUP!AD53</f>
        <v>1</v>
      </c>
    </row>
    <row r="40" spans="1:5">
      <c r="A40" s="7">
        <v>39</v>
      </c>
      <c r="B40" s="608" t="str">
        <f ca="1">WORLDCUP!AA54</f>
        <v>Bélgica</v>
      </c>
      <c r="C40" t="str">
        <f ca="1">WORLDCUP!AF54</f>
        <v>Irán</v>
      </c>
      <c r="D40" s="7">
        <f>WORLDCUP!AC54</f>
        <v>1</v>
      </c>
      <c r="E40" s="7">
        <f>WORLDCUP!AD54</f>
        <v>1</v>
      </c>
    </row>
    <row r="41" spans="1:5">
      <c r="A41" s="7">
        <v>40</v>
      </c>
      <c r="B41" s="608" t="str">
        <f ca="1">WORLDCUP!AA55</f>
        <v>Nueva Zelanda</v>
      </c>
      <c r="C41" t="str">
        <f ca="1">WORLDCUP!AF55</f>
        <v>Egipto</v>
      </c>
      <c r="D41" s="7">
        <f>WORLDCUP!AC55</f>
        <v>0</v>
      </c>
      <c r="E41" s="7">
        <f>WORLDCUP!AD55</f>
        <v>2</v>
      </c>
    </row>
    <row r="42" spans="1:5">
      <c r="A42" s="7">
        <v>41</v>
      </c>
      <c r="B42" s="608" t="str">
        <f ca="1">WORLDCUP!AA56</f>
        <v>Egipto</v>
      </c>
      <c r="C42" t="str">
        <f ca="1">WORLDCUP!AF56</f>
        <v>Irán</v>
      </c>
      <c r="D42" s="7">
        <f>WORLDCUP!AC56</f>
        <v>1</v>
      </c>
      <c r="E42" s="7">
        <f>WORLDCUP!AD56</f>
        <v>2</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2</v>
      </c>
      <c r="E44" s="7">
        <f>WORLDCUP!AD60</f>
        <v>0</v>
      </c>
    </row>
    <row r="45" spans="1:5">
      <c r="A45" s="7">
        <v>44</v>
      </c>
      <c r="B45" s="608" t="str">
        <f ca="1">WORLDCUP!AA61</f>
        <v>Arabia Saudita</v>
      </c>
      <c r="C45" t="str">
        <f ca="1">WORLDCUP!AF61</f>
        <v>Uruguay</v>
      </c>
      <c r="D45" s="7">
        <f>WORLDCUP!AC61</f>
        <v>1</v>
      </c>
      <c r="E45" s="7">
        <f>WORLDCUP!AD61</f>
        <v>2</v>
      </c>
    </row>
    <row r="46" spans="1:5">
      <c r="A46" s="7">
        <v>45</v>
      </c>
      <c r="B46" s="608" t="str">
        <f ca="1">WORLDCUP!AA62</f>
        <v>España</v>
      </c>
      <c r="C46" t="str">
        <f ca="1">WORLDCUP!AF62</f>
        <v>Arabia Saudita</v>
      </c>
      <c r="D46" s="7">
        <f>WORLDCUP!AC62</f>
        <v>2</v>
      </c>
      <c r="E46" s="7">
        <f>WORLDCUP!AD62</f>
        <v>0</v>
      </c>
    </row>
    <row r="47" spans="1:5">
      <c r="A47" s="7">
        <v>46</v>
      </c>
      <c r="B47" s="608" t="str">
        <f ca="1">WORLDCUP!AA63</f>
        <v>Uruguay</v>
      </c>
      <c r="C47" t="str">
        <f ca="1">WORLDCUP!AF63</f>
        <v>Cabo Verde</v>
      </c>
      <c r="D47" s="7">
        <f>WORLDCUP!AC63</f>
        <v>3</v>
      </c>
      <c r="E47" s="7">
        <f>WORLDCUP!AD63</f>
        <v>0</v>
      </c>
    </row>
    <row r="48" spans="1:5">
      <c r="A48" s="7">
        <v>47</v>
      </c>
      <c r="B48" s="608" t="str">
        <f ca="1">WORLDCUP!AA64</f>
        <v>Cabo Verde</v>
      </c>
      <c r="C48" t="str">
        <f ca="1">WORLDCUP!AF64</f>
        <v>Arabia Saudita</v>
      </c>
      <c r="D48" s="7">
        <f>WORLDCUP!AC64</f>
        <v>0</v>
      </c>
      <c r="E48" s="7">
        <f>WORLDCUP!AD64</f>
        <v>2</v>
      </c>
    </row>
    <row r="49" spans="1:5">
      <c r="A49" s="7">
        <v>48</v>
      </c>
      <c r="B49" s="608" t="str">
        <f ca="1">WORLDCUP!AA65</f>
        <v>Uruguay</v>
      </c>
      <c r="C49" t="str">
        <f ca="1">WORLDCUP!AF65</f>
        <v>España</v>
      </c>
      <c r="D49" s="7">
        <f>WORLDCUP!AC65</f>
        <v>1</v>
      </c>
      <c r="E49" s="7">
        <f>WORLDCUP!AD65</f>
        <v>1</v>
      </c>
    </row>
    <row r="50" spans="1:5">
      <c r="A50" s="7">
        <v>49</v>
      </c>
      <c r="B50" s="608" t="str">
        <f ca="1">WORLDCUP!AA68</f>
        <v>Francia</v>
      </c>
      <c r="C50" t="str">
        <f ca="1">WORLDCUP!AF68</f>
        <v>Senegal</v>
      </c>
      <c r="D50" s="7">
        <f>WORLDCUP!AC68</f>
        <v>2</v>
      </c>
      <c r="E50" s="7">
        <f>WORLDCUP!AD68</f>
        <v>1</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2</v>
      </c>
      <c r="E52" s="7">
        <f>WORLDCUP!AD70</f>
        <v>0</v>
      </c>
    </row>
    <row r="53" spans="1:5">
      <c r="A53" s="7">
        <v>52</v>
      </c>
      <c r="B53" s="608" t="str">
        <f ca="1">WORLDCUP!AA71</f>
        <v>Noruega</v>
      </c>
      <c r="C53" t="str">
        <f ca="1">WORLDCUP!AF71</f>
        <v>Senegal</v>
      </c>
      <c r="D53" s="7">
        <f>WORLDCUP!AC71</f>
        <v>2</v>
      </c>
      <c r="E53" s="7">
        <f>WORLDCUP!AD71</f>
        <v>1</v>
      </c>
    </row>
    <row r="54" spans="1:5">
      <c r="A54" s="7">
        <v>53</v>
      </c>
      <c r="B54" s="608" t="str">
        <f ca="1">WORLDCUP!AA72</f>
        <v>Noruega</v>
      </c>
      <c r="C54" t="str">
        <f ca="1">WORLDCUP!AF72</f>
        <v>Francia</v>
      </c>
      <c r="D54" s="7">
        <f>WORLDCUP!AC72</f>
        <v>0</v>
      </c>
      <c r="E54" s="7">
        <f>WORLDCUP!AD72</f>
        <v>2</v>
      </c>
    </row>
    <row r="55" spans="1:5">
      <c r="A55" s="7">
        <v>54</v>
      </c>
      <c r="B55" s="608" t="str">
        <f ca="1">WORLDCUP!AA73</f>
        <v>Senegal</v>
      </c>
      <c r="C55" t="str">
        <f ca="1">WORLDCUP!AF73</f>
        <v>Irak</v>
      </c>
      <c r="D55" s="7">
        <f>WORLDCUP!AC73</f>
        <v>2</v>
      </c>
      <c r="E55" s="7">
        <f>WORLDCUP!AD73</f>
        <v>0</v>
      </c>
    </row>
    <row r="56" spans="1:5">
      <c r="A56" s="7">
        <v>55</v>
      </c>
      <c r="B56" s="608" t="str">
        <f ca="1">WORLDCUP!AA76</f>
        <v>Argentina</v>
      </c>
      <c r="C56" t="str">
        <f ca="1">WORLDCUP!AF76</f>
        <v>Argelia</v>
      </c>
      <c r="D56" s="7">
        <f>WORLDCUP!AC76</f>
        <v>2</v>
      </c>
      <c r="E56" s="7">
        <f>WORLDCUP!AD76</f>
        <v>0</v>
      </c>
    </row>
    <row r="57" spans="1:5">
      <c r="A57" s="7">
        <v>56</v>
      </c>
      <c r="B57" s="608" t="str">
        <f ca="1">WORLDCUP!AA77</f>
        <v>Austria</v>
      </c>
      <c r="C57" t="str">
        <f ca="1">WORLDCUP!AF77</f>
        <v>Jordania</v>
      </c>
      <c r="D57" s="7">
        <f>WORLDCUP!AC77</f>
        <v>1</v>
      </c>
      <c r="E57" s="7">
        <f>WORLDCUP!AD77</f>
        <v>1</v>
      </c>
    </row>
    <row r="58" spans="1:5">
      <c r="A58" s="7">
        <v>57</v>
      </c>
      <c r="B58" s="608" t="str">
        <f ca="1">WORLDCUP!AA78</f>
        <v>Argentina</v>
      </c>
      <c r="C58" t="str">
        <f ca="1">WORLDCUP!AF78</f>
        <v>Austria</v>
      </c>
      <c r="D58" s="7">
        <f>WORLDCUP!AC78</f>
        <v>2</v>
      </c>
      <c r="E58" s="7">
        <f>WORLDCUP!AD78</f>
        <v>1</v>
      </c>
    </row>
    <row r="59" spans="1:5">
      <c r="A59" s="7">
        <v>58</v>
      </c>
      <c r="B59" s="608" t="str">
        <f ca="1">WORLDCUP!AA79</f>
        <v>Jordania</v>
      </c>
      <c r="C59" t="str">
        <f ca="1">WORLDCUP!AF79</f>
        <v>Argelia</v>
      </c>
      <c r="D59" s="7">
        <f>WORLDCUP!AC79</f>
        <v>0</v>
      </c>
      <c r="E59" s="7">
        <f>WORLDCUP!AD79</f>
        <v>2</v>
      </c>
    </row>
    <row r="60" spans="1:5">
      <c r="A60" s="7">
        <v>59</v>
      </c>
      <c r="B60" s="608" t="str">
        <f ca="1">WORLDCUP!AA80</f>
        <v>Argelia</v>
      </c>
      <c r="C60" t="str">
        <f ca="1">WORLDCUP!AF80</f>
        <v>Austria</v>
      </c>
      <c r="D60" s="7">
        <f>WORLDCUP!AC80</f>
        <v>2</v>
      </c>
      <c r="E60" s="7">
        <f>WORLDCUP!AD80</f>
        <v>1</v>
      </c>
    </row>
    <row r="61" spans="1:5">
      <c r="A61" s="7">
        <v>60</v>
      </c>
      <c r="B61" s="608" t="str">
        <f ca="1">WORLDCUP!AA81</f>
        <v>Jordania</v>
      </c>
      <c r="C61" t="str">
        <f ca="1">WORLDCUP!AF81</f>
        <v>Argentina</v>
      </c>
      <c r="D61" s="7">
        <f>WORLDCUP!AC81</f>
        <v>0</v>
      </c>
      <c r="E61" s="7">
        <f>WORLDCUP!AD81</f>
        <v>3</v>
      </c>
    </row>
    <row r="62" spans="1:5">
      <c r="A62" s="7">
        <v>61</v>
      </c>
      <c r="B62" s="608" t="str">
        <f ca="1">WORLDCUP!AA84</f>
        <v>Portugal</v>
      </c>
      <c r="C62" t="str">
        <f ca="1">WORLDCUP!AF84</f>
        <v>RD Congo</v>
      </c>
      <c r="D62" s="7">
        <f>WORLDCUP!AC84</f>
        <v>2</v>
      </c>
      <c r="E62" s="7">
        <f>WORLDCUP!AD84</f>
        <v>1</v>
      </c>
    </row>
    <row r="63" spans="1:5">
      <c r="A63" s="7">
        <v>62</v>
      </c>
      <c r="B63" s="608" t="str">
        <f ca="1">WORLDCUP!AA85</f>
        <v>Uzbekistán</v>
      </c>
      <c r="C63" t="str">
        <f ca="1">WORLDCUP!AF85</f>
        <v>Colombia</v>
      </c>
      <c r="D63" s="7">
        <f>WORLDCUP!AC85</f>
        <v>1</v>
      </c>
      <c r="E63" s="7">
        <f>WORLDCUP!AD85</f>
        <v>1</v>
      </c>
    </row>
    <row r="64" spans="1:5">
      <c r="A64" s="7">
        <v>63</v>
      </c>
      <c r="B64" s="608" t="str">
        <f ca="1">WORLDCUP!AA86</f>
        <v>Portugal</v>
      </c>
      <c r="C64" t="str">
        <f ca="1">WORLDCUP!AF86</f>
        <v>Uzbekistán</v>
      </c>
      <c r="D64" s="7">
        <f>WORLDCUP!AC86</f>
        <v>2</v>
      </c>
      <c r="E64" s="7">
        <f>WORLDCUP!AD86</f>
        <v>0</v>
      </c>
    </row>
    <row r="65" spans="1:5">
      <c r="A65" s="7">
        <v>64</v>
      </c>
      <c r="B65" s="608" t="str">
        <f ca="1">WORLDCUP!AA87</f>
        <v>Colombia</v>
      </c>
      <c r="C65" t="str">
        <f ca="1">WORLDCUP!AF87</f>
        <v>RD Congo</v>
      </c>
      <c r="D65" s="7">
        <f>WORLDCUP!AC87</f>
        <v>2</v>
      </c>
      <c r="E65" s="7">
        <f>WORLDCUP!AD87</f>
        <v>0</v>
      </c>
    </row>
    <row r="66" spans="1:5">
      <c r="A66" s="7">
        <v>65</v>
      </c>
      <c r="B66" s="608" t="str">
        <f ca="1">WORLDCUP!AA88</f>
        <v>Colombia</v>
      </c>
      <c r="C66" t="str">
        <f ca="1">WORLDCUP!AF88</f>
        <v>Portugal</v>
      </c>
      <c r="D66" s="7">
        <f>WORLDCUP!AC88</f>
        <v>1</v>
      </c>
      <c r="E66" s="7">
        <f>WORLDCUP!AD88</f>
        <v>2</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2</v>
      </c>
      <c r="E68" s="7">
        <f>WORLDCUP!AD92</f>
        <v>0</v>
      </c>
    </row>
    <row r="69" spans="1:5">
      <c r="A69" s="7">
        <v>68</v>
      </c>
      <c r="B69" s="608" t="str">
        <f ca="1">WORLDCUP!AA93</f>
        <v>Ghana</v>
      </c>
      <c r="C69" t="str">
        <f ca="1">WORLDCUP!AF93</f>
        <v>Panamá</v>
      </c>
      <c r="D69" s="7">
        <f>WORLDCUP!AC93</f>
        <v>2</v>
      </c>
      <c r="E69" s="7">
        <f>WORLDCUP!AD93</f>
        <v>0</v>
      </c>
    </row>
    <row r="70" spans="1:5">
      <c r="A70" s="7">
        <v>69</v>
      </c>
      <c r="B70" s="608" t="str">
        <f ca="1">WORLDCUP!AA94</f>
        <v>Inglaterra</v>
      </c>
      <c r="C70" t="str">
        <f ca="1">WORLDCUP!AF94</f>
        <v>Ghana</v>
      </c>
      <c r="D70" s="7">
        <f>WORLDCUP!AC94</f>
        <v>2</v>
      </c>
      <c r="E70" s="7">
        <f>WORLDCUP!AD94</f>
        <v>1</v>
      </c>
    </row>
    <row r="71" spans="1:5">
      <c r="A71" s="7">
        <v>70</v>
      </c>
      <c r="B71" s="608" t="str">
        <f ca="1">WORLDCUP!AA95</f>
        <v>Panamá</v>
      </c>
      <c r="C71" t="str">
        <f ca="1">WORLDCUP!AF95</f>
        <v>Croacia</v>
      </c>
      <c r="D71" s="7">
        <f>WORLDCUP!AC95</f>
        <v>1</v>
      </c>
      <c r="E71" s="7">
        <f>WORLDCUP!AD95</f>
        <v>2</v>
      </c>
    </row>
    <row r="72" spans="1:5">
      <c r="A72" s="7">
        <v>71</v>
      </c>
      <c r="B72" s="608" t="str">
        <f ca="1">WORLDCUP!AA96</f>
        <v>Panamá</v>
      </c>
      <c r="C72" t="str">
        <f ca="1">WORLDCUP!AF96</f>
        <v>Inglaterra</v>
      </c>
      <c r="D72" s="7">
        <f>WORLDCUP!AC96</f>
        <v>0</v>
      </c>
      <c r="E72" s="7">
        <f>WORLDCUP!AD96</f>
        <v>3</v>
      </c>
    </row>
    <row r="73" spans="1:5">
      <c r="A73" s="7">
        <v>72</v>
      </c>
      <c r="B73" s="608" t="str">
        <f ca="1">WORLDCUP!AA97</f>
        <v>Croacia</v>
      </c>
      <c r="C73" t="str">
        <f ca="1">WORLDCUP!AF97</f>
        <v>Ghana</v>
      </c>
      <c r="D73" s="7">
        <f>WORLDCUP!AC97</f>
        <v>2</v>
      </c>
      <c r="E73" s="7">
        <f>WORLDCUP!AD97</f>
        <v>1</v>
      </c>
    </row>
    <row r="74" spans="1:5">
      <c r="A74" s="7">
        <v>73</v>
      </c>
      <c r="B74" s="608" t="str">
        <f ca="1">WORLDCUP!AA101</f>
        <v>Corea del Sur</v>
      </c>
      <c r="C74" t="str">
        <f ca="1">WORLDCUP!AF101</f>
        <v>Canadá</v>
      </c>
      <c r="D74" s="7">
        <f>WORLDCUP!AC101</f>
        <v>1</v>
      </c>
      <c r="E74" s="7">
        <f>WORLDCUP!AD101</f>
        <v>2</v>
      </c>
    </row>
    <row r="75" spans="1:5">
      <c r="A75" s="7">
        <v>74</v>
      </c>
      <c r="B75" s="608" t="str">
        <f ca="1">WORLDCUP!AA102</f>
        <v>Brasil</v>
      </c>
      <c r="C75" t="str">
        <f ca="1">WORLDCUP!AF102</f>
        <v>Suecia</v>
      </c>
      <c r="D75" s="7">
        <f>WORLDCUP!AC102</f>
        <v>2</v>
      </c>
      <c r="E75" s="7">
        <f>WORLDCUP!AD102</f>
        <v>1</v>
      </c>
    </row>
    <row r="76" spans="1:5">
      <c r="A76" s="7">
        <v>75</v>
      </c>
      <c r="B76" s="608" t="str">
        <f ca="1">WORLDCUP!AA103</f>
        <v>Alemania</v>
      </c>
      <c r="C76" t="str">
        <f ca="1">WORLDCUP!AF103</f>
        <v>Paraguay</v>
      </c>
      <c r="D76" s="7">
        <f>WORLDCUP!AC103</f>
        <v>2</v>
      </c>
      <c r="E76" s="7">
        <f>WORLDCUP!AD103</f>
        <v>0</v>
      </c>
    </row>
    <row r="77" spans="1:5">
      <c r="A77" s="7">
        <v>76</v>
      </c>
      <c r="B77" s="608" t="str">
        <f ca="1">WORLDCUP!AA104</f>
        <v>Países Bajos</v>
      </c>
      <c r="C77" t="str">
        <f ca="1">WORLDCUP!AF104</f>
        <v>Marruecos</v>
      </c>
      <c r="D77" s="7">
        <f>WORLDCUP!AC104</f>
        <v>2</v>
      </c>
      <c r="E77" s="7">
        <f>WORLDCUP!AD104</f>
        <v>1</v>
      </c>
    </row>
    <row r="78" spans="1:5">
      <c r="A78" s="7">
        <v>77</v>
      </c>
      <c r="B78" s="608" t="str">
        <f ca="1">WORLDCUP!AA105</f>
        <v>Costa de Marfil</v>
      </c>
      <c r="C78" t="str">
        <f ca="1">WORLDCUP!AF105</f>
        <v>Noruega</v>
      </c>
      <c r="D78" s="7">
        <f>WORLDCUP!AC105</f>
        <v>1</v>
      </c>
      <c r="E78" s="7">
        <f>WORLDCUP!AD105</f>
        <v>2</v>
      </c>
    </row>
    <row r="79" spans="1:5">
      <c r="A79" s="7">
        <v>78</v>
      </c>
      <c r="B79" s="608" t="str">
        <f ca="1">WORLDCUP!AA106</f>
        <v>Francia</v>
      </c>
      <c r="C79" t="str">
        <f ca="1">WORLDCUP!AF106</f>
        <v>Japón</v>
      </c>
      <c r="D79" s="7">
        <f>WORLDCUP!AC106</f>
        <v>2</v>
      </c>
      <c r="E79" s="7">
        <f>WORLDCUP!AD106</f>
        <v>0</v>
      </c>
    </row>
    <row r="80" spans="1:5">
      <c r="A80" s="7">
        <v>79</v>
      </c>
      <c r="B80" s="608" t="str">
        <f ca="1">WORLDCUP!AA107</f>
        <v>México</v>
      </c>
      <c r="C80" t="str">
        <f ca="1">WORLDCUP!AF107</f>
        <v>Escocia</v>
      </c>
      <c r="D80" s="7">
        <f>WORLDCUP!AC107</f>
        <v>2</v>
      </c>
      <c r="E80" s="7">
        <f>WORLDCUP!AD107</f>
        <v>1</v>
      </c>
    </row>
    <row r="81" spans="1:5">
      <c r="A81" s="7">
        <v>80</v>
      </c>
      <c r="B81" s="608" t="str">
        <f ca="1">WORLDCUP!AA108</f>
        <v>Inglaterra</v>
      </c>
      <c r="C81" t="str">
        <f ca="1">WORLDCUP!AF108</f>
        <v>Senegal</v>
      </c>
      <c r="D81" s="7">
        <f>WORLDCUP!AC108</f>
        <v>2</v>
      </c>
      <c r="E81" s="7">
        <f>WORLDCUP!AD108</f>
        <v>0</v>
      </c>
    </row>
    <row r="82" spans="1:5">
      <c r="A82" s="7">
        <v>81</v>
      </c>
      <c r="B82" s="608" t="str">
        <f ca="1">WORLDCUP!AA109</f>
        <v>Bélgica</v>
      </c>
      <c r="C82" t="str">
        <f ca="1">WORLDCUP!AF109</f>
        <v>Ecuador</v>
      </c>
      <c r="D82" s="7">
        <f>WORLDCUP!AC109</f>
        <v>2</v>
      </c>
      <c r="E82" s="7">
        <f>WORLDCUP!AD109</f>
        <v>1</v>
      </c>
    </row>
    <row r="83" spans="1:5">
      <c r="A83" s="7">
        <v>82</v>
      </c>
      <c r="B83" s="608" t="str">
        <f ca="1">WORLDCUP!AA110</f>
        <v>Estados Unidos</v>
      </c>
      <c r="C83" t="str">
        <f ca="1">WORLDCUP!AF110</f>
        <v>Bosnia y Herzegovina</v>
      </c>
      <c r="D83" s="7">
        <f>WORLDCUP!AC110</f>
        <v>2</v>
      </c>
      <c r="E83" s="7">
        <f>WORLDCUP!AD110</f>
        <v>1</v>
      </c>
    </row>
    <row r="84" spans="1:5">
      <c r="A84" s="7">
        <v>83</v>
      </c>
      <c r="B84" s="608" t="str">
        <f ca="1">WORLDCUP!AA111</f>
        <v>Uruguay</v>
      </c>
      <c r="C84" t="str">
        <f ca="1">WORLDCUP!AF111</f>
        <v>Argelia</v>
      </c>
      <c r="D84" s="7">
        <f>WORLDCUP!AC111</f>
        <v>1</v>
      </c>
      <c r="E84" s="7">
        <f>WORLDCUP!AD111</f>
        <v>0</v>
      </c>
    </row>
    <row r="85" spans="1:5">
      <c r="A85" s="7">
        <v>84</v>
      </c>
      <c r="B85" s="608" t="str">
        <f ca="1">WORLDCUP!AA112</f>
        <v>Colombia</v>
      </c>
      <c r="C85" t="str">
        <f ca="1">WORLDCUP!AF112</f>
        <v>Croacia</v>
      </c>
      <c r="D85" s="7">
        <f>WORLDCUP!AC112</f>
        <v>2</v>
      </c>
      <c r="E85" s="7">
        <f>WORLDCUP!AD112</f>
        <v>1</v>
      </c>
    </row>
    <row r="86" spans="1:5">
      <c r="A86" s="7">
        <v>85</v>
      </c>
      <c r="B86" s="608" t="str">
        <f ca="1">WORLDCUP!AA113</f>
        <v>Suiza</v>
      </c>
      <c r="C86" t="str">
        <f ca="1">WORLDCUP!AF113</f>
        <v>Egipto</v>
      </c>
      <c r="D86" s="7">
        <f>WORLDCUP!AC113</f>
        <v>4</v>
      </c>
      <c r="E86" s="7">
        <f>WORLDCUP!AD113</f>
        <v>3</v>
      </c>
    </row>
    <row r="87" spans="1:5">
      <c r="A87" s="7">
        <v>86</v>
      </c>
      <c r="B87" s="608" t="str">
        <f ca="1">WORLDCUP!AA114</f>
        <v>Turquía</v>
      </c>
      <c r="C87" t="str">
        <f ca="1">WORLDCUP!AF114</f>
        <v>Irán</v>
      </c>
      <c r="D87" s="7">
        <f>WORLDCUP!AC114</f>
        <v>2</v>
      </c>
      <c r="E87" s="7">
        <f>WORLDCUP!AD114</f>
        <v>1</v>
      </c>
    </row>
    <row r="88" spans="1:5">
      <c r="A88" s="7">
        <v>87</v>
      </c>
      <c r="B88" s="608" t="str">
        <f ca="1">WORLDCUP!AA115</f>
        <v>Argentina</v>
      </c>
      <c r="C88" t="str">
        <f ca="1">WORLDCUP!AF115</f>
        <v>España</v>
      </c>
      <c r="D88" s="7">
        <f>WORLDCUP!AC115</f>
        <v>2</v>
      </c>
      <c r="E88" s="7">
        <f>WORLDCUP!AD115</f>
        <v>1</v>
      </c>
    </row>
    <row r="89" spans="1:5">
      <c r="A89" s="7">
        <v>88</v>
      </c>
      <c r="B89" s="608" t="str">
        <f ca="1">WORLDCUP!AA116</f>
        <v>Portugal</v>
      </c>
      <c r="C89" t="str">
        <f ca="1">WORLDCUP!AF116</f>
        <v>Ghana</v>
      </c>
      <c r="D89" s="7">
        <f>WORLDCUP!AC116</f>
        <v>2</v>
      </c>
      <c r="E89" s="7">
        <f>WORLDCUP!AD116</f>
        <v>0</v>
      </c>
    </row>
    <row r="90" spans="1:5">
      <c r="A90" s="7">
        <v>89</v>
      </c>
      <c r="B90" s="608" t="str">
        <f ca="1">WORLDCUP!AA120</f>
        <v>Canadá</v>
      </c>
      <c r="C90" t="str">
        <f ca="1">WORLDCUP!AF120</f>
        <v>Países Bajos</v>
      </c>
      <c r="D90" s="7">
        <f>WORLDCUP!AC120</f>
        <v>1</v>
      </c>
      <c r="E90" s="7">
        <f>WORLDCUP!AD120</f>
        <v>2</v>
      </c>
    </row>
    <row r="91" spans="1:5">
      <c r="A91" s="7">
        <v>90</v>
      </c>
      <c r="B91" s="608" t="str">
        <f ca="1">WORLDCUP!AA121</f>
        <v>Alemania</v>
      </c>
      <c r="C91" t="str">
        <f ca="1">WORLDCUP!AF121</f>
        <v>Francia</v>
      </c>
      <c r="D91" s="7">
        <f>WORLDCUP!AC121</f>
        <v>1</v>
      </c>
      <c r="E91" s="7">
        <f>WORLDCUP!AD121</f>
        <v>2</v>
      </c>
    </row>
    <row r="92" spans="1:5">
      <c r="A92" s="7">
        <v>91</v>
      </c>
      <c r="B92" s="608" t="str">
        <f ca="1">WORLDCUP!AA122</f>
        <v>Brasil</v>
      </c>
      <c r="C92" t="str">
        <f ca="1">WORLDCUP!AF122</f>
        <v>Noruega</v>
      </c>
      <c r="D92" s="7">
        <f>WORLDCUP!AC122</f>
        <v>2</v>
      </c>
      <c r="E92" s="7">
        <f>WORLDCUP!AD122</f>
        <v>0</v>
      </c>
    </row>
    <row r="93" spans="1:5">
      <c r="A93" s="7">
        <v>92</v>
      </c>
      <c r="B93" s="608" t="str">
        <f ca="1">WORLDCUP!AA123</f>
        <v>México</v>
      </c>
      <c r="C93" t="str">
        <f ca="1">WORLDCUP!AF123</f>
        <v>Inglaterra</v>
      </c>
      <c r="D93" s="7">
        <f>WORLDCUP!AC123</f>
        <v>1</v>
      </c>
      <c r="E93" s="7">
        <f>WORLDCUP!AD123</f>
        <v>2</v>
      </c>
    </row>
    <row r="94" spans="1:5">
      <c r="A94" s="7">
        <v>93</v>
      </c>
      <c r="B94" s="608" t="str">
        <f ca="1">WORLDCUP!AA124</f>
        <v>Colombia</v>
      </c>
      <c r="C94" t="str">
        <f ca="1">WORLDCUP!AF124</f>
        <v>Uruguay</v>
      </c>
      <c r="D94" s="7">
        <f>WORLDCUP!AC124</f>
        <v>0</v>
      </c>
      <c r="E94" s="7">
        <f>WORLDCUP!AD124</f>
        <v>2</v>
      </c>
    </row>
    <row r="95" spans="1:5">
      <c r="A95" s="7">
        <v>94</v>
      </c>
      <c r="B95" s="608" t="str">
        <f ca="1">WORLDCUP!AA125</f>
        <v>Estados Unidos</v>
      </c>
      <c r="C95" t="str">
        <f ca="1">WORLDCUP!AF125</f>
        <v>Bélgica</v>
      </c>
      <c r="D95" s="7">
        <f>WORLDCUP!AC125</f>
        <v>1</v>
      </c>
      <c r="E95" s="7">
        <f>WORLDCUP!AD125</f>
        <v>2</v>
      </c>
    </row>
    <row r="96" spans="1:5">
      <c r="A96" s="7">
        <v>95</v>
      </c>
      <c r="B96" s="608" t="str">
        <f ca="1">WORLDCUP!AA126</f>
        <v>Argentina</v>
      </c>
      <c r="C96" t="str">
        <f ca="1">WORLDCUP!AF126</f>
        <v>Turquía</v>
      </c>
      <c r="D96" s="7">
        <f>WORLDCUP!AC126</f>
        <v>2</v>
      </c>
      <c r="E96" s="7">
        <f>WORLDCUP!AD126</f>
        <v>1</v>
      </c>
    </row>
    <row r="97" spans="1:7">
      <c r="A97" s="7">
        <v>96</v>
      </c>
      <c r="B97" s="608" t="str">
        <f ca="1">WORLDCUP!AA127</f>
        <v>Suiza</v>
      </c>
      <c r="C97" t="str">
        <f ca="1">WORLDCUP!AF127</f>
        <v>Portugal</v>
      </c>
      <c r="D97" s="7">
        <f>WORLDCUP!AC127</f>
        <v>1</v>
      </c>
      <c r="E97" s="7">
        <f>WORLDCUP!AD127</f>
        <v>2</v>
      </c>
    </row>
    <row r="98" spans="1:7">
      <c r="A98" s="7">
        <v>97</v>
      </c>
      <c r="B98" s="608" t="str">
        <f ca="1">WORLDCUP!AA131</f>
        <v>Francia</v>
      </c>
      <c r="C98" t="str">
        <f ca="1">WORLDCUP!AF131</f>
        <v>Países Bajos</v>
      </c>
      <c r="D98" s="7">
        <f>WORLDCUP!AC131</f>
        <v>2</v>
      </c>
      <c r="E98" s="7">
        <f>WORLDCUP!AD131</f>
        <v>1</v>
      </c>
    </row>
    <row r="99" spans="1:7">
      <c r="A99" s="7">
        <v>98</v>
      </c>
      <c r="B99" s="608" t="str">
        <f ca="1">WORLDCUP!AA132</f>
        <v>Uruguay</v>
      </c>
      <c r="C99" t="str">
        <f ca="1">WORLDCUP!AF132</f>
        <v>Bélgica</v>
      </c>
      <c r="D99" s="7">
        <f>WORLDCUP!AC132</f>
        <v>1</v>
      </c>
      <c r="E99" s="7">
        <f>WORLDCUP!AD132</f>
        <v>2</v>
      </c>
    </row>
    <row r="100" spans="1:7">
      <c r="A100" s="7">
        <v>99</v>
      </c>
      <c r="B100" s="608" t="str">
        <f ca="1">WORLDCUP!AA133</f>
        <v>Brasil</v>
      </c>
      <c r="C100" t="str">
        <f ca="1">WORLDCUP!AF133</f>
        <v>Inglaterra</v>
      </c>
      <c r="D100" s="7">
        <f>WORLDCUP!AC133</f>
        <v>2</v>
      </c>
      <c r="E100" s="7">
        <f>WORLDCUP!AD133</f>
        <v>1</v>
      </c>
    </row>
    <row r="101" spans="1:7">
      <c r="A101" s="7">
        <v>100</v>
      </c>
      <c r="B101" s="608" t="str">
        <f ca="1">WORLDCUP!AA134</f>
        <v>Argentina</v>
      </c>
      <c r="C101" t="str">
        <f ca="1">WORLDCUP!AF134</f>
        <v>Portugal</v>
      </c>
      <c r="D101" s="7">
        <f>WORLDCUP!AC134</f>
        <v>1</v>
      </c>
      <c r="E101" s="7">
        <f>WORLDCUP!AD134</f>
        <v>2</v>
      </c>
    </row>
    <row r="102" spans="1:7">
      <c r="A102" s="7">
        <v>101</v>
      </c>
      <c r="B102" s="608" t="str">
        <f ca="1">WORLDCUP!AA138</f>
        <v>Francia</v>
      </c>
      <c r="C102" t="str">
        <f ca="1">WORLDCUP!AF138</f>
        <v>Bélgica</v>
      </c>
      <c r="D102" s="7">
        <f>WORLDCUP!AC138</f>
        <v>2</v>
      </c>
      <c r="E102" s="7">
        <f>WORLDCUP!AD138</f>
        <v>1</v>
      </c>
    </row>
    <row r="103" spans="1:7">
      <c r="A103" s="7">
        <v>102</v>
      </c>
      <c r="B103" s="608" t="str">
        <f ca="1">WORLDCUP!AA139</f>
        <v>Brasil</v>
      </c>
      <c r="C103" t="str">
        <f ca="1">WORLDCUP!AF139</f>
        <v>Portugal</v>
      </c>
      <c r="D103" s="7">
        <f>WORLDCUP!AC139</f>
        <v>4</v>
      </c>
      <c r="E103" s="7">
        <f>WORLDCUP!AD139</f>
        <v>3</v>
      </c>
    </row>
    <row r="104" spans="1:7">
      <c r="A104" s="7">
        <v>103</v>
      </c>
      <c r="B104" s="608" t="str">
        <f ca="1">WORLDCUP!AA143</f>
        <v>Bélgica</v>
      </c>
      <c r="C104" t="str">
        <f ca="1">WORLDCUP!AF143</f>
        <v>Portugal</v>
      </c>
      <c r="D104" s="7">
        <f>WORLDCUP!AC143</f>
        <v>1</v>
      </c>
      <c r="E104" s="7">
        <f>WORLDCUP!AD143</f>
        <v>2</v>
      </c>
    </row>
    <row r="105" spans="1:7">
      <c r="A105" s="7">
        <v>104</v>
      </c>
      <c r="B105" s="608" t="str">
        <f ca="1">WORLDCUP!AA147</f>
        <v>Francia</v>
      </c>
      <c r="C105" t="str">
        <f ca="1">WORLDCUP!AF147</f>
        <v>Brasil</v>
      </c>
      <c r="D105" s="7">
        <f>WORLDCUP!AC147</f>
        <v>1</v>
      </c>
      <c r="E105" s="7">
        <f>WORLDCUP!AD147</f>
        <v>3</v>
      </c>
    </row>
    <row r="106" spans="1:7">
      <c r="B106" s="608"/>
    </row>
    <row r="107" spans="1:7">
      <c r="B107" s="608"/>
    </row>
    <row r="108" spans="1:7">
      <c r="B108" s="608"/>
    </row>
    <row r="109" spans="1:7">
      <c r="A109" s="7">
        <v>988</v>
      </c>
      <c r="B109" s="608"/>
      <c r="F109" t="s">
        <v>1518</v>
      </c>
      <c r="G109" t="str">
        <f>WORLDCUP!AA154</f>
        <v>Vinícius Jr</v>
      </c>
    </row>
    <row r="110" spans="1:7">
      <c r="A110" s="7">
        <v>999</v>
      </c>
      <c r="F110" t="s">
        <v>1519</v>
      </c>
      <c r="G110" t="str">
        <f>WORLDCUP!AA156</f>
        <v>Vinícius Jr</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Sudáfrica</v>
      </c>
    </row>
    <row r="117" spans="1:4">
      <c r="A117" s="7">
        <v>1003</v>
      </c>
      <c r="B117" t="s">
        <v>1521</v>
      </c>
      <c r="C117" s="7">
        <v>4</v>
      </c>
      <c r="D117" t="str">
        <f ca="1">WORLDCUP!AL9</f>
        <v>República Checa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Estados Unidos</v>
      </c>
    </row>
    <row r="127" spans="1:4">
      <c r="A127" s="7">
        <v>1013</v>
      </c>
      <c r="B127" t="s">
        <v>1524</v>
      </c>
      <c r="C127" s="7">
        <v>2</v>
      </c>
      <c r="D127" t="str">
        <f ca="1">WORLDCUP!AL31</f>
        <v>Turquía</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Costa de Marfil</v>
      </c>
    </row>
    <row r="132" spans="1:4">
      <c r="A132" s="7">
        <v>1018</v>
      </c>
      <c r="B132" t="s">
        <v>1525</v>
      </c>
      <c r="C132" s="7">
        <v>3</v>
      </c>
      <c r="D132" t="str">
        <f ca="1">WORLDCUP!AL40</f>
        <v>Ecuador</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Suecia</v>
      </c>
    </row>
    <row r="136" spans="1:4">
      <c r="A136" s="7">
        <v>1022</v>
      </c>
      <c r="B136" t="s">
        <v>1526</v>
      </c>
      <c r="C136" s="7">
        <v>3</v>
      </c>
      <c r="D136" t="str">
        <f ca="1">WORLDCUP!AL48</f>
        <v>Japón</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Irán</v>
      </c>
    </row>
    <row r="140" spans="1:4">
      <c r="A140" s="7">
        <v>1026</v>
      </c>
      <c r="B140" t="s">
        <v>1527</v>
      </c>
      <c r="C140" s="7">
        <v>3</v>
      </c>
      <c r="D140" t="str">
        <f ca="1">WORLDCUP!AL56</f>
        <v>Egipto</v>
      </c>
    </row>
    <row r="141" spans="1:4">
      <c r="A141" s="7">
        <v>1027</v>
      </c>
      <c r="B141" t="s">
        <v>1527</v>
      </c>
      <c r="C141" s="7">
        <v>4</v>
      </c>
      <c r="D141" t="str">
        <f ca="1">WORLDCUP!AL57</f>
        <v>Nueva Zelanda</v>
      </c>
    </row>
    <row r="142" spans="1:4">
      <c r="A142" s="7">
        <v>1028</v>
      </c>
      <c r="B142" t="s">
        <v>1528</v>
      </c>
      <c r="C142" s="7">
        <v>1</v>
      </c>
      <c r="D142" t="str">
        <f ca="1">WORLDCUP!AL62</f>
        <v>Uruguay</v>
      </c>
    </row>
    <row r="143" spans="1:4">
      <c r="A143" s="7">
        <v>1029</v>
      </c>
      <c r="B143" t="s">
        <v>1528</v>
      </c>
      <c r="C143" s="7">
        <v>2</v>
      </c>
      <c r="D143" t="str">
        <f ca="1">WORLDCUP!AL63</f>
        <v>España</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Argelia</v>
      </c>
    </row>
    <row r="152" spans="1:4">
      <c r="A152" s="7">
        <v>1038</v>
      </c>
      <c r="B152" t="s">
        <v>1530</v>
      </c>
      <c r="C152" s="7">
        <v>3</v>
      </c>
      <c r="D152" t="str">
        <f ca="1">WORLDCUP!AL80</f>
        <v>Austria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Uzbekistán</v>
      </c>
    </row>
    <row r="157" spans="1:4">
      <c r="A157" s="7">
        <v>1043</v>
      </c>
      <c r="B157" t="s">
        <v>1531</v>
      </c>
      <c r="C157" s="7">
        <v>4</v>
      </c>
      <c r="D157" t="str">
        <f ca="1">WORLDCUP!AL89</f>
        <v>RD Congo</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19.95" customHeight="1" thickBot="1">
      <c r="A2" s="274"/>
      <c r="B2" s="275"/>
      <c r="C2" s="275"/>
      <c r="D2" s="351"/>
      <c r="E2" s="678"/>
      <c r="F2" s="678"/>
      <c r="G2" s="678"/>
      <c r="H2" s="678"/>
      <c r="I2" s="678"/>
      <c r="J2" s="678"/>
      <c r="K2" s="678"/>
      <c r="L2" s="678"/>
      <c r="M2" s="678"/>
      <c r="N2" s="678"/>
    </row>
    <row r="3" spans="1:14" ht="34.950000000000003"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0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1|2-1</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1|3-0</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1|2-1</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2|1-2</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1|3-0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X|1-1</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1|2-1</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X|1-1</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1|2-1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X|1-1</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1|2-0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2|1-2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1|2-1</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1|2-0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X|1-1</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1|2-1</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X|1-1</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1|2-0</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1|2-0</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2|1-2</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1|2-0</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1|2-1</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1|3-0</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X|1-1</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1|2-0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X|1-1</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1|2-1</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1|2-1</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1|2-0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X|1-1</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2|1-2</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X|1-1</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2|0-2</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1|2-0</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1|3-0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1|2-0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1|2-1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1|2-1</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2|0-2</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1|2-0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1|2-1</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2|1-2</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2|1-2</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2|1-2</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X|1-1</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1|2-0</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2|0-3</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1|2-0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2|1-2</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1|2-1</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2|0-2</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2|1-3</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2|1-2</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2|0-2</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2|1-2</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2|0-2</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X|1-1</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2|0-2</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1|2-0</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1|2-1</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2|0-3</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2|1-2</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1|2-1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0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Corea del Sur</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Sudáfrica</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República Checa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Canadá</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Estados Unidos</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Turquía</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Costa de Marfil</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Ecuador</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Suecia</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Japón</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Irán</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Egipto</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Uruguay</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España</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Argelia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Austria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Uzbekistán</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RD Congo</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0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Corea del Sur</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Costa de Marfil</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Estados Unidos</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Uruguay</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Turquía</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Canadá</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Suecia</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Paraguay</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Japón</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Escocia</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Senegal</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Ecuador</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Bosnia y Herzegovina</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Argelia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Egipto</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Irán</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España</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19.95"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2.95"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Corea del Sur-Canadá</v>
      </c>
      <c r="C164" s="332" t="str">
        <f ca="1">CONCATENATE(WORLDCUP!AA101,"-",WORLDCUP!AF101,"·",IF(WORLDCUP!AC101&gt;WORLDCUP!AD101,1,IF(WORLDCUP!AC101&lt;WORLDCUP!AD101,2,IF(AND(WORLDCUP!AC101=WORLDCUP!AD101,WORLDCUP!AC101&lt;&gt;"",WORLDCUP!AD101&lt;&gt;""),"X",0))),"|",WORLDCUP!AC101,"-",WORLDCUP!AD101)</f>
        <v>Corea del Sur-Canadá·2|1-2</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Brasil-Suecia</v>
      </c>
      <c r="C165" s="332" t="str">
        <f ca="1">CONCATENATE(WORLDCUP!AA102,"-",WORLDCUP!AF102,"·",IF(WORLDCUP!AC102&gt;WORLDCUP!AD102,1,IF(WORLDCUP!AC102&lt;WORLDCUP!AD102,2,IF(AND(WORLDCUP!AC102=WORLDCUP!AD102,WORLDCUP!AC102&lt;&gt;"",WORLDCUP!AD102&lt;&gt;""),"X",0))),"|",WORLDCUP!AC102,"-",WORLDCUP!AD102)</f>
        <v>Brasil-Suecia·1|2-1</v>
      </c>
      <c r="D165" s="669"/>
      <c r="E165" s="688"/>
      <c r="F165" s="688"/>
      <c r="G165" s="688"/>
      <c r="H165" s="688"/>
      <c r="I165" s="335"/>
      <c r="J165" s="353"/>
      <c r="K165" s="353"/>
      <c r="L165" s="353"/>
      <c r="M165" s="369"/>
      <c r="N165" s="360"/>
    </row>
    <row r="166" spans="1:14" ht="15" customHeight="1">
      <c r="A166" s="667"/>
      <c r="B166" s="343" t="str">
        <f ca="1">CONCATENATE(WORLDCUP!AA103,"-",WORLDCUP!AF103)</f>
        <v>Alemania-Paraguay</v>
      </c>
      <c r="C166" s="332" t="str">
        <f ca="1">CONCATENATE(WORLDCUP!AA103,"-",WORLDCUP!AF103,"·",IF(WORLDCUP!AC103&gt;WORLDCUP!AD103,1,IF(WORLDCUP!AC103&lt;WORLDCUP!AD103,2,IF(AND(WORLDCUP!AC103=WORLDCUP!AD103,WORLDCUP!AC103&lt;&gt;"",WORLDCUP!AD103&lt;&gt;""),"X",0))),"|",WORLDCUP!AC103,"-",WORLDCUP!AD103)</f>
        <v>Alemania-Paraguay·1|2-0</v>
      </c>
      <c r="D166" s="669"/>
      <c r="E166" s="688"/>
      <c r="F166" s="688"/>
      <c r="G166" s="688"/>
      <c r="H166" s="688"/>
      <c r="I166" s="335"/>
      <c r="J166" s="353"/>
      <c r="K166" s="353"/>
      <c r="L166" s="353"/>
      <c r="M166" s="369"/>
      <c r="N166" s="360"/>
    </row>
    <row r="167" spans="1:14" ht="15" customHeight="1">
      <c r="A167" s="667"/>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Bajos-Marruecos·1|2-1</v>
      </c>
      <c r="D167" s="669"/>
      <c r="E167" s="688"/>
      <c r="F167" s="688"/>
      <c r="G167" s="688"/>
      <c r="H167" s="688"/>
      <c r="I167" s="335"/>
      <c r="J167" s="353"/>
      <c r="K167" s="353"/>
      <c r="L167" s="353"/>
      <c r="M167" s="369"/>
      <c r="N167" s="360"/>
    </row>
    <row r="168" spans="1:14" ht="15" customHeight="1">
      <c r="A168" s="667"/>
      <c r="B168" s="343" t="str">
        <f ca="1">CONCATENATE(WORLDCUP!AA105,"-",WORLDCUP!AF105)</f>
        <v>Costa de Marfil-Noruega</v>
      </c>
      <c r="C168" s="332" t="str">
        <f ca="1">CONCATENATE(WORLDCUP!AA105,"-",WORLDCUP!AF105,"·",IF(WORLDCUP!AC105&gt;WORLDCUP!AD105,1,IF(WORLDCUP!AC105&lt;WORLDCUP!AD105,2,IF(AND(WORLDCUP!AC105=WORLDCUP!AD105,WORLDCUP!AC105&lt;&gt;"",WORLDCUP!AD105&lt;&gt;""),"X",0))),"|",WORLDCUP!AC105,"-",WORLDCUP!AD105)</f>
        <v>Costa de Marfil-Noruega·2|1-2</v>
      </c>
      <c r="D168" s="669"/>
      <c r="E168" s="353"/>
      <c r="F168" s="353"/>
      <c r="G168" s="353"/>
      <c r="H168" s="353"/>
      <c r="I168" s="335"/>
      <c r="J168" s="353"/>
      <c r="K168" s="353"/>
      <c r="L168" s="353"/>
      <c r="M168" s="369"/>
      <c r="N168" s="360"/>
    </row>
    <row r="169" spans="1:14" ht="15" customHeight="1">
      <c r="A169" s="667"/>
      <c r="B169" s="343" t="str">
        <f ca="1">CONCATENATE(WORLDCUP!AA106,"-",WORLDCUP!AF106)</f>
        <v>Francia-Japón</v>
      </c>
      <c r="C169" s="332" t="str">
        <f ca="1">CONCATENATE(WORLDCUP!AA106,"-",WORLDCUP!AF106,"·",IF(WORLDCUP!AC106&gt;WORLDCUP!AD106,1,IF(WORLDCUP!AC106&lt;WORLDCUP!AD106,2,IF(AND(WORLDCUP!AC106=WORLDCUP!AD106,WORLDCUP!AC106&lt;&gt;"",WORLDCUP!AD106&lt;&gt;""),"X",0))),"|",WORLDCUP!AC106,"-",WORLDCUP!AD106)</f>
        <v>Francia-Japón·1|2-0</v>
      </c>
      <c r="D169" s="669"/>
      <c r="E169" s="353"/>
      <c r="F169" s="353"/>
      <c r="G169" s="353"/>
      <c r="H169" s="353"/>
      <c r="I169" s="335"/>
      <c r="J169" s="353"/>
      <c r="K169" s="353"/>
      <c r="L169" s="353"/>
      <c r="M169" s="369"/>
      <c r="N169" s="360"/>
    </row>
    <row r="170" spans="1:14" ht="15" customHeight="1">
      <c r="A170" s="667"/>
      <c r="B170" s="343" t="str">
        <f ca="1">CONCATENATE(WORLDCUP!AA107,"-",WORLDCUP!AF107)</f>
        <v>México-Escocia</v>
      </c>
      <c r="C170" s="332" t="str">
        <f ca="1">CONCATENATE(WORLDCUP!AA107,"-",WORLDCUP!AF107,"·",IF(WORLDCUP!AC107&gt;WORLDCUP!AD107,1,IF(WORLDCUP!AC107&lt;WORLDCUP!AD107,2,IF(AND(WORLDCUP!AC107=WORLDCUP!AD107,WORLDCUP!AC107&lt;&gt;"",WORLDCUP!AD107&lt;&gt;""),"X",0))),"|",WORLDCUP!AC107,"-",WORLDCUP!AD107)</f>
        <v>México-Escocia·1|2-1</v>
      </c>
      <c r="D170" s="669"/>
      <c r="E170" s="353"/>
      <c r="F170" s="353"/>
      <c r="G170" s="353"/>
      <c r="H170" s="353"/>
      <c r="I170" s="335"/>
      <c r="J170" s="353"/>
      <c r="K170" s="353"/>
      <c r="L170" s="353"/>
      <c r="M170" s="369"/>
      <c r="N170" s="360"/>
    </row>
    <row r="171" spans="1:14" ht="15" customHeight="1">
      <c r="A171" s="667"/>
      <c r="B171" s="343" t="str">
        <f ca="1">CONCATENATE(WORLDCUP!AA108,"-",WORLDCUP!AF108)</f>
        <v>Inglaterra-Senegal</v>
      </c>
      <c r="C171" s="332" t="str">
        <f ca="1">CONCATENATE(WORLDCUP!AA108,"-",WORLDCUP!AF108,"·",IF(WORLDCUP!AC108&gt;WORLDCUP!AD108,1,IF(WORLDCUP!AC108&lt;WORLDCUP!AD108,2,IF(AND(WORLDCUP!AC108=WORLDCUP!AD108,WORLDCUP!AC108&lt;&gt;"",WORLDCUP!AD108&lt;&gt;""),"X",0))),"|",WORLDCUP!AC108,"-",WORLDCUP!AD108)</f>
        <v>Inglaterra-Senegal·1|2-0</v>
      </c>
      <c r="D171" s="669"/>
      <c r="E171" s="353"/>
      <c r="F171" s="353"/>
      <c r="G171" s="353"/>
      <c r="H171" s="353"/>
      <c r="I171" s="335"/>
      <c r="J171" s="353"/>
      <c r="K171" s="353"/>
      <c r="L171" s="353"/>
      <c r="M171" s="369"/>
      <c r="N171" s="360"/>
    </row>
    <row r="172" spans="1:14" ht="15" customHeight="1">
      <c r="A172" s="667"/>
      <c r="B172" s="343" t="str">
        <f ca="1">CONCATENATE(WORLDCUP!AA109,"-",WORLDCUP!AF109)</f>
        <v>Bélgica-Ecuador</v>
      </c>
      <c r="C172" s="332" t="str">
        <f ca="1">CONCATENATE(WORLDCUP!AA109,"-",WORLDCUP!AF109,"·",IF(WORLDCUP!AC109&gt;WORLDCUP!AD109,1,IF(WORLDCUP!AC109&lt;WORLDCUP!AD109,2,IF(AND(WORLDCUP!AC109=WORLDCUP!AD109,WORLDCUP!AC109&lt;&gt;"",WORLDCUP!AD109&lt;&gt;""),"X",0))),"|",WORLDCUP!AC109,"-",WORLDCUP!AD109)</f>
        <v>Bélgica-Ecuador·1|2-1</v>
      </c>
      <c r="D172" s="669"/>
      <c r="E172" s="353"/>
      <c r="F172" s="353"/>
      <c r="G172" s="353"/>
      <c r="H172" s="353"/>
      <c r="I172" s="335"/>
      <c r="J172" s="353"/>
      <c r="K172" s="353"/>
      <c r="L172" s="353"/>
      <c r="M172" s="369"/>
      <c r="N172" s="360"/>
    </row>
    <row r="173" spans="1:14" ht="15" customHeight="1">
      <c r="A173" s="667"/>
      <c r="B173" s="343" t="str">
        <f ca="1">CONCATENATE(WORLDCUP!AA110,"-",WORLDCUP!AF110)</f>
        <v>Estados Unidos-Bosnia y Herzegovina</v>
      </c>
      <c r="C173" s="332" t="str">
        <f ca="1">CONCATENATE(WORLDCUP!AA110,"-",WORLDCUP!AF110,"·",IF(WORLDCUP!AC110&gt;WORLDCUP!AD110,1,IF(WORLDCUP!AC110&lt;WORLDCUP!AD110,2,IF(AND(WORLDCUP!AC110=WORLDCUP!AD110,WORLDCUP!AC110&lt;&gt;"",WORLDCUP!AD110&lt;&gt;""),"X",0))),"|",WORLDCUP!AC110,"-",WORLDCUP!AD110)</f>
        <v>Estados Unidos-Bosnia y Herzegovina·1|2-1</v>
      </c>
      <c r="D173" s="669"/>
      <c r="E173" s="353"/>
      <c r="F173" s="353"/>
      <c r="G173" s="353"/>
      <c r="H173" s="353"/>
      <c r="I173" s="335"/>
      <c r="J173" s="353"/>
      <c r="K173" s="353"/>
      <c r="L173" s="353"/>
      <c r="M173" s="369"/>
      <c r="N173" s="360"/>
    </row>
    <row r="174" spans="1:14" ht="15" customHeight="1">
      <c r="A174" s="667"/>
      <c r="B174" s="343" t="str">
        <f ca="1">CONCATENATE(WORLDCUP!AA111,"-",WORLDCUP!AF111)</f>
        <v>Uruguay-Argelia</v>
      </c>
      <c r="C174" s="332" t="str">
        <f ca="1">CONCATENATE(WORLDCUP!AA111,"-",WORLDCUP!AF111,"·",IF(WORLDCUP!AC111&gt;WORLDCUP!AD111,1,IF(WORLDCUP!AC111&lt;WORLDCUP!AD111,2,IF(AND(WORLDCUP!AC111=WORLDCUP!AD111,WORLDCUP!AC111&lt;&gt;"",WORLDCUP!AD111&lt;&gt;""),"X",0))),"|",WORLDCUP!AC111,"-",WORLDCUP!AD111)</f>
        <v>Uruguay-Argelia·1|1-0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Colombia-Croacia·1|2-1</v>
      </c>
      <c r="D175" s="669"/>
      <c r="E175" s="353"/>
      <c r="F175" s="353"/>
      <c r="G175" s="353"/>
      <c r="H175" s="353"/>
      <c r="I175" s="335"/>
      <c r="J175" s="353"/>
      <c r="K175" s="353"/>
      <c r="L175" s="353"/>
      <c r="M175" s="369"/>
      <c r="N175" s="360"/>
    </row>
    <row r="176" spans="1:14" ht="15" customHeight="1">
      <c r="A176" s="667"/>
      <c r="B176" s="343" t="str">
        <f ca="1">CONCATENATE(WORLDCUP!AA113,"-",WORLDCUP!AF113)</f>
        <v>Suiza-Egipto</v>
      </c>
      <c r="C176" s="332" t="str">
        <f ca="1">CONCATENATE(WORLDCUP!AA113,"-",WORLDCUP!AF113,"·",IF(WORLDCUP!AC113&gt;WORLDCUP!AD113,1,IF(WORLDCUP!AC113&lt;WORLDCUP!AD113,2,IF(AND(WORLDCUP!AC113=WORLDCUP!AD113,WORLDCUP!AC113&lt;&gt;"",WORLDCUP!AD113&lt;&gt;""),"X",0))),"|",WORLDCUP!AC113,"-",WORLDCUP!AD113)</f>
        <v>Suiza-Egipto·1|4-3</v>
      </c>
      <c r="D176" s="669"/>
      <c r="E176" s="353"/>
      <c r="F176" s="353"/>
      <c r="G176" s="353"/>
      <c r="H176" s="353"/>
      <c r="I176" s="335"/>
      <c r="J176" s="353"/>
      <c r="K176" s="353"/>
      <c r="L176" s="353"/>
      <c r="M176" s="369"/>
      <c r="N176" s="360"/>
    </row>
    <row r="177" spans="1:14" ht="15" customHeight="1">
      <c r="A177" s="667"/>
      <c r="B177" s="343" t="str">
        <f ca="1">CONCATENATE(WORLDCUP!AA114,"-",WORLDCUP!AF114)</f>
        <v>Turquía-Irán</v>
      </c>
      <c r="C177" s="332" t="str">
        <f ca="1">CONCATENATE(WORLDCUP!AA114,"-",WORLDCUP!AF114,"·",IF(WORLDCUP!AC114&gt;WORLDCUP!AD114,1,IF(WORLDCUP!AC114&lt;WORLDCUP!AD114,2,IF(AND(WORLDCUP!AC114=WORLDCUP!AD114,WORLDCUP!AC114&lt;&gt;"",WORLDCUP!AD114&lt;&gt;""),"X",0))),"|",WORLDCUP!AC114,"-",WORLDCUP!AD114)</f>
        <v>Turquía-Irán·1|2-1</v>
      </c>
      <c r="D177" s="669"/>
      <c r="E177" s="353"/>
      <c r="F177" s="353"/>
      <c r="G177" s="353"/>
      <c r="H177" s="353"/>
      <c r="I177" s="335"/>
      <c r="J177" s="353"/>
      <c r="K177" s="353"/>
      <c r="L177" s="353"/>
      <c r="M177" s="369"/>
      <c r="N177" s="360"/>
    </row>
    <row r="178" spans="1:14" ht="15" customHeight="1">
      <c r="A178" s="667"/>
      <c r="B178" s="343" t="str">
        <f ca="1">CONCATENATE(WORLDCUP!AA115,"-",WORLDCUP!AF115)</f>
        <v>Argentina-España</v>
      </c>
      <c r="C178" s="332" t="str">
        <f ca="1">CONCATENATE(WORLDCUP!AA115,"-",WORLDCUP!AF115,"·",IF(WORLDCUP!AC115&gt;WORLDCUP!AD115,1,IF(WORLDCUP!AC115&lt;WORLDCUP!AD115,2,IF(AND(WORLDCUP!AC115=WORLDCUP!AD115,WORLDCUP!AC115&lt;&gt;"",WORLDCUP!AD115&lt;&gt;""),"X",0))),"|",WORLDCUP!AC115,"-",WORLDCUP!AD115)</f>
        <v>Argentina-España·1|2-1</v>
      </c>
      <c r="D178" s="669"/>
      <c r="E178" s="353"/>
      <c r="F178" s="353"/>
      <c r="G178" s="353"/>
      <c r="H178" s="353"/>
      <c r="I178" s="335"/>
      <c r="J178" s="353"/>
      <c r="K178" s="353"/>
      <c r="L178" s="353"/>
      <c r="M178" s="369"/>
      <c r="N178" s="360"/>
    </row>
    <row r="179" spans="1:14" ht="15" customHeight="1">
      <c r="A179" s="667"/>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Portugal-Ghana·1|2-0</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0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Canadá</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Estados Unidos</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Países Bajos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Noruega</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Uruguay</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Turquía</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Canadá-Países Bajos</v>
      </c>
      <c r="C200" s="334" t="str">
        <f ca="1">CONCATENATE(WORLDCUP!AA120,"-",WORLDCUP!AF120,"·",IF(WORLDCUP!AC120&gt;WORLDCUP!AD120,1,IF(WORLDCUP!AC120&lt;WORLDCUP!AD120,2,IF(AND(WORLDCUP!AC120=WORLDCUP!AD120,WORLDCUP!AC120&lt;&gt;"",WORLDCUP!AD120&lt;&gt;""),"X",0))),"|",WORLDCUP!AC120,"-",WORLDCUP!AD120)</f>
        <v>Canadá-Países Bajos·2|1-2</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Alemania-Francia·2|1-2</v>
      </c>
      <c r="D201" s="668"/>
      <c r="E201" s="663"/>
      <c r="F201" s="663"/>
      <c r="G201" s="663"/>
      <c r="H201" s="663"/>
      <c r="I201" s="335"/>
      <c r="J201" s="353"/>
      <c r="K201" s="353"/>
      <c r="L201" s="353"/>
      <c r="M201" s="369"/>
      <c r="N201" s="360"/>
    </row>
    <row r="202" spans="1:14" ht="15" customHeight="1">
      <c r="A202" s="667"/>
      <c r="B202" s="344" t="str">
        <f ca="1">CONCATENATE(WORLDCUP!AA122,"-",WORLDCUP!AF122)</f>
        <v>Brasil-Noruega</v>
      </c>
      <c r="C202" s="334" t="str">
        <f ca="1">CONCATENATE(WORLDCUP!AA122,"-",WORLDCUP!AF122,"·",IF(WORLDCUP!AC122&gt;WORLDCUP!AD122,1,IF(WORLDCUP!AC122&lt;WORLDCUP!AD122,2,IF(AND(WORLDCUP!AC122=WORLDCUP!AD122,WORLDCUP!AC122&lt;&gt;"",WORLDCUP!AD122&lt;&gt;""),"X",0))),"|",WORLDCUP!AC122,"-",WORLDCUP!AD122)</f>
        <v>Brasil-Noruega·1|2-0</v>
      </c>
      <c r="D202" s="668"/>
      <c r="E202" s="663"/>
      <c r="F202" s="663"/>
      <c r="G202" s="663"/>
      <c r="H202" s="663"/>
      <c r="I202" s="335"/>
      <c r="J202" s="353"/>
      <c r="K202" s="353"/>
      <c r="L202" s="353"/>
      <c r="M202" s="369"/>
      <c r="N202" s="360"/>
    </row>
    <row r="203" spans="1:14" ht="15" customHeight="1">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México-Inglaterra·2|1-2</v>
      </c>
      <c r="D203" s="668"/>
      <c r="E203" s="663"/>
      <c r="F203" s="663"/>
      <c r="G203" s="663"/>
      <c r="H203" s="663"/>
      <c r="I203" s="335"/>
      <c r="J203" s="353"/>
      <c r="K203" s="353"/>
      <c r="L203" s="353"/>
      <c r="M203" s="369"/>
      <c r="N203" s="360"/>
    </row>
    <row r="204" spans="1:14" ht="15" customHeight="1">
      <c r="A204" s="667"/>
      <c r="B204" s="344" t="str">
        <f ca="1">CONCATENATE(WORLDCUP!AA124,"-",WORLDCUP!AF124)</f>
        <v>Colombia-Uruguay</v>
      </c>
      <c r="C204" s="334" t="str">
        <f ca="1">CONCATENATE(WORLDCUP!AA124,"-",WORLDCUP!AF124,"·",IF(WORLDCUP!AC124&gt;WORLDCUP!AD124,1,IF(WORLDCUP!AC124&lt;WORLDCUP!AD124,2,IF(AND(WORLDCUP!AC124=WORLDCUP!AD124,WORLDCUP!AC124&lt;&gt;"",WORLDCUP!AD124&lt;&gt;""),"X",0))),"|",WORLDCUP!AC124,"-",WORLDCUP!AD124)</f>
        <v>Colombia-Uruguay·2|0-2</v>
      </c>
      <c r="D204" s="668"/>
      <c r="E204" s="335"/>
      <c r="F204" s="335"/>
      <c r="G204" s="335"/>
      <c r="H204" s="335"/>
      <c r="I204" s="335"/>
      <c r="J204" s="353"/>
      <c r="K204" s="353"/>
      <c r="L204" s="353"/>
      <c r="M204" s="369"/>
      <c r="N204" s="360"/>
    </row>
    <row r="205" spans="1:14" ht="15" customHeight="1">
      <c r="A205" s="667"/>
      <c r="B205" s="344" t="str">
        <f ca="1">CONCATENATE(WORLDCUP!AA125,"-",WORLDCUP!AF125)</f>
        <v>Estados Unidos-Bélgica</v>
      </c>
      <c r="C205" s="334" t="str">
        <f ca="1">CONCATENATE(WORLDCUP!AA125,"-",WORLDCUP!AF125,"·",IF(WORLDCUP!AC125&gt;WORLDCUP!AD125,1,IF(WORLDCUP!AC125&lt;WORLDCUP!AD125,2,IF(AND(WORLDCUP!AC125=WORLDCUP!AD125,WORLDCUP!AC125&lt;&gt;"",WORLDCUP!AD125&lt;&gt;""),"X",0))),"|",WORLDCUP!AC125,"-",WORLDCUP!AD125)</f>
        <v>Estados Unidos-Bélgica·2|1-2</v>
      </c>
      <c r="D205" s="668"/>
      <c r="E205" s="335"/>
      <c r="F205" s="335"/>
      <c r="G205" s="335"/>
      <c r="H205" s="335"/>
      <c r="I205" s="335"/>
      <c r="J205" s="353"/>
      <c r="K205" s="353"/>
      <c r="L205" s="353"/>
      <c r="M205" s="369"/>
      <c r="N205" s="360"/>
    </row>
    <row r="206" spans="1:14" ht="15" customHeight="1">
      <c r="A206" s="667"/>
      <c r="B206" s="344" t="str">
        <f ca="1">CONCATENATE(WORLDCUP!AA126,"-",WORLDCUP!AF126)</f>
        <v>Argentina-Turquía</v>
      </c>
      <c r="C206" s="334" t="str">
        <f ca="1">CONCATENATE(WORLDCUP!AA126,"-",WORLDCUP!AF126,"·",IF(WORLDCUP!AC126&gt;WORLDCUP!AD126,1,IF(WORLDCUP!AC126&lt;WORLDCUP!AD126,2,IF(AND(WORLDCUP!AC126=WORLDCUP!AD126,WORLDCUP!AC126&lt;&gt;"",WORLDCUP!AD126&lt;&gt;""),"X",0))),"|",WORLDCUP!AC126,"-",WORLDCUP!AD126)</f>
        <v>Argentina-Turquía·1|2-1</v>
      </c>
      <c r="D206" s="668"/>
      <c r="E206" s="335"/>
      <c r="F206" s="335"/>
      <c r="G206" s="335"/>
      <c r="H206" s="335"/>
      <c r="I206" s="335"/>
      <c r="J206" s="353"/>
      <c r="K206" s="353"/>
      <c r="L206" s="353"/>
      <c r="M206" s="369"/>
      <c r="N206" s="360"/>
    </row>
    <row r="207" spans="1:14" ht="15" customHeight="1">
      <c r="A207" s="667"/>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Suiza-Portugal·2|1-2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0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Uruguay</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Países Bajos</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Francia-Países Bajos</v>
      </c>
      <c r="C220" s="332" t="str">
        <f ca="1">CONCATENATE(WORLDCUP!AA131,"-",WORLDCUP!AF131,"·",IF(WORLDCUP!AC131&gt;WORLDCUP!AD131,1,IF(WORLDCUP!AC131&lt;WORLDCUP!AD131,2,IF(AND(WORLDCUP!AC131=WORLDCUP!AD131,WORLDCUP!AC131&lt;&gt;"",WORLDCUP!AD131&lt;&gt;""),"X",0))),"|",WORLDCUP!AC131,"-",WORLDCUP!AD131)</f>
        <v>Francia-Países Bajos·1|2-1</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Uruguay-Bélgica</v>
      </c>
      <c r="C221" s="332" t="str">
        <f ca="1">CONCATENATE(WORLDCUP!AA132,"-",WORLDCUP!AF132,"·",IF(WORLDCUP!AC132&gt;WORLDCUP!AD132,1,IF(WORLDCUP!AC132&lt;WORLDCUP!AD132,2,IF(AND(WORLDCUP!AC132=WORLDCUP!AD132,WORLDCUP!AC132&lt;&gt;"",WORLDCUP!AD132&lt;&gt;""),"X",0))),"|",WORLDCUP!AC132,"-",WORLDCUP!AD132)</f>
        <v>Uruguay-Bélgica·2|1-2</v>
      </c>
      <c r="D221" s="669"/>
      <c r="E221" s="663"/>
      <c r="F221" s="663"/>
      <c r="G221" s="663"/>
      <c r="H221" s="663"/>
      <c r="I221" s="335"/>
      <c r="J221" s="353"/>
      <c r="K221" s="353"/>
      <c r="L221" s="353"/>
      <c r="M221" s="369"/>
      <c r="N221" s="360"/>
    </row>
    <row r="222" spans="1:14" ht="15" customHeight="1">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Brasil-Inglaterra·1|2-1</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Argentina-Portugal·2|1-2</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Brasil</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Bélgica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Francia-Bélgica</v>
      </c>
      <c r="C232" s="334" t="str">
        <f ca="1">CONCATENATE(WORLDCUP!AA138,"-",WORLDCUP!AF138,"·",IF(WORLDCUP!AC138&gt;WORLDCUP!AD138,1,IF(WORLDCUP!AC138&lt;WORLDCUP!AD138,2,IF(AND(WORLDCUP!AC138=WORLDCUP!AD138,WORLDCUP!AC138&lt;&gt;"",WORLDCUP!AD138&lt;&gt;""),"X",0))),"|",WORLDCUP!AC138,"-",WORLDCUP!AD138)</f>
        <v>Francia-Bélgica·1|2-1</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Brasil-Portugal</v>
      </c>
      <c r="C233" s="334" t="str">
        <f ca="1">CONCATENATE(WORLDCUP!AA139,"-",WORLDCUP!AF139,"·",IF(WORLDCUP!AC139&gt;WORLDCUP!AD139,1,IF(WORLDCUP!AC139&lt;WORLDCUP!AD139,2,IF(AND(WORLDCUP!AC139=WORLDCUP!AD139,WORLDCUP!AC139&lt;&gt;"",WORLDCUP!AD139&lt;&gt;""),"X",0))),"|",WORLDCUP!AC139,"-",WORLDCUP!AD139)</f>
        <v>Brasil-Portugal·1|4-3</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Bélgica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Portugal</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0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Francia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Brasil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Bélgica-Portugal</v>
      </c>
      <c r="C244" s="332" t="str">
        <f ca="1">CONCATENATE(WORLDCUP!AA143,"-",WORLDCUP!AF143,"·",IF(WORLDCUP!AC143&gt;WORLDCUP!AD143,1,IF(WORLDCUP!AC143&lt;WORLDCUP!AD143,2,IF(AND(WORLDCUP!AC143=WORLDCUP!AD143,WORLDCUP!AC143&lt;&gt;"",WORLDCUP!AD143&lt;&gt;""),"X",0))),"|",WORLDCUP!AC143,"-",WORLDCUP!AD143)</f>
        <v>Bélgica-Portugal·2|1-2</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Francia-Brasil</v>
      </c>
      <c r="C247" s="334" t="str">
        <f ca="1">CONCATENATE(WORLDCUP!AA147,"-",WORLDCUP!AF147,"·",IF(WORLDCUP!AC147&gt;WORLDCUP!AD147,1,IF(WORLDCUP!AC147&lt;WORLDCUP!AD147,2,IF(AND(WORLDCUP!AC147=WORLDCUP!AD147,WORLDCUP!AC147&lt;&gt;"",WORLDCUP!AD147&lt;&gt;""),"X",0))),"|",WORLDCUP!AC147,"-",WORLDCUP!AD147)</f>
        <v>Francia-Brasil·2|1-3</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0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Brasil</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Francia</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Portugal</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Vinícius Jr</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Vinícius Jr</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1</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2</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9</v>
      </c>
      <c r="J4" s="426">
        <f ca="1">+INDEX(WORLDCUP!$AT$6:$AT$97,MATCH(L4,WORLDCUP!$AI$6:$AI$97,0))</f>
        <v>4</v>
      </c>
      <c r="K4" s="427" t="str">
        <f ca="1">+INDEX(WORLDCUP!$AR$6:$AR$97,MATCH(L4,WORLDCUP!$AI$6:$AI$97,0))&amp;"-"&amp;INDEX(WORLDCUP!$AS$6:$AS$97,MATCH(L4,WORLDCUP!$AI$6:$AI$97,0))</f>
        <v>6-2</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1</v>
      </c>
      <c r="R4" s="422" t="str">
        <f ca="1">+MID(INDEX(WORLDCUP!$AF$4:$AF$147,MATCH(M4,WORLDCUP!$AH$4:$AH$147,0)),1,3)</f>
        <v>Nue</v>
      </c>
      <c r="S4" s="423">
        <v>1</v>
      </c>
      <c r="T4" s="424" t="str">
        <f ca="1">+MID(INDEX(WORLDCUP!$AL$6:$AL$97,MATCH(X4,WORLDCUP!$AI$6:$AI$97,0)),1,3)</f>
        <v>Bél</v>
      </c>
      <c r="U4" s="425">
        <f ca="1">+INDEX(WORLDCUP!$AM$6:$AM$97,MATCH(X4,WORLDCUP!$AI$6:$AI$97,0))</f>
        <v>7</v>
      </c>
      <c r="V4" s="426">
        <f ca="1">+INDEX(WORLDCUP!$AT$6:$AT$97,MATCH(X4,WORLDCUP!$AI$6:$AI$97,0))</f>
        <v>4</v>
      </c>
      <c r="W4" s="427" t="str">
        <f ca="1">+INDEX(WORLDCUP!$AR$6:$AR$97,MATCH(X4,WORLDCUP!$AI$6:$AI$97,0))&amp;"-"&amp;INDEX(WORLDCUP!$AS$6:$AS$97,MATCH(X4,WORLDCUP!$AI$6:$AI$97,0))</f>
        <v>6-2</v>
      </c>
      <c r="X4" s="171" t="s">
        <v>679</v>
      </c>
      <c r="Y4" s="171">
        <v>74</v>
      </c>
      <c r="Z4" s="401" t="s">
        <v>734</v>
      </c>
      <c r="AA4" s="402" t="str">
        <f ca="1">+MID(INDEX(WORLDCUP!$AF$101:$AF$147,MATCH(Y4,WORLDCUP!$Z$101:$Z$147,0)),1,IF(WORLDCUP!$H$113&lt;144,6,3))</f>
        <v>Par</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2</v>
      </c>
      <c r="F5" s="422" t="str">
        <f ca="1">+MID(INDEX(WORLDCUP!$AF$4:$AF$147,MATCH(A5,WORLDCUP!$AH$4:$AH$147,0)),1,3)</f>
        <v>Sud</v>
      </c>
      <c r="G5" s="443">
        <v>2</v>
      </c>
      <c r="H5" s="444" t="str">
        <f ca="1">+MID(INDEX(WORLDCUP!$AL$6:$AL$97,MATCH(L5,WORLDCUP!$AI$6:$AI$97,0)),1,3)</f>
        <v>Cor</v>
      </c>
      <c r="I5" s="38">
        <f ca="1">+INDEX(WORLDCUP!$AM$6:$AM$97,MATCH(L5,WORLDCUP!$AI$6:$AI$97,0))</f>
        <v>4</v>
      </c>
      <c r="J5" s="39">
        <f ca="1">+INDEX(WORLDCUP!$AT$6:$AT$97,MATCH(L5,WORLDCUP!$AI$6:$AI$97,0))</f>
        <v>-1</v>
      </c>
      <c r="K5" s="43" t="str">
        <f ca="1">+INDEX(WORLDCUP!$AR$6:$AR$97,MATCH(L5,WORLDCUP!$AI$6:$AI$97,0))&amp;"-"&amp;INDEX(WORLDCUP!$AS$6:$AS$97,MATCH(L5,WORLDCUP!$AI$6:$AI$97,0))</f>
        <v>3-4</v>
      </c>
      <c r="L5" s="171" t="s">
        <v>658</v>
      </c>
      <c r="M5" s="171">
        <v>39</v>
      </c>
      <c r="N5" s="428"/>
      <c r="O5" s="420" t="str">
        <f ca="1">+MID(INDEX(WORLDCUP!$AA$4:$AA$147,MATCH(M5,WORLDCUP!$AH$4:$AH$147,0)),1,3)</f>
        <v>Bél</v>
      </c>
      <c r="P5" s="421">
        <f>IF(ISBLANK(INDEX(WORLDCUP!$AC$4:$AC$147,MATCH(M5,WORLDCUP!$AH$4:$AH$147,0))),"",INDEX(WORLDCUP!$AC$4:$AC$147,MATCH(M5,WORLDCUP!$AH$4:$AH$147,0)))</f>
        <v>1</v>
      </c>
      <c r="Q5" s="421">
        <f>IF(ISBLANK(INDEX(WORLDCUP!$AD$4:$AD$147,MATCH(M5,WORLDCUP!$AH$4:$AH$147,0))),"",INDEX(WORLDCUP!$AD$4:$AD$147,MATCH(M5,WORLDCUP!$AH$4:$AH$147,0)))</f>
        <v>1</v>
      </c>
      <c r="R5" s="422" t="str">
        <f ca="1">+MID(INDEX(WORLDCUP!$AF$4:$AF$147,MATCH(M5,WORLDCUP!$AH$4:$AH$147,0)),1,3)</f>
        <v>Irá</v>
      </c>
      <c r="S5" s="443">
        <v>2</v>
      </c>
      <c r="T5" s="444" t="str">
        <f ca="1">+MID(INDEX(WORLDCUP!$AL$6:$AL$97,MATCH(X5,WORLDCUP!$AI$6:$AI$97,0)),1,3)</f>
        <v>Irá</v>
      </c>
      <c r="U5" s="38">
        <f ca="1">+INDEX(WORLDCUP!$AM$6:$AM$97,MATCH(X5,WORLDCUP!$AI$6:$AI$97,0))</f>
        <v>5</v>
      </c>
      <c r="V5" s="39">
        <f ca="1">+INDEX(WORLDCUP!$AT$6:$AT$97,MATCH(X5,WORLDCUP!$AI$6:$AI$97,0))</f>
        <v>1</v>
      </c>
      <c r="W5" s="43" t="str">
        <f ca="1">+INDEX(WORLDCUP!$AR$6:$AR$97,MATCH(X5,WORLDCUP!$AI$6:$AI$97,0))&amp;"-"&amp;INDEX(WORLDCUP!$AS$6:$AS$97,MATCH(X5,WORLDCUP!$AI$6:$AI$97,0))</f>
        <v>4-3</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2</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0</v>
      </c>
      <c r="F6" s="422" t="str">
        <f ca="1">+MID(INDEX(WORLDCUP!$AF$4:$AF$147,MATCH(A6,WORLDCUP!$AH$4:$AH$147,0)),1,3)</f>
        <v>Cor</v>
      </c>
      <c r="G6" s="443">
        <v>3</v>
      </c>
      <c r="H6" s="444" t="str">
        <f ca="1">+MID(INDEX(WORLDCUP!$AL$6:$AL$97,MATCH(L6,WORLDCUP!$AI$6:$AI$97,0)),1,3)</f>
        <v>Sud</v>
      </c>
      <c r="I6" s="38">
        <f ca="1">+INDEX(WORLDCUP!$AM$6:$AM$97,MATCH(L6,WORLDCUP!$AI$6:$AI$97,0))</f>
        <v>3</v>
      </c>
      <c r="J6" s="39">
        <f ca="1">+INDEX(WORLDCUP!$AT$6:$AT$97,MATCH(L6,WORLDCUP!$AI$6:$AI$97,0))</f>
        <v>-1</v>
      </c>
      <c r="K6" s="43" t="str">
        <f ca="1">+INDEX(WORLDCUP!$AR$6:$AR$97,MATCH(L6,WORLDCUP!$AI$6:$AI$97,0))&amp;"-"&amp;INDEX(WORLDCUP!$AS$6:$AS$97,MATCH(L6,WORLDCUP!$AI$6:$AI$97,0))</f>
        <v>4-5</v>
      </c>
      <c r="L6" s="171" t="s">
        <v>90</v>
      </c>
      <c r="M6" s="171">
        <v>40</v>
      </c>
      <c r="N6" s="428"/>
      <c r="O6" s="420" t="str">
        <f ca="1">+MID(INDEX(WORLDCUP!$AA$4:$AA$147,MATCH(M6,WORLDCUP!$AH$4:$AH$147,0)),1,3)</f>
        <v>Nue</v>
      </c>
      <c r="P6" s="421">
        <f>IF(ISBLANK(INDEX(WORLDCUP!$AC$4:$AC$147,MATCH(M6,WORLDCUP!$AH$4:$AH$147,0))),"",INDEX(WORLDCUP!$AC$4:$AC$147,MATCH(M6,WORLDCUP!$AH$4:$AH$147,0)))</f>
        <v>0</v>
      </c>
      <c r="Q6" s="421">
        <f>IF(ISBLANK(INDEX(WORLDCUP!$AD$4:$AD$147,MATCH(M6,WORLDCUP!$AH$4:$AH$147,0))),"",INDEX(WORLDCUP!$AD$4:$AD$147,MATCH(M6,WORLDCUP!$AH$4:$AH$147,0)))</f>
        <v>2</v>
      </c>
      <c r="R6" s="422" t="str">
        <f ca="1">+MID(INDEX(WORLDCUP!$AF$4:$AF$147,MATCH(M6,WORLDCUP!$AH$4:$AH$147,0)),1,3)</f>
        <v>Egi</v>
      </c>
      <c r="S6" s="443">
        <v>3</v>
      </c>
      <c r="T6" s="444" t="str">
        <f ca="1">+MID(INDEX(WORLDCUP!$AL$6:$AL$97,MATCH(X6,WORLDCUP!$AI$6:$AI$97,0)),1,3)</f>
        <v>Egi</v>
      </c>
      <c r="U6" s="38">
        <f ca="1">+INDEX(WORLDCUP!$AM$6:$AM$97,MATCH(X6,WORLDCUP!$AI$6:$AI$97,0))</f>
        <v>3</v>
      </c>
      <c r="V6" s="39">
        <f ca="1">+INDEX(WORLDCUP!$AT$6:$AT$97,MATCH(X6,WORLDCUP!$AI$6:$AI$97,0))</f>
        <v>0</v>
      </c>
      <c r="W6" s="43" t="str">
        <f ca="1">+INDEX(WORLDCUP!$AR$6:$AR$97,MATCH(X6,WORLDCUP!$AI$6:$AI$97,0))&amp;"-"&amp;INDEX(WORLDCUP!$AS$6:$AS$97,MATCH(X6,WORLDCUP!$AI$6:$AI$97,0))</f>
        <v>4-4</v>
      </c>
      <c r="X6" s="171" t="s">
        <v>445</v>
      </c>
      <c r="Y6" s="171">
        <v>77</v>
      </c>
      <c r="Z6" s="401" t="s">
        <v>685</v>
      </c>
      <c r="AA6" s="402" t="str">
        <f ca="1">+MID(INDEX(WORLDCUP!$AA$101:$AA$147,MATCH(Y6,WORLDCUP!$Z$101:$Z$147,0)),1,3)</f>
        <v>Fra</v>
      </c>
      <c r="AB6" s="448">
        <f>+IF(ISBLANK(INDEX(WORLDCUP!$AC$101:$AC$147,MATCH(Y6,WORLDCUP!$Z$101:$Z$147,0))),"",INDEX(WORLDCUP!$AC$101:$AC$147,MATCH(Y6,WORLDCUP!$Z$101:$Z$147,0)))</f>
        <v>2</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2</v>
      </c>
      <c r="F7" s="422" t="str">
        <f ca="1">+MID(INDEX(WORLDCUP!$AF$4:$AF$147,MATCH(A7,WORLDCUP!$AH$4:$AH$147,0)),1,3)</f>
        <v>Méx</v>
      </c>
      <c r="G7" s="443">
        <v>4</v>
      </c>
      <c r="H7" s="452" t="str">
        <f ca="1">+MID(INDEX(WORLDCUP!$AL$6:$AL$97,MATCH(L7,WORLDCUP!$AI$6:$AI$97,0)),1,3)</f>
        <v>Rep</v>
      </c>
      <c r="I7" s="453">
        <f ca="1">+INDEX(WORLDCUP!$AM$6:$AM$97,MATCH(L7,WORLDCUP!$AI$6:$AI$97,0))</f>
        <v>1</v>
      </c>
      <c r="J7" s="454">
        <f ca="1">+INDEX(WORLDCUP!$AT$6:$AT$97,MATCH(L7,WORLDCUP!$AI$6:$AI$97,0))</f>
        <v>-2</v>
      </c>
      <c r="K7" s="455" t="str">
        <f ca="1">+INDEX(WORLDCUP!$AR$6:$AR$97,MATCH(L7,WORLDCUP!$AI$6:$AI$97,0))&amp;"-"&amp;INDEX(WORLDCUP!$AS$6:$AS$97,MATCH(L7,WORLDCUP!$AI$6:$AI$97,0))</f>
        <v>3-5</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2</v>
      </c>
      <c r="R7" s="422" t="str">
        <f ca="1">+MID(INDEX(WORLDCUP!$AF$4:$AF$147,MATCH(M7,WORLDCUP!$AH$4:$AH$147,0)),1,3)</f>
        <v>Irá</v>
      </c>
      <c r="S7" s="443">
        <v>4</v>
      </c>
      <c r="T7" s="452" t="str">
        <f ca="1">+MID(INDEX(WORLDCUP!$AL$6:$AL$97,MATCH(X7,WORLDCUP!$AI$6:$AI$97,0)),1,3)</f>
        <v>Nue</v>
      </c>
      <c r="U7" s="453">
        <f ca="1">+INDEX(WORLDCUP!$AM$6:$AM$97,MATCH(X7,WORLDCUP!$AI$6:$AI$97,0))</f>
        <v>1</v>
      </c>
      <c r="V7" s="454">
        <f ca="1">+INDEX(WORLDCUP!$AT$6:$AT$97,MATCH(X7,WORLDCUP!$AI$6:$AI$97,0))</f>
        <v>-5</v>
      </c>
      <c r="W7" s="455" t="str">
        <f ca="1">+INDEX(WORLDCUP!$AR$6:$AR$97,MATCH(X7,WORLDCUP!$AI$6:$AI$97,0))&amp;"-"&amp;INDEX(WORLDCUP!$AS$6:$AS$97,MATCH(X7,WORLDCUP!$AI$6:$AI$97,0))</f>
        <v>1-6</v>
      </c>
      <c r="X7" s="171" t="s">
        <v>681</v>
      </c>
      <c r="Y7" s="171">
        <v>77</v>
      </c>
      <c r="Z7" s="401" t="s">
        <v>735</v>
      </c>
      <c r="AA7" s="456" t="str">
        <f ca="1">+MID(INDEX(WORLDCUP!$AF$101:$AF$147,MATCH(Y7,WORLDCUP!$Z$101:$Z$147,0)),1,IF(WORLDCUP!$H$113&lt;144,6,3))</f>
        <v>Jap</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1</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Paí</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1</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1</v>
      </c>
      <c r="BI9" s="439">
        <f ca="1">COUNTIF(Pool!$C$130:$C$161,Fixture!BG9)-BJ9-BK9-BL9-BM9-BN9-BO9</f>
        <v>0</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2</v>
      </c>
      <c r="AC10" s="430" t="str">
        <f>+IF(ISBLANK(INDEX(WORLDCUP!$AE$101:$AE$147,MATCH(Y10,WORLDCUP!$Z$101:$Z$147,0))),"","( "&amp;INDEX(WORLDCUP!$AE$101:$AE$147,MATCH(Y10,WORLDCUP!$Z$101:$Z$147,0))&amp;" )")</f>
        <v/>
      </c>
      <c r="AD10" s="476">
        <v>90</v>
      </c>
      <c r="AE10" s="432" t="str">
        <f ca="1">+MID(INDEX(WORLDCUP!$AA$101:$AA$147,MATCH(AD10,WORLDCUP!$Z$101:$Z$147,0)),1,3)</f>
        <v>Can</v>
      </c>
      <c r="AF10" s="433">
        <f>+IF(ISBLANK(INDEX(WORLDCUP!$AC$101:$AC$147,MATCH(AD10,WORLDCUP!$Z$101:$Z$147,0))),"",INDEX(WORLDCUP!$AC$101:$AC$147,MATCH(AD10,WORLDCUP!$Z$101:$Z$147,0)))</f>
        <v>1</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0</v>
      </c>
      <c r="BL10" s="441">
        <f ca="1">COUNTIF(Pool!$C$226:$C$229,Fixture!BG10)-BM10-BN10-BO10</f>
        <v>1</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2</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Paí</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Sui</v>
      </c>
      <c r="I12" s="425">
        <f ca="1">+INDEX(WORLDCUP!$AM$6:$AM$97,MATCH(L12,WORLDCUP!$AI$6:$AI$97,0))</f>
        <v>7</v>
      </c>
      <c r="J12" s="426">
        <f ca="1">+INDEX(WORLDCUP!$AT$6:$AT$97,MATCH(L12,WORLDCUP!$AI$6:$AI$97,0))</f>
        <v>3</v>
      </c>
      <c r="K12" s="427" t="str">
        <f ca="1">+INDEX(WORLDCUP!$AR$6:$AR$97,MATCH(L12,WORLDCUP!$AI$6:$AI$97,0))&amp;"-"&amp;INDEX(WORLDCUP!$AS$6:$AS$97,MATCH(L12,WORLDCUP!$AI$6:$AI$97,0))</f>
        <v>5-2</v>
      </c>
      <c r="L12" s="171" t="s">
        <v>660</v>
      </c>
      <c r="M12" s="171">
        <v>13</v>
      </c>
      <c r="N12" s="481"/>
      <c r="O12" s="420" t="str">
        <f ca="1">+MID(INDEX(WORLDCUP!$AA$4:$AA$147,MATCH(M12,WORLDCUP!$AH$4:$AH$147,0)),1,3)</f>
        <v>Ara</v>
      </c>
      <c r="P12" s="421">
        <f>IF(ISBLANK(INDEX(WORLDCUP!$AC$4:$AC$147,MATCH(M12,WORLDCUP!$AH$4:$AH$147,0))),"",INDEX(WORLDCUP!$AC$4:$AC$147,MATCH(M12,WORLDCUP!$AH$4:$AH$147,0)))</f>
        <v>1</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Uru</v>
      </c>
      <c r="U12" s="425">
        <f ca="1">+INDEX(WORLDCUP!$AM$6:$AM$97,MATCH(X12,WORLDCUP!$AI$6:$AI$97,0))</f>
        <v>7</v>
      </c>
      <c r="V12" s="426">
        <f ca="1">+INDEX(WORLDCUP!$AT$6:$AT$97,MATCH(X12,WORLDCUP!$AI$6:$AI$97,0))</f>
        <v>4</v>
      </c>
      <c r="W12" s="427" t="str">
        <f ca="1">+INDEX(WORLDCUP!$AR$6:$AR$97,MATCH(X12,WORLDCUP!$AI$6:$AI$97,0))&amp;"-"&amp;INDEX(WORLDCUP!$AS$6:$AS$97,MATCH(X12,WORLDCUP!$AI$6:$AI$97,0))</f>
        <v>6-2</v>
      </c>
      <c r="X12" s="171" t="s">
        <v>682</v>
      </c>
      <c r="Y12" s="171">
        <v>75</v>
      </c>
      <c r="Z12" s="401" t="s">
        <v>676</v>
      </c>
      <c r="AA12" s="402" t="str">
        <f ca="1">+MID(INDEX(WORLDCUP!$AA$101:$AA$147,MATCH(Y12,WORLDCUP!$Z$101:$Z$147,0)),1,3)</f>
        <v>Paí</v>
      </c>
      <c r="AB12" s="448">
        <f>+IF(ISBLANK(INDEX(WORLDCUP!$AC$101:$AC$147,MATCH(Y12,WORLDCUP!$Z$101:$Z$147,0))),"",INDEX(WORLDCUP!$AC$101:$AC$147,MATCH(Y12,WORLDCUP!$Z$101:$Z$147,0)))</f>
        <v>2</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0</v>
      </c>
      <c r="BM12" s="439">
        <f ca="1">COUNTIF(Pool!$C$252,Fixture!BG12)</f>
        <v>0</v>
      </c>
      <c r="BN12" s="439">
        <f ca="1">COUNTIF(Pool!$C$251,Fixture!BG12)</f>
        <v>0</v>
      </c>
      <c r="BO12" s="442">
        <f ca="1">COUNTIF(Pool!$C$250,Fixture!BG12)</f>
        <v>1</v>
      </c>
    </row>
    <row r="13" spans="1:67" ht="15" thickBot="1">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1</v>
      </c>
      <c r="F13" s="422" t="str">
        <f ca="1">+MID(INDEX(WORLDCUP!$AF$4:$AF$147,MATCH(A13,WORLDCUP!$AH$4:$AH$147,0)),1,3)</f>
        <v>Bos</v>
      </c>
      <c r="G13" s="443">
        <v>2</v>
      </c>
      <c r="H13" s="444" t="str">
        <f ca="1">+MID(INDEX(WORLDCUP!$AL$6:$AL$97,MATCH(L13,WORLDCUP!$AI$6:$AI$97,0)),1,3)</f>
        <v>Can</v>
      </c>
      <c r="I13" s="38">
        <f ca="1">+INDEX(WORLDCUP!$AM$6:$AM$97,MATCH(L13,WORLDCUP!$AI$6:$AI$97,0))</f>
        <v>5</v>
      </c>
      <c r="J13" s="39">
        <f ca="1">+INDEX(WORLDCUP!$AT$6:$AT$97,MATCH(L13,WORLDCUP!$AI$6:$AI$97,0))</f>
        <v>3</v>
      </c>
      <c r="K13" s="43" t="str">
        <f ca="1">+INDEX(WORLDCUP!$AR$6:$AR$97,MATCH(L13,WORLDCUP!$AI$6:$AI$97,0))&amp;"-"&amp;INDEX(WORLDCUP!$AS$6:$AS$97,MATCH(L13,WORLDCUP!$AI$6:$AI$97,0))</f>
        <v>5-2</v>
      </c>
      <c r="L13" s="171" t="s">
        <v>661</v>
      </c>
      <c r="M13" s="171">
        <v>38</v>
      </c>
      <c r="N13" s="481"/>
      <c r="O13" s="420" t="str">
        <f ca="1">+MID(INDEX(WORLDCUP!$AA$4:$AA$147,MATCH(M13,WORLDCUP!$AH$4:$AH$147,0)),1,3)</f>
        <v>Esp</v>
      </c>
      <c r="P13" s="421">
        <f>IF(ISBLANK(INDEX(WORLDCUP!$AC$4:$AC$147,MATCH(M13,WORLDCUP!$AH$4:$AH$147,0))),"",INDEX(WORLDCUP!$AC$4:$AC$147,MATCH(M13,WORLDCUP!$AH$4:$AH$147,0)))</f>
        <v>2</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Esp</v>
      </c>
      <c r="U13" s="38">
        <f ca="1">+INDEX(WORLDCUP!$AM$6:$AM$97,MATCH(X13,WORLDCUP!$AI$6:$AI$97,0))</f>
        <v>7</v>
      </c>
      <c r="V13" s="39">
        <f ca="1">+INDEX(WORLDCUP!$AT$6:$AT$97,MATCH(X13,WORLDCUP!$AI$6:$AI$97,0))</f>
        <v>4</v>
      </c>
      <c r="W13" s="43" t="str">
        <f ca="1">+INDEX(WORLDCUP!$AR$6:$AR$97,MATCH(X13,WORLDCUP!$AI$6:$AI$97,0))&amp;"-"&amp;INDEX(WORLDCUP!$AS$6:$AS$97,MATCH(X13,WORLDCUP!$AI$6:$AI$97,0))</f>
        <v>5-1</v>
      </c>
      <c r="X13" s="171" t="s">
        <v>683</v>
      </c>
      <c r="Y13" s="171">
        <v>75</v>
      </c>
      <c r="Z13" s="401" t="s">
        <v>668</v>
      </c>
      <c r="AA13" s="456" t="str">
        <f ca="1">+MID(INDEX(WORLDCUP!$AF$101:$AF$147,MATCH(Y13,WORLDCUP!$Z$101:$Z$147,0)),1,3)</f>
        <v>Mar</v>
      </c>
      <c r="AB13" s="457">
        <f>+IF(ISBLANK(INDEX(WORLDCUP!$AD$101:$AD$147,MATCH(Y13,WORLDCUP!$Z$101:$Z$147,0))),"",INDEX(WORLDCUP!$AD$101:$AD$147,MATCH(Y13,WORLDCUP!$Z$101:$Z$147,0)))</f>
        <v>1</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2</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3</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4-3</v>
      </c>
      <c r="L14" s="171" t="s">
        <v>91</v>
      </c>
      <c r="M14" s="171">
        <v>37</v>
      </c>
      <c r="N14" s="481"/>
      <c r="O14" s="420" t="str">
        <f ca="1">+MID(INDEX(WORLDCUP!$AA$4:$AA$147,MATCH(M14,WORLDCUP!$AH$4:$AH$147,0)),1,3)</f>
        <v>Uru</v>
      </c>
      <c r="P14" s="421">
        <f>IF(ISBLANK(INDEX(WORLDCUP!$AC$4:$AC$147,MATCH(M14,WORLDCUP!$AH$4:$AH$147,0))),"",INDEX(WORLDCUP!$AC$4:$AC$147,MATCH(M14,WORLDCUP!$AH$4:$AH$147,0)))</f>
        <v>3</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-1</v>
      </c>
      <c r="W14" s="43" t="str">
        <f ca="1">+INDEX(WORLDCUP!$AR$6:$AR$97,MATCH(X14,WORLDCUP!$AI$6:$AI$97,0))&amp;"-"&amp;INDEX(WORLDCUP!$AS$6:$AS$97,MATCH(X14,WORLDCUP!$AI$6:$AI$97,0))</f>
        <v>3-4</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Bél</v>
      </c>
      <c r="AN14" s="485">
        <f>+IF(ISBLANK(INDEX(WORLDCUP!$AD$101:$AD$147,MATCH(AL14,WORLDCUP!$Z$101:$Z$147,0))),"",INDEX(WORLDCUP!$AD$101:$AD$147,MATCH(AL14,WORLDCUP!$Z$101:$Z$147,0)))</f>
        <v>1</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1</v>
      </c>
      <c r="E15" s="421">
        <f>IF(ISBLANK(INDEX(WORLDCUP!$AD$4:$AD$147,MATCH(A15,WORLDCUP!$AH$4:$AH$147,0))),"",INDEX(WORLDCUP!$AD$4:$AD$147,MATCH(A15,WORLDCUP!$AH$4:$AH$147,0)))</f>
        <v>1</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-7</v>
      </c>
      <c r="K15" s="455" t="str">
        <f ca="1">+INDEX(WORLDCUP!$AR$6:$AR$97,MATCH(L15,WORLDCUP!$AI$6:$AI$97,0))&amp;"-"&amp;INDEX(WORLDCUP!$AS$6:$AS$97,MATCH(L15,WORLDCUP!$AI$6:$AI$97,0))</f>
        <v>0-7</v>
      </c>
      <c r="L15" s="171" t="s">
        <v>662</v>
      </c>
      <c r="M15" s="171">
        <v>65</v>
      </c>
      <c r="N15" s="481"/>
      <c r="O15" s="420" t="str">
        <f ca="1">+MID(INDEX(WORLDCUP!$AA$4:$AA$147,MATCH(M15,WORLDCUP!$AH$4:$AH$147,0)),1,3)</f>
        <v>Cab</v>
      </c>
      <c r="P15" s="421">
        <f>IF(ISBLANK(INDEX(WORLDCUP!$AC$4:$AC$147,MATCH(M15,WORLDCUP!$AH$4:$AH$147,0))),"",INDEX(WORLDCUP!$AC$4:$AC$147,MATCH(M15,WORLDCUP!$AH$4:$AH$147,0)))</f>
        <v>0</v>
      </c>
      <c r="Q15" s="421">
        <f>IF(ISBLANK(INDEX(WORLDCUP!$AD$4:$AD$147,MATCH(M15,WORLDCUP!$AH$4:$AH$147,0))),"",INDEX(WORLDCUP!$AD$4:$AD$147,MATCH(M15,WORLDCUP!$AH$4:$AH$147,0)))</f>
        <v>2</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-7</v>
      </c>
      <c r="W15" s="455" t="str">
        <f ca="1">+INDEX(WORLDCUP!$AR$6:$AR$97,MATCH(X15,WORLDCUP!$AI$6:$AI$97,0))&amp;"-"&amp;INDEX(WORLDCUP!$AS$6:$AS$97,MATCH(X15,WORLDCUP!$AI$6:$AI$97,0))</f>
        <v>0-7</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1</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Uru</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Uru</v>
      </c>
      <c r="AB18" s="448">
        <f>+IF(ISBLANK(INDEX(WORLDCUP!$AC$101:$AC$147,MATCH(Y18,WORLDCUP!$Z$101:$Z$147,0))),"",INDEX(WORLDCUP!$AC$101:$AC$147,MATCH(Y18,WORLDCUP!$Z$101:$Z$147,0)))</f>
        <v>1</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3</v>
      </c>
      <c r="E19" s="394">
        <f>IF(ISBLANK(INDEX(WORLDCUP!$AD$4:$AD$147,MATCH(A19,WORLDCUP!$AH$4:$AH$147,0))),"",INDEX(WORLDCUP!$AD$4:$AD$147,MATCH(A19,WORLDCUP!$AH$4:$AH$147,0)))</f>
        <v>0</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Arg</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Uru</v>
      </c>
      <c r="AJ19" s="460">
        <f>+IF(ISBLANK(INDEX(WORLDCUP!$AC$101:$AC$147,MATCH(AH19,WORLDCUP!$Z$101:$Z$147,0))),"",INDEX(WORLDCUP!$AC$101:$AC$147,MATCH(AH19,WORLDCUP!$Z$101:$Z$147,0)))</f>
        <v>1</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Bra</v>
      </c>
      <c r="I20" s="425">
        <f ca="1">+INDEX(WORLDCUP!$AM$6:$AM$97,MATCH(L20,WORLDCUP!$AI$6:$AI$97,0))</f>
        <v>9</v>
      </c>
      <c r="J20" s="426">
        <f ca="1">+INDEX(WORLDCUP!$AT$6:$AT$97,MATCH(L20,WORLDCUP!$AI$6:$AI$97,0))</f>
        <v>8</v>
      </c>
      <c r="K20" s="427" t="str">
        <f ca="1">+INDEX(WORLDCUP!$AR$6:$AR$97,MATCH(L20,WORLDCUP!$AI$6:$AI$97,0))&amp;"-"&amp;INDEX(WORLDCUP!$AS$6:$AS$97,MATCH(L20,WORLDCUP!$AI$6:$AI$97,0))</f>
        <v>8-0</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5</v>
      </c>
      <c r="W20" s="427" t="str">
        <f ca="1">+INDEX(WORLDCUP!$AR$6:$AR$97,MATCH(X20,WORLDCUP!$AI$6:$AI$97,0))&amp;"-"&amp;INDEX(WORLDCUP!$AS$6:$AS$97,MATCH(X20,WORLDCUP!$AI$6:$AI$97,0))</f>
        <v>6-1</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2</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1</v>
      </c>
      <c r="F21" s="422" t="str">
        <f ca="1">+MID(INDEX(WORLDCUP!$AF$4:$AF$147,MATCH(A21,WORLDCUP!$AH$4:$AH$147,0)),1,3)</f>
        <v>Mar</v>
      </c>
      <c r="G21" s="443">
        <v>2</v>
      </c>
      <c r="H21" s="444" t="str">
        <f ca="1">+MID(INDEX(WORLDCUP!$AL$6:$AL$97,MATCH(L21,WORLDCUP!$AI$6:$AI$97,0)),1,3)</f>
        <v>Mar</v>
      </c>
      <c r="I21" s="38">
        <f ca="1">+INDEX(WORLDCUP!$AM$6:$AM$97,MATCH(L21,WORLDCUP!$AI$6:$AI$97,0))</f>
        <v>4</v>
      </c>
      <c r="J21" s="39">
        <f ca="1">+INDEX(WORLDCUP!$AT$6:$AT$97,MATCH(L21,WORLDCUP!$AI$6:$AI$97,0))</f>
        <v>-1</v>
      </c>
      <c r="K21" s="43" t="str">
        <f ca="1">+INDEX(WORLDCUP!$AR$6:$AR$97,MATCH(L21,WORLDCUP!$AI$6:$AI$97,0))&amp;"-"&amp;INDEX(WORLDCUP!$AS$6:$AS$97,MATCH(L21,WORLDCUP!$AI$6:$AI$97,0))</f>
        <v>3-4</v>
      </c>
      <c r="L21" s="171" t="s">
        <v>668</v>
      </c>
      <c r="M21" s="171">
        <v>42</v>
      </c>
      <c r="N21" s="498"/>
      <c r="O21" s="420" t="str">
        <f ca="1">+MID(INDEX(WORLDCUP!$AA$4:$AA$147,MATCH(M21,WORLDCUP!$AH$4:$AH$147,0)),1,3)</f>
        <v>Fra</v>
      </c>
      <c r="P21" s="421">
        <f>IF(ISBLANK(INDEX(WORLDCUP!$AC$4:$AC$147,MATCH(M21,WORLDCUP!$AH$4:$AH$147,0))),"",INDEX(WORLDCUP!$AC$4:$AC$147,MATCH(M21,WORLDCUP!$AH$4:$AH$147,0)))</f>
        <v>2</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4-3</v>
      </c>
      <c r="X21" s="171" t="s">
        <v>686</v>
      </c>
      <c r="Y21" s="171">
        <v>81</v>
      </c>
      <c r="Z21" s="401" t="s">
        <v>670</v>
      </c>
      <c r="AA21" s="402" t="str">
        <f ca="1">+MID(INDEX(WORLDCUP!$AA$101:$AA$147,MATCH(Y21,WORLDCUP!$Z$101:$Z$147,0)),1,3)</f>
        <v>Est</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Brasil</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2</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4</v>
      </c>
      <c r="J22" s="39">
        <f ca="1">+INDEX(WORLDCUP!$AT$6:$AT$97,MATCH(L22,WORLDCUP!$AI$6:$AI$97,0))</f>
        <v>-1</v>
      </c>
      <c r="K22" s="43" t="str">
        <f ca="1">+INDEX(WORLDCUP!$AR$6:$AR$97,MATCH(L22,WORLDCUP!$AI$6:$AI$97,0))&amp;"-"&amp;INDEX(WORLDCUP!$AS$6:$AS$97,MATCH(L22,WORLDCUP!$AI$6:$AI$97,0))</f>
        <v>3-4</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3</v>
      </c>
      <c r="V22" s="39">
        <f ca="1">+INDEX(WORLDCUP!$AT$6:$AT$97,MATCH(X22,WORLDCUP!$AI$6:$AI$97,0))</f>
        <v>0</v>
      </c>
      <c r="W22" s="43" t="str">
        <f ca="1">+INDEX(WORLDCUP!$AR$6:$AR$97,MATCH(X22,WORLDCUP!$AI$6:$AI$97,0))&amp;"-"&amp;INDEX(WORLDCUP!$AS$6:$AS$97,MATCH(X22,WORLDCUP!$AI$6:$AI$97,0))</f>
        <v>4-4</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1</v>
      </c>
      <c r="AC22" s="430" t="str">
        <f>+IF(ISBLANK(INDEX(WORLDCUP!$AE$101:$AE$147,MATCH(Y22,WORLDCUP!$Z$101:$Z$147,0))),"","( "&amp;INDEX(WORLDCUP!$AE$101:$AE$147,MATCH(Y22,WORLDCUP!$Z$101:$Z$147,0))&amp;" )")</f>
        <v/>
      </c>
      <c r="AD22" s="431">
        <v>94</v>
      </c>
      <c r="AE22" s="432" t="str">
        <f ca="1">+MID(INDEX(WORLDCUP!$AA$101:$AA$147,MATCH(AD22,WORLDCUP!$Z$101:$Z$147,0)),1,3)</f>
        <v>Est</v>
      </c>
      <c r="AF22" s="433">
        <f>+IF(ISBLANK(INDEX(WORLDCUP!$AC$101:$AC$147,MATCH(AD22,WORLDCUP!$Z$101:$Z$147,0))),"",INDEX(WORLDCUP!$AC$101:$AC$147,MATCH(AD22,WORLDCUP!$Z$101:$Z$147,0)))</f>
        <v>1</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3</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-6</v>
      </c>
      <c r="K23" s="455" t="str">
        <f ca="1">+INDEX(WORLDCUP!$AR$6:$AR$97,MATCH(L23,WORLDCUP!$AI$6:$AI$97,0))&amp;"-"&amp;INDEX(WORLDCUP!$AS$6:$AS$97,MATCH(L23,WORLDCUP!$AI$6:$AI$97,0))</f>
        <v>0-6</v>
      </c>
      <c r="L23" s="171" t="s">
        <v>669</v>
      </c>
      <c r="M23" s="171">
        <v>61</v>
      </c>
      <c r="N23" s="498"/>
      <c r="O23" s="420" t="str">
        <f ca="1">+MID(INDEX(WORLDCUP!$AA$4:$AA$147,MATCH(M23,WORLDCUP!$AH$4:$AH$147,0)),1,3)</f>
        <v>Nor</v>
      </c>
      <c r="P23" s="421">
        <f>IF(ISBLANK(INDEX(WORLDCUP!$AC$4:$AC$147,MATCH(M23,WORLDCUP!$AH$4:$AH$147,0))),"",INDEX(WORLDCUP!$AC$4:$AC$147,MATCH(M23,WORLDCUP!$AH$4:$AH$147,0)))</f>
        <v>0</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-6</v>
      </c>
      <c r="W23" s="455" t="str">
        <f ca="1">+INDEX(WORLDCUP!$AR$6:$AR$97,MATCH(X23,WORLDCUP!$AI$6:$AI$97,0))&amp;"-"&amp;INDEX(WORLDCUP!$AS$6:$AS$97,MATCH(X23,WORLDCUP!$AI$6:$AI$97,0))</f>
        <v>0-6</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Francia</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2</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1</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0</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Ecu</v>
      </c>
      <c r="AB25" s="457">
        <f>+IF(ISBLANK(INDEX(WORLDCUP!$AD$101:$AD$147,MATCH(Y25,WORLDCUP!$Z$101:$Z$147,0))),"",INDEX(WORLDCUP!$AD$101:$AD$147,MATCH(Y25,WORLDCUP!$Z$101:$Z$147,0)))</f>
        <v>1</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Fran</v>
      </c>
      <c r="AV25" s="514">
        <f>+IF(ISBLANK(INDEX(WORLDCUP!$AC$101:$AC$147,MATCH(AT25,WORLDCUP!$Z$101:$Z$147,0))),"",INDEX(WORLDCUP!$AC$101:$AC$147,MATCH(AT25,WORLDCUP!$Z$101:$Z$147,0)))</f>
        <v>1</v>
      </c>
      <c r="AW25" s="515" t="str">
        <f>+IF(ISBLANK(INDEX(WORLDCUP!$AB$101:$AB$147,MATCH(AT25,WORLDCUP!$Z$101:$Z$147,0))),"","( "&amp;INDEX(WORLDCUP!$AB$101:$AB$147,MATCH(AT25,WORLDCUP!$Z$101:$Z$147,0))&amp;" )")</f>
        <v/>
      </c>
      <c r="AX25" s="516"/>
      <c r="AY25" s="503"/>
      <c r="AZ25" s="504" t="str">
        <f ca="1">+WORLDCUP!AA152</f>
        <v>Portugal</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1</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Bras</v>
      </c>
      <c r="AV26" s="514">
        <f>+IF(ISBLANK(INDEX(WORLDCUP!$AD$101:$AD$147,MATCH(AT26,WORLDCUP!$Z$101:$Z$147,0))),"",INDEX(WORLDCUP!$AD$101:$AD$147,MATCH(AT26,WORLDCUP!$Z$101:$Z$147,0)))</f>
        <v>3</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0</v>
      </c>
      <c r="BN26" s="439">
        <f ca="1">COUNTIF(Pool!$C$251,Fixture!BG26)</f>
        <v>1</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2</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Est</v>
      </c>
      <c r="I28" s="425">
        <f ca="1">+INDEX(WORLDCUP!$AM$6:$AM$97,MATCH(L28,WORLDCUP!$AI$6:$AI$97,0))</f>
        <v>7</v>
      </c>
      <c r="J28" s="426">
        <f ca="1">+INDEX(WORLDCUP!$AT$6:$AT$97,MATCH(L28,WORLDCUP!$AI$6:$AI$97,0))</f>
        <v>2</v>
      </c>
      <c r="K28" s="427" t="str">
        <f ca="1">+INDEX(WORLDCUP!$AR$6:$AR$97,MATCH(L28,WORLDCUP!$AI$6:$AI$97,0))&amp;"-"&amp;INDEX(WORLDCUP!$AS$6:$AS$97,MATCH(L28,WORLDCUP!$AI$6:$AI$97,0))</f>
        <v>5-3</v>
      </c>
      <c r="L28" s="171" t="s">
        <v>670</v>
      </c>
      <c r="M28" s="171">
        <v>20</v>
      </c>
      <c r="N28" s="521"/>
      <c r="O28" s="420" t="str">
        <f ca="1">+MID(INDEX(WORLDCUP!$AA$4:$AA$147,MATCH(M28,WORLDCUP!$AH$4:$AH$147,0)),1,3)</f>
        <v>Aus</v>
      </c>
      <c r="P28" s="421">
        <f>IF(ISBLANK(INDEX(WORLDCUP!$AC$4:$AC$147,MATCH(M28,WORLDCUP!$AH$4:$AH$147,0))),"",INDEX(WORLDCUP!$AC$4:$AC$147,MATCH(M28,WORLDCUP!$AH$4:$AH$147,0)))</f>
        <v>1</v>
      </c>
      <c r="Q28" s="421">
        <f>IF(ISBLANK(INDEX(WORLDCUP!$AD$4:$AD$147,MATCH(M28,WORLDCUP!$AH$4:$AH$147,0))),"",INDEX(WORLDCUP!$AD$4:$AD$147,MATCH(M28,WORLDCUP!$AH$4:$AH$147,0)))</f>
        <v>1</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6</v>
      </c>
      <c r="W28" s="427" t="str">
        <f ca="1">+INDEX(WORLDCUP!$AR$6:$AR$97,MATCH(X28,WORLDCUP!$AI$6:$AI$97,0))&amp;"-"&amp;INDEX(WORLDCUP!$AS$6:$AS$97,MATCH(X28,WORLDCUP!$AI$6:$AI$97,0))</f>
        <v>7-1</v>
      </c>
      <c r="X28" s="171" t="s">
        <v>688</v>
      </c>
      <c r="Y28" s="171">
        <v>76</v>
      </c>
      <c r="Z28" s="401" t="s">
        <v>677</v>
      </c>
      <c r="AA28" s="402" t="str">
        <f ca="1">+MID(INDEX(WORLDCUP!$AF$101:$AF$147,MATCH(Y28,WORLDCUP!$Z$101:$Z$147,0)),1,3)</f>
        <v>Sue</v>
      </c>
      <c r="AB28" s="429">
        <f>+IF(ISBLANK(INDEX(WORLDCUP!$AD$101:$AD$147,MATCH(Y28,WORLDCUP!$Z$101:$Z$147,0))),"",INDEX(WORLDCUP!$AD$101:$AD$147,MATCH(Y28,WORLDCUP!$Z$101:$Z$147,0)))</f>
        <v>1</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2</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1</v>
      </c>
      <c r="E29" s="421">
        <f>IF(ISBLANK(INDEX(WORLDCUP!$AD$4:$AD$147,MATCH(A29,WORLDCUP!$AH$4:$AH$147,0))),"",INDEX(WORLDCUP!$AD$4:$AD$147,MATCH(A29,WORLDCUP!$AH$4:$AH$147,0)))</f>
        <v>1</v>
      </c>
      <c r="F29" s="422" t="str">
        <f ca="1">+MID(INDEX(WORLDCUP!$AF$4:$AF$147,MATCH(A29,WORLDCUP!$AH$4:$AH$147,0)),1,3)</f>
        <v>Aus</v>
      </c>
      <c r="G29" s="443">
        <v>2</v>
      </c>
      <c r="H29" s="444" t="str">
        <f ca="1">+MID(INDEX(WORLDCUP!$AL$6:$AL$97,MATCH(L29,WORLDCUP!$AI$6:$AI$97,0)),1,3)</f>
        <v>Tur</v>
      </c>
      <c r="I29" s="38">
        <f ca="1">+INDEX(WORLDCUP!$AM$6:$AM$97,MATCH(L29,WORLDCUP!$AI$6:$AI$97,0))</f>
        <v>6</v>
      </c>
      <c r="J29" s="39">
        <f ca="1">+INDEX(WORLDCUP!$AT$6:$AT$97,MATCH(L29,WORLDCUP!$AI$6:$AI$97,0))</f>
        <v>1</v>
      </c>
      <c r="K29" s="43" t="str">
        <f ca="1">+INDEX(WORLDCUP!$AR$6:$AR$97,MATCH(L29,WORLDCUP!$AI$6:$AI$97,0))&amp;"-"&amp;INDEX(WORLDCUP!$AS$6:$AS$97,MATCH(L29,WORLDCUP!$AI$6:$AI$97,0))</f>
        <v>5-4</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Arg</v>
      </c>
      <c r="U29" s="38">
        <f ca="1">+INDEX(WORLDCUP!$AM$6:$AM$97,MATCH(X29,WORLDCUP!$AI$6:$AI$97,0))</f>
        <v>6</v>
      </c>
      <c r="V29" s="39">
        <f ca="1">+INDEX(WORLDCUP!$AT$6:$AT$97,MATCH(X29,WORLDCUP!$AI$6:$AI$97,0))</f>
        <v>1</v>
      </c>
      <c r="W29" s="43" t="str">
        <f ca="1">+INDEX(WORLDCUP!$AR$6:$AR$97,MATCH(X29,WORLDCUP!$AI$6:$AI$97,0))&amp;"-"&amp;INDEX(WORLDCUP!$AS$6:$AS$97,MATCH(X29,WORLDCUP!$AI$6:$AI$97,0))</f>
        <v>4-3</v>
      </c>
      <c r="X29" s="171" t="s">
        <v>689</v>
      </c>
      <c r="Y29" s="171"/>
      <c r="Z29" s="401"/>
      <c r="AA29" s="445"/>
      <c r="AB29" s="445"/>
      <c r="AC29" s="446"/>
      <c r="AD29" s="171">
        <v>91</v>
      </c>
      <c r="AE29" s="432" t="str">
        <f ca="1">+MID(INDEX(WORLDCUP!$AF$101:$AF$147,MATCH(AD29,WORLDCUP!$Z$101:$Z$147,0)),1,3)</f>
        <v>Nor</v>
      </c>
      <c r="AF29" s="433">
        <f>+IF(ISBLANK(INDEX(WORLDCUP!$AD$101:$AD$147,MATCH(AD29,WORLDCUP!$Z$101:$Z$147,0))),"",INDEX(WORLDCUP!$AD$101:$AD$147,MATCH(AD29,WORLDCUP!$Z$101:$Z$147,0)))</f>
        <v>0</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2</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Par</v>
      </c>
      <c r="I30" s="38">
        <f ca="1">+INDEX(WORLDCUP!$AM$6:$AM$97,MATCH(L30,WORLDCUP!$AI$6:$AI$97,0))</f>
        <v>3</v>
      </c>
      <c r="J30" s="39">
        <f ca="1">+INDEX(WORLDCUP!$AT$6:$AT$97,MATCH(L30,WORLDCUP!$AI$6:$AI$97,0))</f>
        <v>-1</v>
      </c>
      <c r="K30" s="43" t="str">
        <f ca="1">+INDEX(WORLDCUP!$AR$6:$AR$97,MATCH(L30,WORLDCUP!$AI$6:$AI$97,0))&amp;"-"&amp;INDEX(WORLDCUP!$AS$6:$AS$97,MATCH(L30,WORLDCUP!$AI$6:$AI$97,0))</f>
        <v>4-5</v>
      </c>
      <c r="L30" s="171" t="s">
        <v>93</v>
      </c>
      <c r="M30" s="171">
        <v>44</v>
      </c>
      <c r="N30" s="521"/>
      <c r="O30" s="420" t="str">
        <f ca="1">+MID(INDEX(WORLDCUP!$AA$4:$AA$147,MATCH(M30,WORLDCUP!$AH$4:$AH$147,0)),1,3)</f>
        <v>Jor</v>
      </c>
      <c r="P30" s="421">
        <f>IF(ISBLANK(INDEX(WORLDCUP!$AC$4:$AC$147,MATCH(M30,WORLDCUP!$AH$4:$AH$147,0))),"",INDEX(WORLDCUP!$AC$4:$AC$147,MATCH(M30,WORLDCUP!$AH$4:$AH$147,0)))</f>
        <v>0</v>
      </c>
      <c r="Q30" s="421">
        <f>IF(ISBLANK(INDEX(WORLDCUP!$AD$4:$AD$147,MATCH(M30,WORLDCUP!$AH$4:$AH$147,0))),"",INDEX(WORLDCUP!$AD$4:$AD$147,MATCH(M30,WORLDCUP!$AH$4:$AH$147,0)))</f>
        <v>2</v>
      </c>
      <c r="R30" s="422" t="str">
        <f ca="1">+MID(INDEX(WORLDCUP!$AF$4:$AF$147,MATCH(M30,WORLDCUP!$AH$4:$AH$147,0)),1,3)</f>
        <v>Arg</v>
      </c>
      <c r="S30" s="443">
        <v>3</v>
      </c>
      <c r="T30" s="444" t="str">
        <f ca="1">+MID(INDEX(WORLDCUP!$AL$6:$AL$97,MATCH(X30,WORLDCUP!$AI$6:$AI$97,0)),1,3)</f>
        <v>Aus</v>
      </c>
      <c r="U30" s="38">
        <f ca="1">+INDEX(WORLDCUP!$AM$6:$AM$97,MATCH(X30,WORLDCUP!$AI$6:$AI$97,0))</f>
        <v>1</v>
      </c>
      <c r="V30" s="39">
        <f ca="1">+INDEX(WORLDCUP!$AT$6:$AT$97,MATCH(X30,WORLDCUP!$AI$6:$AI$97,0))</f>
        <v>-2</v>
      </c>
      <c r="W30" s="43" t="str">
        <f ca="1">+INDEX(WORLDCUP!$AR$6:$AR$97,MATCH(X30,WORLDCUP!$AI$6:$AI$97,0))&amp;"-"&amp;INDEX(WORLDCUP!$AS$6:$AS$97,MATCH(X30,WORLDCUP!$AI$6:$AI$97,0))</f>
        <v>3-5</v>
      </c>
      <c r="X30" s="171" t="s">
        <v>451</v>
      </c>
      <c r="Y30" s="171">
        <v>78</v>
      </c>
      <c r="Z30" s="401" t="s">
        <v>674</v>
      </c>
      <c r="AA30" s="402" t="str">
        <f ca="1">+MID(INDEX(WORLDCUP!$AA$101:$AA$147,MATCH(Y30,WORLDCUP!$Z$101:$Z$147,0)),1,3)</f>
        <v>Cos</v>
      </c>
      <c r="AB30" s="448">
        <f>+IF(ISBLANK(INDEX(WORLDCUP!$AC$101:$AC$147,MATCH(Y30,WORLDCUP!$Z$101:$Z$147,0))),"",INDEX(WORLDCUP!$AC$101:$AC$147,MATCH(Y30,WORLDCUP!$Z$101:$Z$147,0)))</f>
        <v>1</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2</v>
      </c>
      <c r="F31" s="422" t="str">
        <f ca="1">+MID(INDEX(WORLDCUP!$AF$4:$AF$147,MATCH(A31,WORLDCUP!$AH$4:$AH$147,0)),1,3)</f>
        <v>Est</v>
      </c>
      <c r="G31" s="443">
        <v>4</v>
      </c>
      <c r="H31" s="452" t="str">
        <f ca="1">+MID(INDEX(WORLDCUP!$AL$6:$AL$97,MATCH(L31,WORLDCUP!$AI$6:$AI$97,0)),1,3)</f>
        <v>Aus</v>
      </c>
      <c r="I31" s="453">
        <f ca="1">+INDEX(WORLDCUP!$AM$6:$AM$97,MATCH(L31,WORLDCUP!$AI$6:$AI$97,0))</f>
        <v>1</v>
      </c>
      <c r="J31" s="454">
        <f ca="1">+INDEX(WORLDCUP!$AT$6:$AT$97,MATCH(L31,WORLDCUP!$AI$6:$AI$97,0))</f>
        <v>-2</v>
      </c>
      <c r="K31" s="455" t="str">
        <f ca="1">+INDEX(WORLDCUP!$AR$6:$AR$97,MATCH(L31,WORLDCUP!$AI$6:$AI$97,0))&amp;"-"&amp;INDEX(WORLDCUP!$AS$6:$AS$97,MATCH(L31,WORLDCUP!$AI$6:$AI$97,0))</f>
        <v>3-5</v>
      </c>
      <c r="L31" s="171" t="s">
        <v>672</v>
      </c>
      <c r="M31" s="171">
        <v>69</v>
      </c>
      <c r="N31" s="521"/>
      <c r="O31" s="420" t="str">
        <f ca="1">+MID(INDEX(WORLDCUP!$AA$4:$AA$147,MATCH(M31,WORLDCUP!$AH$4:$AH$147,0)),1,3)</f>
        <v>Arg</v>
      </c>
      <c r="P31" s="421">
        <f>IF(ISBLANK(INDEX(WORLDCUP!$AC$4:$AC$147,MATCH(M31,WORLDCUP!$AH$4:$AH$147,0))),"",INDEX(WORLDCUP!$AC$4:$AC$147,MATCH(M31,WORLDCUP!$AH$4:$AH$147,0)))</f>
        <v>2</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1</v>
      </c>
      <c r="V31" s="454">
        <f ca="1">+INDEX(WORLDCUP!$AT$6:$AT$97,MATCH(X31,WORLDCUP!$AI$6:$AI$97,0))</f>
        <v>-5</v>
      </c>
      <c r="W31" s="455" t="str">
        <f ca="1">+INDEX(WORLDCUP!$AR$6:$AR$97,MATCH(X31,WORLDCUP!$AI$6:$AI$97,0))&amp;"-"&amp;INDEX(WORLDCUP!$AS$6:$AS$97,MATCH(X31,WORLDCUP!$AI$6:$AI$97,0))</f>
        <v>1-6</v>
      </c>
      <c r="X31" s="171" t="s">
        <v>690</v>
      </c>
      <c r="Y31" s="171">
        <v>78</v>
      </c>
      <c r="Z31" s="401" t="s">
        <v>686</v>
      </c>
      <c r="AA31" s="456" t="str">
        <f ca="1">+MID(INDEX(WORLDCUP!$AF$101:$AF$147,MATCH(Y31,WORLDCUP!$Z$101:$Z$147,0)),1,3)</f>
        <v>Nor</v>
      </c>
      <c r="AB31" s="457">
        <f>+IF(ISBLANK(INDEX(WORLDCUP!$AD$101:$AD$147,MATCH(Y31,WORLDCUP!$Z$101:$Z$147,0))),"",INDEX(WORLDCUP!$AD$101:$AD$147,MATCH(Y31,WORLDCUP!$Z$101:$Z$147,0)))</f>
        <v>2</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2</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Bélg</v>
      </c>
      <c r="AR31" s="524">
        <f>+IF(ISBLANK(INDEX(WORLDCUP!$AC$101:$AC$147,MATCH(AP31,WORLDCUP!$Z$101:$Z$147,0))),"",INDEX(WORLDCUP!$AC$101:$AC$147,MATCH(AP31,WORLDCUP!$Z$101:$Z$147,0)))</f>
        <v>1</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0</v>
      </c>
      <c r="BI31" s="439">
        <f ca="1">COUNTIF(Pool!$C$130:$C$161,Fixture!BG31)-BJ31-BK31-BL31-BM31-BN31-BO31</f>
        <v>1</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2</v>
      </c>
      <c r="E32" s="464">
        <f>IF(ISBLANK(INDEX(WORLDCUP!$AD$4:$AD$147,MATCH(A32,WORLDCUP!$AH$4:$AH$147,0))),"",INDEX(WORLDCUP!$AD$4:$AD$147,MATCH(A32,WORLDCUP!$AH$4:$AH$147,0)))</f>
        <v>1</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3</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1</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Port</v>
      </c>
      <c r="AR32" s="524">
        <f>+IF(ISBLANK(INDEX(WORLDCUP!$AD$101:$AD$147,MATCH(AP32,WORLDCUP!$Z$101:$Z$147,0))),"",INDEX(WORLDCUP!$AD$101:$AD$147,MATCH(AP32,WORLDCUP!$Z$101:$Z$147,0)))</f>
        <v>2</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2</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Esc</v>
      </c>
      <c r="AB34" s="429">
        <f>+IF(ISBLANK(INDEX(WORLDCUP!$AD$101:$AD$147,MATCH(Y34,WORLDCUP!$Z$101:$Z$147,0))),"",INDEX(WORLDCUP!$AD$101:$AD$147,MATCH(Y34,WORLDCUP!$Z$101:$Z$147,0)))</f>
        <v>1</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1</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1</v>
      </c>
      <c r="BJ34" s="440">
        <f ca="1">COUNTIF(Pool!$C$182:$C$197,Fixture!BG34)-BK34-BL34-BM34-BN34-BO34</f>
        <v>0</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3</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2</v>
      </c>
      <c r="Q35" s="394">
        <f>IF(ISBLANK(INDEX(WORLDCUP!$AD$4:$AD$147,MATCH(M35,WORLDCUP!$AH$4:$AH$147,0))),"",INDEX(WORLDCUP!$AD$4:$AD$147,MATCH(M35,WORLDCUP!$AH$4:$AH$147,0)))</f>
        <v>1</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1</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6</v>
      </c>
      <c r="K36" s="427" t="str">
        <f ca="1">+INDEX(WORLDCUP!$AR$6:$AR$97,MATCH(L36,WORLDCUP!$AI$6:$AI$97,0))&amp;"-"&amp;INDEX(WORLDCUP!$AS$6:$AS$97,MATCH(L36,WORLDCUP!$AI$6:$AI$97,0))</f>
        <v>8-2</v>
      </c>
      <c r="L36" s="171" t="s">
        <v>673</v>
      </c>
      <c r="M36" s="171">
        <v>24</v>
      </c>
      <c r="N36" s="537"/>
      <c r="O36" s="420" t="str">
        <f ca="1">+MID(INDEX(WORLDCUP!$AA$4:$AA$147,MATCH(M36,WORLDCUP!$AH$4:$AH$147,0)),1,3)</f>
        <v>Uzb</v>
      </c>
      <c r="P36" s="421">
        <f>IF(ISBLANK(INDEX(WORLDCUP!$AC$4:$AC$147,MATCH(M36,WORLDCUP!$AH$4:$AH$147,0))),"",INDEX(WORLDCUP!$AC$4:$AC$147,MATCH(M36,WORLDCUP!$AH$4:$AH$147,0)))</f>
        <v>1</v>
      </c>
      <c r="Q36" s="421">
        <f>IF(ISBLANK(INDEX(WORLDCUP!$AD$4:$AD$147,MATCH(M36,WORLDCUP!$AH$4:$AH$147,0))),"",INDEX(WORLDCUP!$AD$4:$AD$147,MATCH(M36,WORLDCUP!$AH$4:$AH$147,0)))</f>
        <v>1</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4</v>
      </c>
      <c r="W36" s="427" t="str">
        <f ca="1">+INDEX(WORLDCUP!$AR$6:$AR$97,MATCH(X36,WORLDCUP!$AI$6:$AI$97,0))&amp;"-"&amp;INDEX(WORLDCUP!$AS$6:$AS$97,MATCH(X36,WORLDCUP!$AI$6:$AI$97,0))</f>
        <v>6-2</v>
      </c>
      <c r="X36" s="171" t="s">
        <v>691</v>
      </c>
      <c r="Y36" s="171">
        <v>80</v>
      </c>
      <c r="Z36" s="401" t="s">
        <v>694</v>
      </c>
      <c r="AA36" s="402" t="str">
        <f ca="1">+MID(INDEX(WORLDCUP!$AA$101:$AA$147,MATCH(Y36,WORLDCUP!$Z$101:$Z$147,0)),1,3)</f>
        <v>Ing</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0</v>
      </c>
      <c r="BJ36" s="440">
        <f ca="1">COUNTIF(Pool!$C$182:$C$197,Fixture!BG36)-BK36-BL36-BM36-BN36-BO36</f>
        <v>1</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1</v>
      </c>
      <c r="F37" s="422" t="str">
        <f ca="1">+MID(INDEX(WORLDCUP!$AF$4:$AF$147,MATCH(A37,WORLDCUP!$AH$4:$AH$147,0)),1,3)</f>
        <v>Cos</v>
      </c>
      <c r="G37" s="443">
        <v>2</v>
      </c>
      <c r="H37" s="444" t="str">
        <f ca="1">+MID(INDEX(WORLDCUP!$AL$6:$AL$97,MATCH(L37,WORLDCUP!$AI$6:$AI$97,0)),1,3)</f>
        <v>Cos</v>
      </c>
      <c r="I37" s="38">
        <f ca="1">+INDEX(WORLDCUP!$AM$6:$AM$97,MATCH(L37,WORLDCUP!$AI$6:$AI$97,0))</f>
        <v>4</v>
      </c>
      <c r="J37" s="39">
        <f ca="1">+INDEX(WORLDCUP!$AT$6:$AT$97,MATCH(L37,WORLDCUP!$AI$6:$AI$97,0))</f>
        <v>1</v>
      </c>
      <c r="K37" s="43" t="str">
        <f ca="1">+INDEX(WORLDCUP!$AR$6:$AR$97,MATCH(L37,WORLDCUP!$AI$6:$AI$97,0))&amp;"-"&amp;INDEX(WORLDCUP!$AS$6:$AS$97,MATCH(L37,WORLDCUP!$AI$6:$AI$97,0))</f>
        <v>4-3</v>
      </c>
      <c r="L37" s="171" t="s">
        <v>674</v>
      </c>
      <c r="M37" s="171">
        <v>47</v>
      </c>
      <c r="N37" s="537"/>
      <c r="O37" s="420" t="str">
        <f ca="1">+MID(INDEX(WORLDCUP!$AA$4:$AA$147,MATCH(M37,WORLDCUP!$AH$4:$AH$147,0)),1,3)</f>
        <v>Por</v>
      </c>
      <c r="P37" s="421">
        <f>IF(ISBLANK(INDEX(WORLDCUP!$AC$4:$AC$147,MATCH(M37,WORLDCUP!$AH$4:$AH$147,0))),"",INDEX(WORLDCUP!$AC$4:$AC$147,MATCH(M37,WORLDCUP!$AH$4:$AH$147,0)))</f>
        <v>2</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4</v>
      </c>
      <c r="V37" s="39">
        <f ca="1">+INDEX(WORLDCUP!$AT$6:$AT$97,MATCH(X37,WORLDCUP!$AI$6:$AI$97,0))</f>
        <v>1</v>
      </c>
      <c r="W37" s="43" t="str">
        <f ca="1">+INDEX(WORLDCUP!$AR$6:$AR$97,MATCH(X37,WORLDCUP!$AI$6:$AI$97,0))&amp;"-"&amp;INDEX(WORLDCUP!$AS$6:$AS$97,MATCH(X37,WORLDCUP!$AI$6:$AI$97,0))</f>
        <v>4-3</v>
      </c>
      <c r="X37" s="171" t="s">
        <v>692</v>
      </c>
      <c r="Y37" s="171">
        <v>80</v>
      </c>
      <c r="Z37" s="401" t="s">
        <v>737</v>
      </c>
      <c r="AA37" s="456" t="str">
        <f ca="1">+MID(INDEX(WORLDCUP!$AF$101:$AF$147,MATCH(Y37,WORLDCUP!$Z$101:$Z$147,0)),1,IF(WORLDCUP!$H$113&lt;144,6,3))</f>
        <v>Sen</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4</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2</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4-4</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Uzb</v>
      </c>
      <c r="U38" s="38">
        <f ca="1">+INDEX(WORLDCUP!$AM$6:$AM$97,MATCH(X38,WORLDCUP!$AI$6:$AI$97,0))</f>
        <v>2</v>
      </c>
      <c r="V38" s="39">
        <f ca="1">+INDEX(WORLDCUP!$AT$6:$AT$97,MATCH(X38,WORLDCUP!$AI$6:$AI$97,0))</f>
        <v>-2</v>
      </c>
      <c r="W38" s="43" t="str">
        <f ca="1">+INDEX(WORLDCUP!$AR$6:$AR$97,MATCH(X38,WORLDCUP!$AI$6:$AI$97,0))&amp;"-"&amp;INDEX(WORLDCUP!$AS$6:$AS$97,MATCH(X38,WORLDCUP!$AI$6:$AI$97,0))</f>
        <v>2-4</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3</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0</v>
      </c>
      <c r="BJ38" s="440">
        <f ca="1">COUNTIF(Pool!$C$182:$C$197,Fixture!BG38)-BK38-BL38-BM38-BN38-BO38</f>
        <v>0</v>
      </c>
      <c r="BK38" s="441">
        <f ca="1">COUNTIF(Pool!$C$210:$C$217,Fixture!BG38)-BL38-BM38-BN38-BO38</f>
        <v>1</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-7</v>
      </c>
      <c r="K39" s="455" t="str">
        <f ca="1">+INDEX(WORLDCUP!$AR$6:$AR$97,MATCH(L39,WORLDCUP!$AI$6:$AI$97,0))&amp;"-"&amp;INDEX(WORLDCUP!$AS$6:$AS$97,MATCH(L39,WORLDCUP!$AI$6:$AI$97,0))</f>
        <v>0-7</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2</v>
      </c>
      <c r="R39" s="422" t="str">
        <f ca="1">+MID(INDEX(WORLDCUP!$AF$4:$AF$147,MATCH(M39,WORLDCUP!$AH$4:$AH$147,0)),1,3)</f>
        <v>Por</v>
      </c>
      <c r="S39" s="443">
        <v>4</v>
      </c>
      <c r="T39" s="452" t="str">
        <f ca="1">+MID(INDEX(WORLDCUP!$AL$6:$AL$97,MATCH(X39,WORLDCUP!$AI$6:$AI$97,0)),1,3)</f>
        <v xml:space="preserve">RD </v>
      </c>
      <c r="U39" s="453">
        <f ca="1">+INDEX(WORLDCUP!$AM$6:$AM$97,MATCH(X39,WORLDCUP!$AI$6:$AI$97,0))</f>
        <v>1</v>
      </c>
      <c r="V39" s="454">
        <f ca="1">+INDEX(WORLDCUP!$AT$6:$AT$97,MATCH(X39,WORLDCUP!$AI$6:$AI$97,0))</f>
        <v>-3</v>
      </c>
      <c r="W39" s="455" t="str">
        <f ca="1">+INDEX(WORLDCUP!$AR$6:$AR$97,MATCH(X39,WORLDCUP!$AI$6:$AI$97,0))&amp;"-"&amp;INDEX(WORLDCUP!$AS$6:$AS$97,MATCH(X39,WORLDCUP!$AI$6:$AI$97,0))</f>
        <v>2-5</v>
      </c>
      <c r="X39" s="171" t="s">
        <v>693</v>
      </c>
      <c r="Y39" s="171">
        <v>86</v>
      </c>
      <c r="Z39" s="401" t="s">
        <v>688</v>
      </c>
      <c r="AA39" s="402" t="str">
        <f ca="1">+MID(INDEX(WORLDCUP!$AA$101:$AA$147,MATCH(Y39,WORLDCUP!$Z$101:$Z$147,0)),1,3)</f>
        <v>Arg</v>
      </c>
      <c r="AB39" s="403">
        <f>+IF(ISBLANK(INDEX(WORLDCUP!$AC$101:$AC$147,MATCH(Y39,WORLDCUP!$Z$101:$Z$147,0))),"",INDEX(WORLDCUP!$AC$101:$AC$147,MATCH(Y39,WORLDCUP!$Z$101:$Z$147,0)))</f>
        <v>2</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3</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Esp</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2</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Tur</v>
      </c>
      <c r="AF41" s="433">
        <f>+IF(ISBLANK(INDEX(WORLDCUP!$AD$101:$AD$147,MATCH(AD41,WORLDCUP!$Z$101:$Z$147,0))),"",INDEX(WORLDCUP!$AD$101:$AD$147,MATCH(AD41,WORLDCUP!$Z$101:$Z$147,0)))</f>
        <v>1</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1</v>
      </c>
      <c r="BN41" s="439">
        <f ca="1">COUNTIF(Pool!$C$251,Fixture!BG41)</f>
        <v>0</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Tur</v>
      </c>
      <c r="AB42" s="448">
        <f>+IF(ISBLANK(INDEX(WORLDCUP!$AC$101:$AC$147,MATCH(Y42,WORLDCUP!$Z$101:$Z$147,0))),"",INDEX(WORLDCUP!$AC$101:$AC$147,MATCH(Y42,WORLDCUP!$Z$101:$Z$147,0)))</f>
        <v>2</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1</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0</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Irá</v>
      </c>
      <c r="AB43" s="457">
        <f>+IF(ISBLANK(INDEX(WORLDCUP!$AD$101:$AD$147,MATCH(Y43,WORLDCUP!$Z$101:$Z$147,0))),"",INDEX(WORLDCUP!$AD$101:$AD$147,MATCH(Y43,WORLDCUP!$Z$101:$Z$147,0)))</f>
        <v>1</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1</v>
      </c>
      <c r="BI43" s="439">
        <f ca="1">COUNTIF(Pool!$C$130:$C$161,Fixture!BG43)-BJ43-BK43-BL43-BM43-BN43-BO43</f>
        <v>0</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1</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Paí</v>
      </c>
      <c r="I44" s="425">
        <f ca="1">+INDEX(WORLDCUP!$AM$6:$AM$97,MATCH(L44,WORLDCUP!$AI$6:$AI$97,0))</f>
        <v>7</v>
      </c>
      <c r="J44" s="426">
        <f ca="1">+INDEX(WORLDCUP!$AT$6:$AT$97,MATCH(L44,WORLDCUP!$AI$6:$AI$97,0))</f>
        <v>3</v>
      </c>
      <c r="K44" s="427" t="str">
        <f ca="1">+INDEX(WORLDCUP!$AR$6:$AR$97,MATCH(L44,WORLDCUP!$AI$6:$AI$97,0))&amp;"-"&amp;INDEX(WORLDCUP!$AS$6:$AS$97,MATCH(L44,WORLDCUP!$AI$6:$AI$97,0))</f>
        <v>5-2</v>
      </c>
      <c r="L44" s="171" t="s">
        <v>676</v>
      </c>
      <c r="M44" s="171">
        <v>21</v>
      </c>
      <c r="N44" s="544"/>
      <c r="O44" s="420" t="str">
        <f ca="1">+MID(INDEX(WORLDCUP!$AA$4:$AA$147,MATCH(M44,WORLDCUP!$AH$4:$AH$147,0)),1,3)</f>
        <v>Gha</v>
      </c>
      <c r="P44" s="421">
        <f>IF(ISBLANK(INDEX(WORLDCUP!$AC$4:$AC$147,MATCH(M44,WORLDCUP!$AH$4:$AH$147,0))),"",INDEX(WORLDCUP!$AC$4:$AC$147,MATCH(M44,WORLDCUP!$AH$4:$AH$147,0)))</f>
        <v>2</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6</v>
      </c>
      <c r="W44" s="427" t="str">
        <f ca="1">+INDEX(WORLDCUP!$AR$6:$AR$97,MATCH(X44,WORLDCUP!$AI$6:$AI$97,0))&amp;"-"&amp;INDEX(WORLDCUP!$AS$6:$AS$97,MATCH(X44,WORLDCUP!$AI$6:$AI$97,0))</f>
        <v>7-1</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1</v>
      </c>
      <c r="E45" s="421">
        <f>IF(ISBLANK(INDEX(WORLDCUP!$AD$4:$AD$147,MATCH(A45,WORLDCUP!$AH$4:$AH$147,0))),"",INDEX(WORLDCUP!$AD$4:$AD$147,MATCH(A45,WORLDCUP!$AH$4:$AH$147,0)))</f>
        <v>1</v>
      </c>
      <c r="F45" s="422" t="str">
        <f ca="1">+MID(INDEX(WORLDCUP!$AF$4:$AF$147,MATCH(A45,WORLDCUP!$AH$4:$AH$147,0)),1,3)</f>
        <v>Sue</v>
      </c>
      <c r="G45" s="443">
        <v>2</v>
      </c>
      <c r="H45" s="444" t="str">
        <f ca="1">+MID(INDEX(WORLDCUP!$AL$6:$AL$97,MATCH(L45,WORLDCUP!$AI$6:$AI$97,0)),1,3)</f>
        <v>Sue</v>
      </c>
      <c r="I45" s="38">
        <f ca="1">+INDEX(WORLDCUP!$AM$6:$AM$97,MATCH(L45,WORLDCUP!$AI$6:$AI$97,0))</f>
        <v>5</v>
      </c>
      <c r="J45" s="39">
        <f ca="1">+INDEX(WORLDCUP!$AT$6:$AT$97,MATCH(L45,WORLDCUP!$AI$6:$AI$97,0))</f>
        <v>1</v>
      </c>
      <c r="K45" s="43" t="str">
        <f ca="1">+INDEX(WORLDCUP!$AR$6:$AR$97,MATCH(L45,WORLDCUP!$AI$6:$AI$97,0))&amp;"-"&amp;INDEX(WORLDCUP!$AS$6:$AS$97,MATCH(L45,WORLDCUP!$AI$6:$AI$97,0))</f>
        <v>4-3</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1</v>
      </c>
      <c r="R45" s="422" t="str">
        <f ca="1">+MID(INDEX(WORLDCUP!$AF$4:$AF$147,MATCH(M45,WORLDCUP!$AH$4:$AH$147,0)),1,3)</f>
        <v>Gha</v>
      </c>
      <c r="S45" s="443">
        <v>2</v>
      </c>
      <c r="T45" s="444"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4-4</v>
      </c>
      <c r="X45" s="171" t="s">
        <v>695</v>
      </c>
      <c r="Y45" s="171">
        <v>85</v>
      </c>
      <c r="Z45" s="401" t="s">
        <v>660</v>
      </c>
      <c r="AA45" s="402" t="str">
        <f ca="1">+MID(INDEX(WORLDCUP!$AA$101:$AA$147,MATCH(Y45,WORLDCUP!$Z$101:$Z$147,0)),1,3)</f>
        <v>Sui</v>
      </c>
      <c r="AB45" s="403">
        <f>+IF(ISBLANK(INDEX(WORLDCUP!$AC$101:$AC$147,MATCH(Y45,WORLDCUP!$Z$101:$Z$147,0))),"",INDEX(WORLDCUP!$AC$101:$AC$147,MATCH(Y45,WORLDCUP!$Z$101:$Z$147,0)))</f>
        <v>4</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Jap</v>
      </c>
      <c r="I46" s="38">
        <f ca="1">+INDEX(WORLDCUP!$AM$6:$AM$97,MATCH(L46,WORLDCUP!$AI$6:$AI$97,0))</f>
        <v>3</v>
      </c>
      <c r="J46" s="39">
        <f ca="1">+INDEX(WORLDCUP!$AT$6:$AT$97,MATCH(L46,WORLDCUP!$AI$6:$AI$97,0))</f>
        <v>-1</v>
      </c>
      <c r="K46" s="43" t="str">
        <f ca="1">+INDEX(WORLDCUP!$AR$6:$AR$97,MATCH(L46,WORLDCUP!$AI$6:$AI$97,0))&amp;"-"&amp;INDEX(WORLDCUP!$AS$6:$AS$97,MATCH(L46,WORLDCUP!$AI$6:$AI$97,0))</f>
        <v>4-5</v>
      </c>
      <c r="L46" s="171" t="s">
        <v>95</v>
      </c>
      <c r="M46" s="171">
        <v>46</v>
      </c>
      <c r="N46" s="544"/>
      <c r="O46" s="420" t="str">
        <f ca="1">+MID(INDEX(WORLDCUP!$AA$4:$AA$147,MATCH(M46,WORLDCUP!$AH$4:$AH$147,0)),1,3)</f>
        <v>Pan</v>
      </c>
      <c r="P46" s="421">
        <f>IF(ISBLANK(INDEX(WORLDCUP!$AC$4:$AC$147,MATCH(M46,WORLDCUP!$AH$4:$AH$147,0))),"",INDEX(WORLDCUP!$AC$4:$AC$147,MATCH(M46,WORLDCUP!$AH$4:$AH$147,0)))</f>
        <v>1</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3</v>
      </c>
      <c r="V46" s="39">
        <f ca="1">+INDEX(WORLDCUP!$AT$6:$AT$97,MATCH(X46,WORLDCUP!$AI$6:$AI$97,0))</f>
        <v>0</v>
      </c>
      <c r="W46" s="43" t="str">
        <f ca="1">+INDEX(WORLDCUP!$AR$6:$AR$97,MATCH(X46,WORLDCUP!$AI$6:$AI$97,0))&amp;"-"&amp;INDEX(WORLDCUP!$AS$6:$AS$97,MATCH(X46,WORLDCUP!$AI$6:$AI$97,0))</f>
        <v>4-4</v>
      </c>
      <c r="X46" s="171" t="s">
        <v>453</v>
      </c>
      <c r="Y46" s="171">
        <v>85</v>
      </c>
      <c r="Z46" s="401" t="s">
        <v>740</v>
      </c>
      <c r="AA46" s="402" t="str">
        <f ca="1">+MID(INDEX(WORLDCUP!$AF$101:$AF$147,MATCH(Y46,WORLDCUP!$Z$101:$Z$147,0)),1,IF(WORLDCUP!$H$113&lt;144,6,3))</f>
        <v>Egi</v>
      </c>
      <c r="AB46" s="429">
        <f>+IF(ISBLANK(INDEX(WORLDCUP!$AD$101:$AD$147,MATCH(Y46,WORLDCUP!$Z$101:$Z$147,0))),"",INDEX(WORLDCUP!$AD$101:$AD$147,MATCH(Y46,WORLDCUP!$Z$101:$Z$147,0)))</f>
        <v>3</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1</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2</v>
      </c>
      <c r="F47" s="422" t="str">
        <f ca="1">+MID(INDEX(WORLDCUP!$AF$4:$AF$147,MATCH(A47,WORLDCUP!$AH$4:$AH$147,0)),1,3)</f>
        <v>Sue</v>
      </c>
      <c r="G47" s="443">
        <v>4</v>
      </c>
      <c r="H47" s="452" t="str">
        <f ca="1">+MID(INDEX(WORLDCUP!$AL$6:$AL$97,MATCH(L47,WORLDCUP!$AI$6:$AI$97,0)),1,3)</f>
        <v>Tún</v>
      </c>
      <c r="I47" s="453">
        <f ca="1">+INDEX(WORLDCUP!$AM$6:$AM$97,MATCH(L47,WORLDCUP!$AI$6:$AI$97,0))</f>
        <v>1</v>
      </c>
      <c r="J47" s="454">
        <f ca="1">+INDEX(WORLDCUP!$AT$6:$AT$97,MATCH(L47,WORLDCUP!$AI$6:$AI$97,0))</f>
        <v>-3</v>
      </c>
      <c r="K47" s="455" t="str">
        <f ca="1">+INDEX(WORLDCUP!$AR$6:$AR$97,MATCH(L47,WORLDCUP!$AI$6:$AI$97,0))&amp;"-"&amp;INDEX(WORLDCUP!$AS$6:$AS$97,MATCH(L47,WORLDCUP!$AI$6:$AI$97,0))</f>
        <v>2-5</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-6</v>
      </c>
      <c r="W47" s="455" t="str">
        <f ca="1">+INDEX(WORLDCUP!$AR$6:$AR$97,MATCH(X47,WORLDCUP!$AI$6:$AI$97,0))&amp;"-"&amp;INDEX(WORLDCUP!$AS$6:$AS$97,MATCH(X47,WORLDCUP!$AI$6:$AI$97,0))</f>
        <v>1-7</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2</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0</v>
      </c>
      <c r="BJ50" s="440">
        <f ca="1">COUNTIF(Pool!$C$182:$C$197,Fixture!BG50)-BK50-BL50-BM50-BN50-BO50</f>
        <v>0</v>
      </c>
      <c r="BK50" s="441">
        <f ca="1">COUNTIF(Pool!$C$210:$C$217,Fixture!BG50)-BL50-BM50-BN50-BO50</f>
        <v>1</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Ecuador</v>
      </c>
      <c r="D2" s="9" t="str">
        <f ca="1">+WORLDCUP!BD67</f>
        <v>Austria</v>
      </c>
      <c r="E2" s="9" t="str">
        <f ca="1">+WORLDCUP!BD66</f>
        <v>Senegal</v>
      </c>
      <c r="F2" s="9" t="str">
        <f ca="1">+WORLDCUP!BD63</f>
        <v>Japón</v>
      </c>
      <c r="G2" s="9" t="str">
        <f ca="1">+WORLDCUP!BD65</f>
        <v>Arabia Saudita</v>
      </c>
      <c r="H2" s="9" t="str">
        <f ca="1">+WORLDCUP!BD64</f>
        <v>Egipto</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Egipto</v>
      </c>
      <c r="E3" s="9" t="str">
        <f ca="1">+WORLDCUP!BD66</f>
        <v>Senegal</v>
      </c>
      <c r="F3" s="9" t="str">
        <f ca="1">+WORLDCUP!BD61</f>
        <v>Paraguay</v>
      </c>
      <c r="G3" s="9" t="str">
        <f ca="1">+WORLDCUP!BD67</f>
        <v>Austria</v>
      </c>
      <c r="H3" s="9" t="str">
        <f ca="1">+WORLDCUP!BD63</f>
        <v>Japón</v>
      </c>
      <c r="I3" s="9" t="str">
        <f ca="1">+WORLDCUP!BD69</f>
        <v>Ghana</v>
      </c>
      <c r="J3" s="9" t="str">
        <f ca="1">+WORLDCUP!BD68</f>
        <v>Uzbekistán</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Ecuador</v>
      </c>
      <c r="D4" s="9" t="str">
        <f ca="1">+WORLDCUP!BD67</f>
        <v>Austria</v>
      </c>
      <c r="E4" s="9" t="str">
        <f ca="1">+WORLDCUP!BD66</f>
        <v>Senegal</v>
      </c>
      <c r="F4" s="9" t="str">
        <f ca="1">+WORLDCUP!BD61</f>
        <v>Paraguay</v>
      </c>
      <c r="G4" s="9" t="str">
        <f ca="1">+WORLDCUP!BD65</f>
        <v>Arabia Saudita</v>
      </c>
      <c r="H4" s="9" t="str">
        <f ca="1">+WORLDCUP!BD64</f>
        <v>Egipto</v>
      </c>
      <c r="I4" s="9" t="str">
        <f ca="1">+WORLDCUP!BD69</f>
        <v>Ghana</v>
      </c>
      <c r="J4" s="9" t="str">
        <f ca="1">+WORLDCUP!BD68</f>
        <v>Uzbekistán</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Ecuador</v>
      </c>
      <c r="D5" s="9" t="str">
        <f ca="1">+WORLDCUP!BD67</f>
        <v>Austria</v>
      </c>
      <c r="E5" s="9" t="str">
        <f ca="1">+WORLDCUP!BD66</f>
        <v>Senegal</v>
      </c>
      <c r="F5" s="9" t="str">
        <f ca="1">+WORLDCUP!BD61</f>
        <v>Paraguay</v>
      </c>
      <c r="G5" s="9" t="str">
        <f ca="1">+WORLDCUP!BD65</f>
        <v>Arabia Saudita</v>
      </c>
      <c r="H5" s="9" t="str">
        <f ca="1">+WORLDCUP!BD63</f>
        <v>Japón</v>
      </c>
      <c r="I5" s="9" t="str">
        <f ca="1">+WORLDCUP!BD69</f>
        <v>Ghana</v>
      </c>
      <c r="J5" s="9" t="str">
        <f ca="1">+WORLDCUP!BD68</f>
        <v>Uzbekistán</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Ecuador</v>
      </c>
      <c r="D6" s="9" t="str">
        <f ca="1">+WORLDCUP!BD64</f>
        <v>Egipto</v>
      </c>
      <c r="E6" s="9" t="str">
        <f ca="1">+WORLDCUP!BD66</f>
        <v>Senegal</v>
      </c>
      <c r="F6" s="9" t="str">
        <f ca="1">+WORLDCUP!BD61</f>
        <v>Paraguay</v>
      </c>
      <c r="G6" s="9" t="str">
        <f ca="1">+WORLDCUP!BD67</f>
        <v>Austria</v>
      </c>
      <c r="H6" s="9" t="str">
        <f ca="1">+WORLDCUP!BD63</f>
        <v>Japón</v>
      </c>
      <c r="I6" s="9" t="str">
        <f ca="1">+WORLDCUP!BD69</f>
        <v>Ghana</v>
      </c>
      <c r="J6" s="9" t="str">
        <f ca="1">+WORLDCUP!BD68</f>
        <v>Uzbekistán</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Ecuador</v>
      </c>
      <c r="D7" s="9" t="str">
        <f ca="1">+WORLDCUP!BD64</f>
        <v>Egipto</v>
      </c>
      <c r="E7" s="9" t="str">
        <f ca="1">+WORLDCUP!BD67</f>
        <v>Austria</v>
      </c>
      <c r="F7" s="9" t="str">
        <f ca="1">+WORLDCUP!BD61</f>
        <v>Paraguay</v>
      </c>
      <c r="G7" s="9" t="str">
        <f ca="1">+WORLDCUP!BD65</f>
        <v>Arabia Saudita</v>
      </c>
      <c r="H7" s="9" t="str">
        <f ca="1">+WORLDCUP!BD63</f>
        <v>Japón</v>
      </c>
      <c r="I7" s="9" t="str">
        <f ca="1">+WORLDCUP!BD69</f>
        <v>Ghana</v>
      </c>
      <c r="J7" s="9" t="str">
        <f ca="1">+WORLDCUP!BD68</f>
        <v>Uzbekistán</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Egipto</v>
      </c>
      <c r="E8" s="9" t="str">
        <f ca="1">+WORLDCUP!BD66</f>
        <v>Senegal</v>
      </c>
      <c r="F8" s="9" t="str">
        <f ca="1">+WORLDCUP!BD61</f>
        <v>Paraguay</v>
      </c>
      <c r="G8" s="9" t="str">
        <f ca="1">+WORLDCUP!BD65</f>
        <v>Arabia Saudita</v>
      </c>
      <c r="H8" s="9" t="str">
        <f ca="1">+WORLDCUP!BD63</f>
        <v>Japón</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Egipto</v>
      </c>
      <c r="E9" s="9" t="str">
        <f ca="1">+WORLDCUP!BD67</f>
        <v>Austria</v>
      </c>
      <c r="F9" s="9" t="str">
        <f ca="1">+WORLDCUP!BD61</f>
        <v>Paraguay</v>
      </c>
      <c r="G9" s="9" t="str">
        <f ca="1">+WORLDCUP!BD65</f>
        <v>Arabia Saudita</v>
      </c>
      <c r="H9" s="9" t="str">
        <f ca="1">+WORLDCUP!BD63</f>
        <v>Japón</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Egipto</v>
      </c>
      <c r="E10" s="9" t="str">
        <f ca="1">+WORLDCUP!BD67</f>
        <v>Austria</v>
      </c>
      <c r="F10" s="9" t="str">
        <f ca="1">+WORLDCUP!BD61</f>
        <v>Paraguay</v>
      </c>
      <c r="G10" s="9" t="str">
        <f ca="1">+WORLDCUP!BD65</f>
        <v>Arabia Saudita</v>
      </c>
      <c r="H10" s="9" t="str">
        <f ca="1">+WORLDCUP!BD63</f>
        <v>Japón</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Egipto</v>
      </c>
      <c r="E11" s="9" t="str">
        <f ca="1">+WORLDCUP!BD66</f>
        <v>Senegal</v>
      </c>
      <c r="F11" s="9" t="str">
        <f ca="1">+WORLDCUP!BD60</f>
        <v>Escocia</v>
      </c>
      <c r="G11" s="9" t="str">
        <f ca="1">+WORLDCUP!BD67</f>
        <v>Austria</v>
      </c>
      <c r="H11" s="9" t="str">
        <f ca="1">+WORLDCUP!BD63</f>
        <v>Japón</v>
      </c>
      <c r="I11" s="9" t="str">
        <f ca="1">+WORLDCUP!BD69</f>
        <v>Ghana</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Ecuador</v>
      </c>
      <c r="D12" s="9" t="str">
        <f ca="1">+WORLDCUP!BD67</f>
        <v>Austria</v>
      </c>
      <c r="E12" s="9" t="str">
        <f ca="1">+WORLDCUP!BD66</f>
        <v>Senegal</v>
      </c>
      <c r="F12" s="9" t="str">
        <f ca="1">+WORLDCUP!BD60</f>
        <v>Escocia</v>
      </c>
      <c r="G12" s="9" t="str">
        <f ca="1">+WORLDCUP!BD65</f>
        <v>Arabia Saudita</v>
      </c>
      <c r="H12" s="9" t="str">
        <f ca="1">+WORLDCUP!BD64</f>
        <v>Egipto</v>
      </c>
      <c r="I12" s="9" t="str">
        <f ca="1">+WORLDCUP!BD69</f>
        <v>Ghana</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Ecuador</v>
      </c>
      <c r="D13" s="9" t="str">
        <f ca="1">+WORLDCUP!BD67</f>
        <v>Austria</v>
      </c>
      <c r="E13" s="9" t="str">
        <f ca="1">+WORLDCUP!BD66</f>
        <v>Senegal</v>
      </c>
      <c r="F13" s="9" t="str">
        <f ca="1">+WORLDCUP!BD60</f>
        <v>Escocia</v>
      </c>
      <c r="G13" s="9" t="str">
        <f ca="1">+WORLDCUP!BD65</f>
        <v>Arabia Saudita</v>
      </c>
      <c r="H13" s="9" t="str">
        <f ca="1">+WORLDCUP!BD63</f>
        <v>Japón</v>
      </c>
      <c r="I13" s="9" t="str">
        <f ca="1">+WORLDCUP!BD69</f>
        <v>Ghana</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Ecuador</v>
      </c>
      <c r="D14" s="9" t="str">
        <f ca="1">+WORLDCUP!BD64</f>
        <v>Egipto</v>
      </c>
      <c r="E14" s="9" t="str">
        <f ca="1">+WORLDCUP!BD66</f>
        <v>Senegal</v>
      </c>
      <c r="F14" s="9" t="str">
        <f ca="1">+WORLDCUP!BD60</f>
        <v>Escocia</v>
      </c>
      <c r="G14" s="9" t="str">
        <f ca="1">+WORLDCUP!BD67</f>
        <v>Austria</v>
      </c>
      <c r="H14" s="9" t="str">
        <f ca="1">+WORLDCUP!BD63</f>
        <v>Japón</v>
      </c>
      <c r="I14" s="9" t="str">
        <f ca="1">+WORLDCUP!BD69</f>
        <v>Ghana</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Ecuador</v>
      </c>
      <c r="D15" s="9" t="str">
        <f ca="1">+WORLDCUP!BD64</f>
        <v>Egipto</v>
      </c>
      <c r="E15" s="9" t="str">
        <f ca="1">+WORLDCUP!BD67</f>
        <v>Austria</v>
      </c>
      <c r="F15" s="9" t="str">
        <f ca="1">+WORLDCUP!BD60</f>
        <v>Escocia</v>
      </c>
      <c r="G15" s="9" t="str">
        <f ca="1">+WORLDCUP!BD65</f>
        <v>Arabia Saudita</v>
      </c>
      <c r="H15" s="9" t="str">
        <f ca="1">+WORLDCUP!BD63</f>
        <v>Japón</v>
      </c>
      <c r="I15" s="9" t="str">
        <f ca="1">+WORLDCUP!BD69</f>
        <v>Ghana</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Ecuador</v>
      </c>
      <c r="D16" s="9" t="str">
        <f ca="1">+WORLDCUP!BD64</f>
        <v>Egipto</v>
      </c>
      <c r="E16" s="9" t="str">
        <f ca="1">+WORLDCUP!BD66</f>
        <v>Senegal</v>
      </c>
      <c r="F16" s="9" t="str">
        <f ca="1">+WORLDCUP!BD60</f>
        <v>Escocia</v>
      </c>
      <c r="G16" s="9" t="str">
        <f ca="1">+WORLDCUP!BD65</f>
        <v>Arabia Saudita</v>
      </c>
      <c r="H16" s="9" t="str">
        <f ca="1">+WORLDCUP!BD63</f>
        <v>Japón</v>
      </c>
      <c r="I16" s="9" t="str">
        <f ca="1">+WORLDCUP!BD69</f>
        <v>Ghana</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Ecuador</v>
      </c>
      <c r="D17" s="9" t="str">
        <f ca="1">+WORLDCUP!BD64</f>
        <v>Egipto</v>
      </c>
      <c r="E17" s="9" t="str">
        <f ca="1">+WORLDCUP!BD67</f>
        <v>Austria</v>
      </c>
      <c r="F17" s="9" t="str">
        <f ca="1">+WORLDCUP!BD60</f>
        <v>Escocia</v>
      </c>
      <c r="G17" s="9" t="str">
        <f ca="1">+WORLDCUP!BD65</f>
        <v>Arabia Saudita</v>
      </c>
      <c r="H17" s="9" t="str">
        <f ca="1">+WORLDCUP!BD63</f>
        <v>Japón</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Ecuador</v>
      </c>
      <c r="D18" s="9" t="str">
        <f ca="1">+WORLDCUP!BD64</f>
        <v>Egipto</v>
      </c>
      <c r="E18" s="9" t="str">
        <f ca="1">+WORLDCUP!BD67</f>
        <v>Austria</v>
      </c>
      <c r="F18" s="9" t="str">
        <f ca="1">+WORLDCUP!BD60</f>
        <v>Escocia</v>
      </c>
      <c r="G18" s="9" t="str">
        <f ca="1">+WORLDCUP!BD65</f>
        <v>Arabia Saudita</v>
      </c>
      <c r="H18" s="9" t="str">
        <f ca="1">+WORLDCUP!BD63</f>
        <v>Japón</v>
      </c>
      <c r="I18" s="9" t="str">
        <f ca="1">+WORLDCUP!BD66</f>
        <v>Senegal</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Egipto</v>
      </c>
      <c r="E19" s="9" t="str">
        <f ca="1">+WORLDCUP!BD66</f>
        <v>Senegal</v>
      </c>
      <c r="F19" s="9" t="str">
        <f ca="1">+WORLDCUP!BD60</f>
        <v>Escocia</v>
      </c>
      <c r="G19" s="9" t="str">
        <f ca="1">+WORLDCUP!BD67</f>
        <v>Austria</v>
      </c>
      <c r="H19" s="9" t="str">
        <f ca="1">+WORLDCUP!BD61</f>
        <v>Paraguay</v>
      </c>
      <c r="I19" s="9" t="str">
        <f ca="1">+WORLDCUP!BD69</f>
        <v>Ghana</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Austria</v>
      </c>
      <c r="E20" s="9" t="str">
        <f ca="1">+WORLDCUP!BD66</f>
        <v>Senegal</v>
      </c>
      <c r="F20" s="9" t="str">
        <f ca="1">+WORLDCUP!BD61</f>
        <v>Paraguay</v>
      </c>
      <c r="G20" s="9" t="str">
        <f ca="1">+WORLDCUP!BD65</f>
        <v>Arabia Saudita</v>
      </c>
      <c r="H20" s="9" t="str">
        <f ca="1">+WORLDCUP!BD63</f>
        <v>Japón</v>
      </c>
      <c r="I20" s="9" t="str">
        <f ca="1">+WORLDCUP!BD69</f>
        <v>Ghana</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Egipto</v>
      </c>
      <c r="E21" s="9" t="str">
        <f ca="1">+WORLDCUP!BD66</f>
        <v>Senegal</v>
      </c>
      <c r="F21" s="9" t="str">
        <f ca="1">+WORLDCUP!BD61</f>
        <v>Paraguay</v>
      </c>
      <c r="G21" s="9" t="str">
        <f ca="1">+WORLDCUP!BD67</f>
        <v>Austria</v>
      </c>
      <c r="H21" s="9" t="str">
        <f ca="1">+WORLDCUP!BD63</f>
        <v>Japón</v>
      </c>
      <c r="I21" s="9" t="str">
        <f ca="1">+WORLDCUP!BD69</f>
        <v>Ghana</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Egipto</v>
      </c>
      <c r="E22" s="9" t="str">
        <f ca="1">+WORLDCUP!BD67</f>
        <v>Austria</v>
      </c>
      <c r="F22" s="9" t="str">
        <f ca="1">+WORLDCUP!BD61</f>
        <v>Paraguay</v>
      </c>
      <c r="G22" s="9" t="str">
        <f ca="1">+WORLDCUP!BD65</f>
        <v>Arabia Saudita</v>
      </c>
      <c r="H22" s="9" t="str">
        <f ca="1">+WORLDCUP!BD63</f>
        <v>Japón</v>
      </c>
      <c r="I22" s="9" t="str">
        <f ca="1">+WORLDCUP!BD69</f>
        <v>Ghana</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Egipto</v>
      </c>
      <c r="E23" s="9" t="str">
        <f ca="1">+WORLDCUP!BD66</f>
        <v>Senegal</v>
      </c>
      <c r="F23" s="9" t="str">
        <f ca="1">+WORLDCUP!BD61</f>
        <v>Paraguay</v>
      </c>
      <c r="G23" s="9" t="str">
        <f ca="1">+WORLDCUP!BD65</f>
        <v>Arabia Saudita</v>
      </c>
      <c r="H23" s="9" t="str">
        <f ca="1">+WORLDCUP!BD63</f>
        <v>Japón</v>
      </c>
      <c r="I23" s="9" t="str">
        <f ca="1">+WORLDCUP!BD69</f>
        <v>Ghana</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Egipto</v>
      </c>
      <c r="E24" s="9" t="str">
        <f ca="1">+WORLDCUP!BD67</f>
        <v>Austria</v>
      </c>
      <c r="F24" s="9" t="str">
        <f ca="1">+WORLDCUP!BD61</f>
        <v>Paraguay</v>
      </c>
      <c r="G24" s="9" t="str">
        <f ca="1">+WORLDCUP!BD65</f>
        <v>Arabia Saudita</v>
      </c>
      <c r="H24" s="9" t="str">
        <f ca="1">+WORLDCUP!BD63</f>
        <v>Japón</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Egipto</v>
      </c>
      <c r="E25" s="9" t="str">
        <f ca="1">+WORLDCUP!BD67</f>
        <v>Austria</v>
      </c>
      <c r="F25" s="9" t="str">
        <f ca="1">+WORLDCUP!BD61</f>
        <v>Paraguay</v>
      </c>
      <c r="G25" s="9" t="str">
        <f ca="1">+WORLDCUP!BD65</f>
        <v>Arabia Saudita</v>
      </c>
      <c r="H25" s="9" t="str">
        <f ca="1">+WORLDCUP!BD63</f>
        <v>Japón</v>
      </c>
      <c r="I25" s="9" t="str">
        <f ca="1">+WORLDCUP!BD66</f>
        <v>Senegal</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Ecuador</v>
      </c>
      <c r="D26" s="9" t="str">
        <f ca="1">+WORLDCUP!BD67</f>
        <v>Austria</v>
      </c>
      <c r="E26" s="9" t="str">
        <f ca="1">+WORLDCUP!BD66</f>
        <v>Senegal</v>
      </c>
      <c r="F26" s="9" t="str">
        <f ca="1">+WORLDCUP!BD60</f>
        <v>Escocia</v>
      </c>
      <c r="G26" s="9" t="str">
        <f ca="1">+WORLDCUP!BD65</f>
        <v>Arabia Saudita</v>
      </c>
      <c r="H26" s="9" t="str">
        <f ca="1">+WORLDCUP!BD61</f>
        <v>Paraguay</v>
      </c>
      <c r="I26" s="9" t="str">
        <f ca="1">+WORLDCUP!BD69</f>
        <v>Ghana</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Ecuador</v>
      </c>
      <c r="D27" s="9" t="str">
        <f ca="1">+WORLDCUP!BD64</f>
        <v>Egipto</v>
      </c>
      <c r="E27" s="9" t="str">
        <f ca="1">+WORLDCUP!BD66</f>
        <v>Senegal</v>
      </c>
      <c r="F27" s="9" t="str">
        <f ca="1">+WORLDCUP!BD60</f>
        <v>Escocia</v>
      </c>
      <c r="G27" s="9" t="str">
        <f ca="1">+WORLDCUP!BD67</f>
        <v>Austria</v>
      </c>
      <c r="H27" s="9" t="str">
        <f ca="1">+WORLDCUP!BD61</f>
        <v>Paraguay</v>
      </c>
      <c r="I27" s="9" t="str">
        <f ca="1">+WORLDCUP!BD69</f>
        <v>Ghana</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Ecuador</v>
      </c>
      <c r="D28" s="9" t="str">
        <f ca="1">+WORLDCUP!BD64</f>
        <v>Egipto</v>
      </c>
      <c r="E28" s="9" t="str">
        <f ca="1">+WORLDCUP!BD67</f>
        <v>Austria</v>
      </c>
      <c r="F28" s="9" t="str">
        <f ca="1">+WORLDCUP!BD60</f>
        <v>Escocia</v>
      </c>
      <c r="G28" s="9" t="str">
        <f ca="1">+WORLDCUP!BD65</f>
        <v>Arabia Saudita</v>
      </c>
      <c r="H28" s="9" t="str">
        <f ca="1">+WORLDCUP!BD61</f>
        <v>Paraguay</v>
      </c>
      <c r="I28" s="9" t="str">
        <f ca="1">+WORLDCUP!BD69</f>
        <v>Ghana</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Ecuador</v>
      </c>
      <c r="D29" s="9" t="str">
        <f ca="1">+WORLDCUP!BD64</f>
        <v>Egipto</v>
      </c>
      <c r="E29" s="9" t="str">
        <f ca="1">+WORLDCUP!BD66</f>
        <v>Senegal</v>
      </c>
      <c r="F29" s="9" t="str">
        <f ca="1">+WORLDCUP!BD60</f>
        <v>Escocia</v>
      </c>
      <c r="G29" s="9" t="str">
        <f ca="1">+WORLDCUP!BD65</f>
        <v>Arabia Saudita</v>
      </c>
      <c r="H29" s="9" t="str">
        <f ca="1">+WORLDCUP!BD61</f>
        <v>Paraguay</v>
      </c>
      <c r="I29" s="9" t="str">
        <f ca="1">+WORLDCUP!BD69</f>
        <v>Ghana</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Ecuador</v>
      </c>
      <c r="D30" s="9" t="str">
        <f ca="1">+WORLDCUP!BD64</f>
        <v>Egipto</v>
      </c>
      <c r="E30" s="9" t="str">
        <f ca="1">+WORLDCUP!BD67</f>
        <v>Austria</v>
      </c>
      <c r="F30" s="9" t="str">
        <f ca="1">+WORLDCUP!BD60</f>
        <v>Escocia</v>
      </c>
      <c r="G30" s="9" t="str">
        <f ca="1">+WORLDCUP!BD65</f>
        <v>Arabia Saudita</v>
      </c>
      <c r="H30" s="9" t="str">
        <f ca="1">+WORLDCUP!BD61</f>
        <v>Paraguay</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Ecuador</v>
      </c>
      <c r="D31" s="9" t="str">
        <f ca="1">+WORLDCUP!BD64</f>
        <v>Egipto</v>
      </c>
      <c r="E31" s="9" t="str">
        <f ca="1">+WORLDCUP!BD67</f>
        <v>Austria</v>
      </c>
      <c r="F31" s="9" t="str">
        <f ca="1">+WORLDCUP!BD60</f>
        <v>Escocia</v>
      </c>
      <c r="G31" s="9" t="str">
        <f ca="1">+WORLDCUP!BD65</f>
        <v>Arabia Saudita</v>
      </c>
      <c r="H31" s="9" t="str">
        <f ca="1">+WORLDCUP!BD61</f>
        <v>Paraguay</v>
      </c>
      <c r="I31" s="9" t="str">
        <f ca="1">+WORLDCUP!BD66</f>
        <v>Senegal</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Austria</v>
      </c>
      <c r="E32" s="9" t="str">
        <f ca="1">+WORLDCUP!BD62</f>
        <v>Ecuador</v>
      </c>
      <c r="F32" s="9" t="str">
        <f ca="1">+WORLDCUP!BD61</f>
        <v>Paraguay</v>
      </c>
      <c r="G32" s="9" t="str">
        <f ca="1">+WORLDCUP!BD66</f>
        <v>Senegal</v>
      </c>
      <c r="H32" s="9" t="str">
        <f ca="1">+WORLDCUP!BD63</f>
        <v>Japón</v>
      </c>
      <c r="I32" s="9" t="str">
        <f ca="1">+WORLDCUP!BD69</f>
        <v>Ghana</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Austria</v>
      </c>
      <c r="E33" s="9" t="str">
        <f ca="1">+WORLDCUP!BD62</f>
        <v>Ecuador</v>
      </c>
      <c r="F33" s="9" t="str">
        <f ca="1">+WORLDCUP!BD61</f>
        <v>Paraguay</v>
      </c>
      <c r="G33" s="9" t="str">
        <f ca="1">+WORLDCUP!BD65</f>
        <v>Arabia Saudita</v>
      </c>
      <c r="H33" s="9" t="str">
        <f ca="1">+WORLDCUP!BD63</f>
        <v>Japón</v>
      </c>
      <c r="I33" s="9" t="str">
        <f ca="1">+WORLDCUP!BD69</f>
        <v>Ghana</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Ecuador</v>
      </c>
      <c r="E34" s="9" t="str">
        <f ca="1">+WORLDCUP!BD66</f>
        <v>Senegal</v>
      </c>
      <c r="F34" s="9" t="str">
        <f ca="1">+WORLDCUP!BD61</f>
        <v>Paraguay</v>
      </c>
      <c r="G34" s="9" t="str">
        <f ca="1">+WORLDCUP!BD65</f>
        <v>Arabia Saudita</v>
      </c>
      <c r="H34" s="9" t="str">
        <f ca="1">+WORLDCUP!BD63</f>
        <v>Japón</v>
      </c>
      <c r="I34" s="9" t="str">
        <f ca="1">+WORLDCUP!BD69</f>
        <v>Ghana</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Austria</v>
      </c>
      <c r="E35" s="9" t="str">
        <f ca="1">+WORLDCUP!BD62</f>
        <v>Ecuador</v>
      </c>
      <c r="F35" s="9" t="str">
        <f ca="1">+WORLDCUP!BD61</f>
        <v>Paraguay</v>
      </c>
      <c r="G35" s="9" t="str">
        <f ca="1">+WORLDCUP!BD65</f>
        <v>Arabia Saudita</v>
      </c>
      <c r="H35" s="9" t="str">
        <f ca="1">+WORLDCUP!BD63</f>
        <v>Japón</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Austria</v>
      </c>
      <c r="E36" s="9" t="str">
        <f ca="1">+WORLDCUP!BD62</f>
        <v>Ecuador</v>
      </c>
      <c r="F36" s="9" t="str">
        <f ca="1">+WORLDCUP!BD61</f>
        <v>Paraguay</v>
      </c>
      <c r="G36" s="9" t="str">
        <f ca="1">+WORLDCUP!BD65</f>
        <v>Arabia Saudita</v>
      </c>
      <c r="H36" s="9" t="str">
        <f ca="1">+WORLDCUP!BD63</f>
        <v>Japón</v>
      </c>
      <c r="I36" s="9" t="str">
        <f ca="1">+WORLDCUP!BD66</f>
        <v>Senegal</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Egipto</v>
      </c>
      <c r="E37" s="9" t="str">
        <f ca="1">+WORLDCUP!BD62</f>
        <v>Ecuador</v>
      </c>
      <c r="F37" s="9" t="str">
        <f ca="1">+WORLDCUP!BD61</f>
        <v>Paraguay</v>
      </c>
      <c r="G37" s="9" t="str">
        <f ca="1">+WORLDCUP!BD67</f>
        <v>Austria</v>
      </c>
      <c r="H37" s="9" t="str">
        <f ca="1">+WORLDCUP!BD63</f>
        <v>Japón</v>
      </c>
      <c r="I37" s="9" t="str">
        <f ca="1">+WORLDCUP!BD69</f>
        <v>Ghana</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Egipto</v>
      </c>
      <c r="E38" s="9" t="str">
        <f ca="1">+WORLDCUP!BD62</f>
        <v>Ecuador</v>
      </c>
      <c r="F38" s="9" t="str">
        <f ca="1">+WORLDCUP!BD61</f>
        <v>Paraguay</v>
      </c>
      <c r="G38" s="9" t="str">
        <f ca="1">+WORLDCUP!BD66</f>
        <v>Senegal</v>
      </c>
      <c r="H38" s="9" t="str">
        <f ca="1">+WORLDCUP!BD63</f>
        <v>Japón</v>
      </c>
      <c r="I38" s="9" t="str">
        <f ca="1">+WORLDCUP!BD69</f>
        <v>Ghana</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Egipto</v>
      </c>
      <c r="E39" s="9" t="str">
        <f ca="1">+WORLDCUP!BD62</f>
        <v>Ecuador</v>
      </c>
      <c r="F39" s="9" t="str">
        <f ca="1">+WORLDCUP!BD61</f>
        <v>Paraguay</v>
      </c>
      <c r="G39" s="9" t="str">
        <f ca="1">+WORLDCUP!BD67</f>
        <v>Austria</v>
      </c>
      <c r="H39" s="9" t="str">
        <f ca="1">+WORLDCUP!BD63</f>
        <v>Japón</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Egipto</v>
      </c>
      <c r="E40" s="9" t="str">
        <f ca="1">+WORLDCUP!BD62</f>
        <v>Ecuador</v>
      </c>
      <c r="F40" s="9" t="str">
        <f ca="1">+WORLDCUP!BD61</f>
        <v>Paraguay</v>
      </c>
      <c r="G40" s="9" t="str">
        <f ca="1">+WORLDCUP!BD67</f>
        <v>Austria</v>
      </c>
      <c r="H40" s="9" t="str">
        <f ca="1">+WORLDCUP!BD63</f>
        <v>Japón</v>
      </c>
      <c r="I40" s="9" t="str">
        <f ca="1">+WORLDCUP!BD66</f>
        <v>Senegal</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Egipto</v>
      </c>
      <c r="E41" s="9" t="str">
        <f ca="1">+WORLDCUP!BD62</f>
        <v>Ecuador</v>
      </c>
      <c r="F41" s="9" t="str">
        <f ca="1">+WORLDCUP!BD61</f>
        <v>Paraguay</v>
      </c>
      <c r="G41" s="9" t="str">
        <f ca="1">+WORLDCUP!BD65</f>
        <v>Arabia Saudita</v>
      </c>
      <c r="H41" s="9" t="str">
        <f ca="1">+WORLDCUP!BD63</f>
        <v>Japón</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Egipto</v>
      </c>
      <c r="E42" s="9" t="str">
        <f ca="1">+WORLDCUP!BD67</f>
        <v>Austria</v>
      </c>
      <c r="F42" s="9" t="str">
        <f ca="1">+WORLDCUP!BD61</f>
        <v>Paraguay</v>
      </c>
      <c r="G42" s="9" t="str">
        <f ca="1">+WORLDCUP!BD65</f>
        <v>Arabia Saudita</v>
      </c>
      <c r="H42" s="9" t="str">
        <f ca="1">+WORLDCUP!BD63</f>
        <v>Japón</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Egipto</v>
      </c>
      <c r="E43" s="9" t="str">
        <f ca="1">+WORLDCUP!BD67</f>
        <v>Austria</v>
      </c>
      <c r="F43" s="9" t="str">
        <f ca="1">+WORLDCUP!BD61</f>
        <v>Paraguay</v>
      </c>
      <c r="G43" s="9" t="str">
        <f ca="1">+WORLDCUP!BD65</f>
        <v>Arabia Saudita</v>
      </c>
      <c r="H43" s="9" t="str">
        <f ca="1">+WORLDCUP!BD63</f>
        <v>Japón</v>
      </c>
      <c r="I43" s="9" t="str">
        <f ca="1">+WORLDCUP!BD62</f>
        <v>Ecuador</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Egipto</v>
      </c>
      <c r="E44" s="9" t="str">
        <f ca="1">+WORLDCUP!BD62</f>
        <v>Ecuador</v>
      </c>
      <c r="F44" s="9" t="str">
        <f ca="1">+WORLDCUP!BD61</f>
        <v>Paraguay</v>
      </c>
      <c r="G44" s="9" t="str">
        <f ca="1">+WORLDCUP!BD65</f>
        <v>Arabia Saudita</v>
      </c>
      <c r="H44" s="9" t="str">
        <f ca="1">+WORLDCUP!BD63</f>
        <v>Japón</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Egipto</v>
      </c>
      <c r="E45" s="9" t="str">
        <f ca="1">+WORLDCUP!BD62</f>
        <v>Ecuador</v>
      </c>
      <c r="F45" s="9" t="str">
        <f ca="1">+WORLDCUP!BD61</f>
        <v>Paraguay</v>
      </c>
      <c r="G45" s="9" t="str">
        <f ca="1">+WORLDCUP!BD65</f>
        <v>Arabia Saudita</v>
      </c>
      <c r="H45" s="9" t="str">
        <f ca="1">+WORLDCUP!BD63</f>
        <v>Japón</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Egipto</v>
      </c>
      <c r="E46" s="9" t="str">
        <f ca="1">+WORLDCUP!BD67</f>
        <v>Austria</v>
      </c>
      <c r="F46" s="9" t="str">
        <f ca="1">+WORLDCUP!BD61</f>
        <v>Paraguay</v>
      </c>
      <c r="G46" s="9" t="str">
        <f ca="1">+WORLDCUP!BD65</f>
        <v>Arabia Saudita</v>
      </c>
      <c r="H46" s="9" t="str">
        <f ca="1">+WORLDCUP!BD63</f>
        <v>Japón</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Austria</v>
      </c>
      <c r="E47" s="9" t="str">
        <f ca="1">+WORLDCUP!BD59</f>
        <v>Bosnia y Herzegovina</v>
      </c>
      <c r="F47" s="9" t="str">
        <f ca="1">+WORLDCUP!BD63</f>
        <v>Japón</v>
      </c>
      <c r="G47" s="9" t="str">
        <f ca="1">+WORLDCUP!BD66</f>
        <v>Senegal</v>
      </c>
      <c r="H47" s="9" t="str">
        <f ca="1">+WORLDCUP!BD64</f>
        <v>Egipto</v>
      </c>
      <c r="I47" s="9" t="str">
        <f ca="1">+WORLDCUP!BD69</f>
        <v>Ghana</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Ecuador</v>
      </c>
      <c r="D48" s="9" t="str">
        <f ca="1">+WORLDCUP!BD67</f>
        <v>Austria</v>
      </c>
      <c r="E48" s="9" t="str">
        <f ca="1">+WORLDCUP!BD66</f>
        <v>Senegal</v>
      </c>
      <c r="F48" s="9" t="str">
        <f ca="1">+WORLDCUP!BD59</f>
        <v>Bosnia y Herzegovina</v>
      </c>
      <c r="G48" s="9" t="str">
        <f ca="1">+WORLDCUP!BD65</f>
        <v>Arabia Saudita</v>
      </c>
      <c r="H48" s="9" t="str">
        <f ca="1">+WORLDCUP!BD64</f>
        <v>Egipto</v>
      </c>
      <c r="I48" s="9" t="str">
        <f ca="1">+WORLDCUP!BD69</f>
        <v>Ghana</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Ecuador</v>
      </c>
      <c r="D49" s="9" t="str">
        <f ca="1">+WORLDCUP!BD67</f>
        <v>Austria</v>
      </c>
      <c r="E49" s="9" t="str">
        <f ca="1">+WORLDCUP!BD59</f>
        <v>Bosnia y Herzegovina</v>
      </c>
      <c r="F49" s="9" t="str">
        <f ca="1">+WORLDCUP!BD63</f>
        <v>Japón</v>
      </c>
      <c r="G49" s="9" t="str">
        <f ca="1">+WORLDCUP!BD66</f>
        <v>Senegal</v>
      </c>
      <c r="H49" s="9" t="str">
        <f ca="1">+WORLDCUP!BD65</f>
        <v>Arabia Saudita</v>
      </c>
      <c r="I49" s="9" t="str">
        <f ca="1">+WORLDCUP!BD69</f>
        <v>Ghana</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Ecuador</v>
      </c>
      <c r="D50" s="9" t="str">
        <f ca="1">+WORLDCUP!BD67</f>
        <v>Austria</v>
      </c>
      <c r="E50" s="9" t="str">
        <f ca="1">+WORLDCUP!BD59</f>
        <v>Bosnia y Herzegovina</v>
      </c>
      <c r="F50" s="9" t="str">
        <f ca="1">+WORLDCUP!BD63</f>
        <v>Japón</v>
      </c>
      <c r="G50" s="9" t="str">
        <f ca="1">+WORLDCUP!BD66</f>
        <v>Senegal</v>
      </c>
      <c r="H50" s="9" t="str">
        <f ca="1">+WORLDCUP!BD64</f>
        <v>Egipto</v>
      </c>
      <c r="I50" s="9" t="str">
        <f ca="1">+WORLDCUP!BD69</f>
        <v>Ghana</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Ecuador</v>
      </c>
      <c r="D51" s="9" t="str">
        <f ca="1">+WORLDCUP!BD67</f>
        <v>Austria</v>
      </c>
      <c r="E51" s="9" t="str">
        <f ca="1">+WORLDCUP!BD59</f>
        <v>Bosnia y Herzegovina</v>
      </c>
      <c r="F51" s="9" t="str">
        <f ca="1">+WORLDCUP!BD63</f>
        <v>Japón</v>
      </c>
      <c r="G51" s="9" t="str">
        <f ca="1">+WORLDCUP!BD65</f>
        <v>Arabia Saudita</v>
      </c>
      <c r="H51" s="9" t="str">
        <f ca="1">+WORLDCUP!BD64</f>
        <v>Egipto</v>
      </c>
      <c r="I51" s="9" t="str">
        <f ca="1">+WORLDCUP!BD69</f>
        <v>Ghana</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Ecuador</v>
      </c>
      <c r="D52" s="9" t="str">
        <f ca="1">+WORLDCUP!BD64</f>
        <v>Egipto</v>
      </c>
      <c r="E52" s="9" t="str">
        <f ca="1">+WORLDCUP!BD59</f>
        <v>Bosnia y Herzegovina</v>
      </c>
      <c r="F52" s="9" t="str">
        <f ca="1">+WORLDCUP!BD63</f>
        <v>Japón</v>
      </c>
      <c r="G52" s="9" t="str">
        <f ca="1">+WORLDCUP!BD66</f>
        <v>Senegal</v>
      </c>
      <c r="H52" s="9" t="str">
        <f ca="1">+WORLDCUP!BD65</f>
        <v>Arabia Saudita</v>
      </c>
      <c r="I52" s="9" t="str">
        <f ca="1">+WORLDCUP!BD69</f>
        <v>Ghana</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Ecuador</v>
      </c>
      <c r="D53" s="9" t="str">
        <f ca="1">+WORLDCUP!BD67</f>
        <v>Austria</v>
      </c>
      <c r="E53" s="9" t="str">
        <f ca="1">+WORLDCUP!BD59</f>
        <v>Bosnia y Herzegovina</v>
      </c>
      <c r="F53" s="9" t="str">
        <f ca="1">+WORLDCUP!BD63</f>
        <v>Japón</v>
      </c>
      <c r="G53" s="9" t="str">
        <f ca="1">+WORLDCUP!BD65</f>
        <v>Arabia Saudita</v>
      </c>
      <c r="H53" s="9" t="str">
        <f ca="1">+WORLDCUP!BD64</f>
        <v>Egipto</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Ecuador</v>
      </c>
      <c r="D54" s="9" t="str">
        <f ca="1">+WORLDCUP!BD67</f>
        <v>Austria</v>
      </c>
      <c r="E54" s="9" t="str">
        <f ca="1">+WORLDCUP!BD59</f>
        <v>Bosnia y Herzegovina</v>
      </c>
      <c r="F54" s="9" t="str">
        <f ca="1">+WORLDCUP!BD63</f>
        <v>Japón</v>
      </c>
      <c r="G54" s="9" t="str">
        <f ca="1">+WORLDCUP!BD65</f>
        <v>Arabia Saudita</v>
      </c>
      <c r="H54" s="9" t="str">
        <f ca="1">+WORLDCUP!BD64</f>
        <v>Egipto</v>
      </c>
      <c r="I54" s="9" t="str">
        <f ca="1">+WORLDCUP!BD66</f>
        <v>Senegal</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Austria</v>
      </c>
      <c r="E55" s="9" t="str">
        <f ca="1">+WORLDCUP!BD59</f>
        <v>Bosnia y Herzegovina</v>
      </c>
      <c r="F55" s="9" t="str">
        <f ca="1">+WORLDCUP!BD61</f>
        <v>Paraguay</v>
      </c>
      <c r="G55" s="9" t="str">
        <f ca="1">+WORLDCUP!BD66</f>
        <v>Senegal</v>
      </c>
      <c r="H55" s="9" t="str">
        <f ca="1">+WORLDCUP!BD64</f>
        <v>Egipto</v>
      </c>
      <c r="I55" s="9" t="str">
        <f ca="1">+WORLDCUP!BD69</f>
        <v>Ghana</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Austria</v>
      </c>
      <c r="E56" s="9" t="str">
        <f ca="1">+WORLDCUP!BD59</f>
        <v>Bosnia y Herzegovina</v>
      </c>
      <c r="F56" s="9" t="str">
        <f ca="1">+WORLDCUP!BD61</f>
        <v>Paraguay</v>
      </c>
      <c r="G56" s="9" t="str">
        <f ca="1">+WORLDCUP!BD66</f>
        <v>Senegal</v>
      </c>
      <c r="H56" s="9" t="str">
        <f ca="1">+WORLDCUP!BD63</f>
        <v>Japón</v>
      </c>
      <c r="I56" s="9" t="str">
        <f ca="1">+WORLDCUP!BD69</f>
        <v>Ghana</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Egipto</v>
      </c>
      <c r="E57" s="9" t="str">
        <f ca="1">+WORLDCUP!BD59</f>
        <v>Bosnia y Herzegovina</v>
      </c>
      <c r="F57" s="9" t="str">
        <f ca="1">+WORLDCUP!BD61</f>
        <v>Paraguay</v>
      </c>
      <c r="G57" s="9" t="str">
        <f ca="1">+WORLDCUP!BD67</f>
        <v>Austria</v>
      </c>
      <c r="H57" s="9" t="str">
        <f ca="1">+WORLDCUP!BD63</f>
        <v>Japón</v>
      </c>
      <c r="I57" s="9" t="str">
        <f ca="1">+WORLDCUP!BD69</f>
        <v>Ghana</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Egipto</v>
      </c>
      <c r="E58" s="9" t="str">
        <f ca="1">+WORLDCUP!BD59</f>
        <v>Bosnia y Herzegovina</v>
      </c>
      <c r="F58" s="9" t="str">
        <f ca="1">+WORLDCUP!BD61</f>
        <v>Paraguay</v>
      </c>
      <c r="G58" s="9" t="str">
        <f ca="1">+WORLDCUP!BD67</f>
        <v>Austria</v>
      </c>
      <c r="H58" s="9" t="str">
        <f ca="1">+WORLDCUP!BD63</f>
        <v>Japón</v>
      </c>
      <c r="I58" s="9" t="str">
        <f ca="1">+WORLDCUP!BD69</f>
        <v>Ghana</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Egipto</v>
      </c>
      <c r="E59" s="9" t="str">
        <f ca="1">+WORLDCUP!BD59</f>
        <v>Bosnia y Herzegovina</v>
      </c>
      <c r="F59" s="9" t="str">
        <f ca="1">+WORLDCUP!BD61</f>
        <v>Paraguay</v>
      </c>
      <c r="G59" s="9" t="str">
        <f ca="1">+WORLDCUP!BD66</f>
        <v>Senegal</v>
      </c>
      <c r="H59" s="9" t="str">
        <f ca="1">+WORLDCUP!BD63</f>
        <v>Japón</v>
      </c>
      <c r="I59" s="9" t="str">
        <f ca="1">+WORLDCUP!BD69</f>
        <v>Ghana</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Egipto</v>
      </c>
      <c r="E60" s="9" t="str">
        <f ca="1">+WORLDCUP!BD59</f>
        <v>Bosnia y Herzegovina</v>
      </c>
      <c r="F60" s="9" t="str">
        <f ca="1">+WORLDCUP!BD61</f>
        <v>Paraguay</v>
      </c>
      <c r="G60" s="9" t="str">
        <f ca="1">+WORLDCUP!BD67</f>
        <v>Austria</v>
      </c>
      <c r="H60" s="9" t="str">
        <f ca="1">+WORLDCUP!BD63</f>
        <v>Japón</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Egipto</v>
      </c>
      <c r="E61" s="9" t="str">
        <f ca="1">+WORLDCUP!BD59</f>
        <v>Bosnia y Herzegovina</v>
      </c>
      <c r="F61" s="9" t="str">
        <f ca="1">+WORLDCUP!BD61</f>
        <v>Paraguay</v>
      </c>
      <c r="G61" s="9" t="str">
        <f ca="1">+WORLDCUP!BD67</f>
        <v>Austria</v>
      </c>
      <c r="H61" s="9" t="str">
        <f ca="1">+WORLDCUP!BD63</f>
        <v>Japón</v>
      </c>
      <c r="I61" s="9" t="str">
        <f ca="1">+WORLDCUP!BD66</f>
        <v>Senegal</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Ecuador</v>
      </c>
      <c r="D62" s="9" t="str">
        <f ca="1">+WORLDCUP!BD67</f>
        <v>Austria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Ecuador</v>
      </c>
      <c r="D63" s="9" t="str">
        <f ca="1">+WORLDCUP!BD67</f>
        <v>Austria</v>
      </c>
      <c r="E63" s="9" t="str">
        <f ca="1">+WORLDCUP!BD59</f>
        <v>Bosnia y Herzegovina</v>
      </c>
      <c r="F63" s="9" t="str">
        <f ca="1">+WORLDCUP!BD61</f>
        <v>Paraguay</v>
      </c>
      <c r="G63" s="9" t="str">
        <f ca="1">+WORLDCUP!BD66</f>
        <v>Senegal</v>
      </c>
      <c r="H63" s="9" t="str">
        <f ca="1">+WORLDCUP!BD64</f>
        <v>Egipto</v>
      </c>
      <c r="I63" s="9" t="str">
        <f ca="1">+WORLDCUP!BD69</f>
        <v>Ghana</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Ecuador</v>
      </c>
      <c r="D64" s="9" t="str">
        <f ca="1">+WORLDCUP!BD67</f>
        <v>Austria</v>
      </c>
      <c r="E64" s="9" t="str">
        <f ca="1">+WORLDCUP!BD59</f>
        <v>Bosnia y Herzegovina</v>
      </c>
      <c r="F64" s="9" t="str">
        <f ca="1">+WORLDCUP!BD61</f>
        <v>Paraguay</v>
      </c>
      <c r="G64" s="9" t="str">
        <f ca="1">+WORLDCUP!BD65</f>
        <v>Arabia Saudita</v>
      </c>
      <c r="H64" s="9" t="str">
        <f ca="1">+WORLDCUP!BD64</f>
        <v>Egipto</v>
      </c>
      <c r="I64" s="9" t="str">
        <f ca="1">+WORLDCUP!BD69</f>
        <v>Ghana</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Ecuador</v>
      </c>
      <c r="D65" s="9" t="str">
        <f ca="1">+WORLDCUP!BD64</f>
        <v>Egipto</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Ecuador</v>
      </c>
      <c r="D66" s="9" t="str">
        <f ca="1">+WORLDCUP!BD67</f>
        <v>Austria</v>
      </c>
      <c r="E66" s="9" t="str">
        <f ca="1">+WORLDCUP!BD59</f>
        <v>Bosnia y Herzegovina</v>
      </c>
      <c r="F66" s="9" t="str">
        <f ca="1">+WORLDCUP!BD61</f>
        <v>Paraguay</v>
      </c>
      <c r="G66" s="9" t="str">
        <f ca="1">+WORLDCUP!BD65</f>
        <v>Arabia Saudita</v>
      </c>
      <c r="H66" s="9" t="str">
        <f ca="1">+WORLDCUP!BD64</f>
        <v>Egipto</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Ecuador</v>
      </c>
      <c r="D67" s="9" t="str">
        <f ca="1">+WORLDCUP!BD67</f>
        <v>Austria</v>
      </c>
      <c r="E67" s="9" t="str">
        <f ca="1">+WORLDCUP!BD59</f>
        <v>Bosnia y Herzegovina</v>
      </c>
      <c r="F67" s="9" t="str">
        <f ca="1">+WORLDCUP!BD61</f>
        <v>Paraguay</v>
      </c>
      <c r="G67" s="9" t="str">
        <f ca="1">+WORLDCUP!BD65</f>
        <v>Arabia Saudita</v>
      </c>
      <c r="H67" s="9" t="str">
        <f ca="1">+WORLDCUP!BD64</f>
        <v>Egipto</v>
      </c>
      <c r="I67" s="9" t="str">
        <f ca="1">+WORLDCUP!BD66</f>
        <v>Senegal</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Ecuador</v>
      </c>
      <c r="D68" s="9" t="str">
        <f ca="1">+WORLDCUP!BD67</f>
        <v>Austria</v>
      </c>
      <c r="E68" s="9" t="str">
        <f ca="1">+WORLDCUP!BD59</f>
        <v>Bosnia y Herzegovina</v>
      </c>
      <c r="F68" s="9" t="str">
        <f ca="1">+WORLDCUP!BD61</f>
        <v>Paraguay</v>
      </c>
      <c r="G68" s="9" t="str">
        <f ca="1">+WORLDCUP!BD66</f>
        <v>Senegal</v>
      </c>
      <c r="H68" s="9" t="str">
        <f ca="1">+WORLDCUP!BD63</f>
        <v>Japón</v>
      </c>
      <c r="I68" s="9" t="str">
        <f ca="1">+WORLDCUP!BD69</f>
        <v>Ghana</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Ecuador</v>
      </c>
      <c r="D69" s="9" t="str">
        <f ca="1">+WORLDCUP!BD67</f>
        <v>Austria</v>
      </c>
      <c r="E69" s="9" t="str">
        <f ca="1">+WORLDCUP!BD59</f>
        <v>Bosnia y Herzegovina</v>
      </c>
      <c r="F69" s="9" t="str">
        <f ca="1">+WORLDCUP!BD61</f>
        <v>Paraguay</v>
      </c>
      <c r="G69" s="9" t="str">
        <f ca="1">+WORLDCUP!BD65</f>
        <v>Arabia Saudita</v>
      </c>
      <c r="H69" s="9" t="str">
        <f ca="1">+WORLDCUP!BD63</f>
        <v>Japón</v>
      </c>
      <c r="I69" s="9" t="str">
        <f ca="1">+WORLDCUP!BD69</f>
        <v>Ghana</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Arabia Saudita</v>
      </c>
      <c r="H70" s="9" t="str">
        <f ca="1">+WORLDCUP!BD63</f>
        <v>Japón</v>
      </c>
      <c r="I70" s="9" t="str">
        <f ca="1">+WORLDCUP!BD69</f>
        <v>Ghana</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Ecuador</v>
      </c>
      <c r="D71" s="9" t="str">
        <f ca="1">+WORLDCUP!BD67</f>
        <v>Austria</v>
      </c>
      <c r="E71" s="9" t="str">
        <f ca="1">+WORLDCUP!BD59</f>
        <v>Bosnia y Herzegovina</v>
      </c>
      <c r="F71" s="9" t="str">
        <f ca="1">+WORLDCUP!BD61</f>
        <v>Paraguay</v>
      </c>
      <c r="G71" s="9" t="str">
        <f ca="1">+WORLDCUP!BD65</f>
        <v>Arabia Saudita</v>
      </c>
      <c r="H71" s="9" t="str">
        <f ca="1">+WORLDCUP!BD63</f>
        <v>Japón</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Ecuador</v>
      </c>
      <c r="D72" s="9" t="str">
        <f ca="1">+WORLDCUP!BD67</f>
        <v>Austria</v>
      </c>
      <c r="E72" s="9" t="str">
        <f ca="1">+WORLDCUP!BD59</f>
        <v>Bosnia y Herzegovina</v>
      </c>
      <c r="F72" s="9" t="str">
        <f ca="1">+WORLDCUP!BD61</f>
        <v>Paraguay</v>
      </c>
      <c r="G72" s="9" t="str">
        <f ca="1">+WORLDCUP!BD65</f>
        <v>Arabia Saudita</v>
      </c>
      <c r="H72" s="9" t="str">
        <f ca="1">+WORLDCUP!BD63</f>
        <v>Japón</v>
      </c>
      <c r="I72" s="9" t="str">
        <f ca="1">+WORLDCUP!BD66</f>
        <v>Senegal</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Ecuador</v>
      </c>
      <c r="D73" s="9" t="str">
        <f ca="1">+WORLDCUP!BD64</f>
        <v>Egipto</v>
      </c>
      <c r="E73" s="9" t="str">
        <f ca="1">+WORLDCUP!BD59</f>
        <v>Bosnia y Herzegovina</v>
      </c>
      <c r="F73" s="9" t="str">
        <f ca="1">+WORLDCUP!BD61</f>
        <v>Paraguay</v>
      </c>
      <c r="G73" s="9" t="str">
        <f ca="1">+WORLDCUP!BD67</f>
        <v>Austria</v>
      </c>
      <c r="H73" s="9" t="str">
        <f ca="1">+WORLDCUP!BD63</f>
        <v>Japón</v>
      </c>
      <c r="I73" s="9" t="str">
        <f ca="1">+WORLDCUP!BD69</f>
        <v>Ghana</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Ecuador</v>
      </c>
      <c r="D74" s="9" t="str">
        <f ca="1">+WORLDCUP!BD64</f>
        <v>Egipto</v>
      </c>
      <c r="E74" s="9" t="str">
        <f ca="1">+WORLDCUP!BD59</f>
        <v>Bosnia y Herzegovina</v>
      </c>
      <c r="F74" s="9" t="str">
        <f ca="1">+WORLDCUP!BD61</f>
        <v>Paraguay</v>
      </c>
      <c r="G74" s="9" t="str">
        <f ca="1">+WORLDCUP!BD66</f>
        <v>Senegal</v>
      </c>
      <c r="H74" s="9" t="str">
        <f ca="1">+WORLDCUP!BD63</f>
        <v>Japón</v>
      </c>
      <c r="I74" s="9" t="str">
        <f ca="1">+WORLDCUP!BD69</f>
        <v>Ghana</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Ecuador</v>
      </c>
      <c r="D75" s="9" t="str">
        <f ca="1">+WORLDCUP!BD64</f>
        <v>Egipto</v>
      </c>
      <c r="E75" s="9" t="str">
        <f ca="1">+WORLDCUP!BD59</f>
        <v>Bosnia y Herzegovina</v>
      </c>
      <c r="F75" s="9" t="str">
        <f ca="1">+WORLDCUP!BD61</f>
        <v>Paraguay</v>
      </c>
      <c r="G75" s="9" t="str">
        <f ca="1">+WORLDCUP!BD67</f>
        <v>Austria</v>
      </c>
      <c r="H75" s="9" t="str">
        <f ca="1">+WORLDCUP!BD63</f>
        <v>Japón</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Ecuador</v>
      </c>
      <c r="D76" s="9" t="str">
        <f ca="1">+WORLDCUP!BD64</f>
        <v>Egipto</v>
      </c>
      <c r="E76" s="9" t="str">
        <f ca="1">+WORLDCUP!BD59</f>
        <v>Bosnia y Herzegovina</v>
      </c>
      <c r="F76" s="9" t="str">
        <f ca="1">+WORLDCUP!BD61</f>
        <v>Paraguay</v>
      </c>
      <c r="G76" s="9" t="str">
        <f ca="1">+WORLDCUP!BD67</f>
        <v>Austria</v>
      </c>
      <c r="H76" s="9" t="str">
        <f ca="1">+WORLDCUP!BD63</f>
        <v>Japón</v>
      </c>
      <c r="I76" s="9" t="str">
        <f ca="1">+WORLDCUP!BD66</f>
        <v>Senegal</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Ecuador</v>
      </c>
      <c r="D77" s="9" t="str">
        <f ca="1">+WORLDCUP!BD64</f>
        <v>Egipto</v>
      </c>
      <c r="E77" s="9" t="str">
        <f ca="1">+WORLDCUP!BD59</f>
        <v>Bosnia y Herzegovina</v>
      </c>
      <c r="F77" s="9" t="str">
        <f ca="1">+WORLDCUP!BD61</f>
        <v>Paraguay</v>
      </c>
      <c r="G77" s="9" t="str">
        <f ca="1">+WORLDCUP!BD65</f>
        <v>Arabia Saudita</v>
      </c>
      <c r="H77" s="9" t="str">
        <f ca="1">+WORLDCUP!BD63</f>
        <v>Japón</v>
      </c>
      <c r="I77" s="9" t="str">
        <f ca="1">+WORLDCUP!BD69</f>
        <v>Ghana</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Egipto</v>
      </c>
      <c r="E78" s="9" t="str">
        <f ca="1">+WORLDCUP!BD59</f>
        <v>Bosnia y Herzegovina</v>
      </c>
      <c r="F78" s="9" t="str">
        <f ca="1">+WORLDCUP!BD61</f>
        <v>Paraguay</v>
      </c>
      <c r="G78" s="9" t="str">
        <f ca="1">+WORLDCUP!BD67</f>
        <v>Austria</v>
      </c>
      <c r="H78" s="9" t="str">
        <f ca="1">+WORLDCUP!BD63</f>
        <v>Japón</v>
      </c>
      <c r="I78" s="9" t="str">
        <f ca="1">+WORLDCUP!BD69</f>
        <v>Ghana</v>
      </c>
      <c r="J78" s="9" t="str">
        <f ca="1">+WORLDCUP!BD62</f>
        <v>Ecuador</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Egipto</v>
      </c>
      <c r="E79" s="9" t="str">
        <f ca="1">+WORLDCUP!BD59</f>
        <v>Bosnia y Herzegovina</v>
      </c>
      <c r="F79" s="9" t="str">
        <f ca="1">+WORLDCUP!BD61</f>
        <v>Paraguay</v>
      </c>
      <c r="G79" s="9" t="str">
        <f ca="1">+WORLDCUP!BD67</f>
        <v>Austria</v>
      </c>
      <c r="H79" s="9" t="str">
        <f ca="1">+WORLDCUP!BD63</f>
        <v>Japón</v>
      </c>
      <c r="I79" s="9" t="str">
        <f ca="1">+WORLDCUP!BD62</f>
        <v>Ecuador</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Ecuador</v>
      </c>
      <c r="D80" s="9" t="str">
        <f ca="1">+WORLDCUP!BD64</f>
        <v>Egipto</v>
      </c>
      <c r="E80" s="9" t="str">
        <f ca="1">+WORLDCUP!BD59</f>
        <v>Bosnia y Herzegovina</v>
      </c>
      <c r="F80" s="9" t="str">
        <f ca="1">+WORLDCUP!BD61</f>
        <v>Paraguay</v>
      </c>
      <c r="G80" s="9" t="str">
        <f ca="1">+WORLDCUP!BD65</f>
        <v>Arabia Saudita</v>
      </c>
      <c r="H80" s="9" t="str">
        <f ca="1">+WORLDCUP!BD63</f>
        <v>Japón</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Ecuador</v>
      </c>
      <c r="D81" s="9" t="str">
        <f ca="1">+WORLDCUP!BD64</f>
        <v>Egipto</v>
      </c>
      <c r="E81" s="9" t="str">
        <f ca="1">+WORLDCUP!BD59</f>
        <v>Bosnia y Herzegovina</v>
      </c>
      <c r="F81" s="9" t="str">
        <f ca="1">+WORLDCUP!BD61</f>
        <v>Paraguay</v>
      </c>
      <c r="G81" s="9" t="str">
        <f ca="1">+WORLDCUP!BD65</f>
        <v>Arabia Saudita</v>
      </c>
      <c r="H81" s="9" t="str">
        <f ca="1">+WORLDCUP!BD63</f>
        <v>Japón</v>
      </c>
      <c r="I81" s="9" t="str">
        <f ca="1">+WORLDCUP!BD66</f>
        <v>Senegal</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Egipto</v>
      </c>
      <c r="E82" s="9" t="str">
        <f ca="1">+WORLDCUP!BD59</f>
        <v>Bosnia y Herzegovina</v>
      </c>
      <c r="F82" s="9" t="str">
        <f ca="1">+WORLDCUP!BD61</f>
        <v>Paraguay</v>
      </c>
      <c r="G82" s="9" t="str">
        <f ca="1">+WORLDCUP!BD67</f>
        <v>Austria</v>
      </c>
      <c r="H82" s="9" t="str">
        <f ca="1">+WORLDCUP!BD63</f>
        <v>Japón</v>
      </c>
      <c r="I82" s="9" t="str">
        <f ca="1">+WORLDCUP!BD62</f>
        <v>Ecuador</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Austria</v>
      </c>
      <c r="E83" s="9" t="str">
        <f ca="1">+WORLDCUP!BD59</f>
        <v>Bosnia y Herzegovina</v>
      </c>
      <c r="F83" s="9" t="str">
        <f ca="1">+WORLDCUP!BD60</f>
        <v>Escocia</v>
      </c>
      <c r="G83" s="9" t="str">
        <f ca="1">+WORLDCUP!BD66</f>
        <v>Senegal</v>
      </c>
      <c r="H83" s="9" t="str">
        <f ca="1">+WORLDCUP!BD64</f>
        <v>Egipto</v>
      </c>
      <c r="I83" s="9" t="str">
        <f ca="1">+WORLDCUP!BD69</f>
        <v>Ghana</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Austria</v>
      </c>
      <c r="E84" s="9" t="str">
        <f ca="1">+WORLDCUP!BD59</f>
        <v>Bosnia y Herzegovina</v>
      </c>
      <c r="F84" s="9" t="str">
        <f ca="1">+WORLDCUP!BD60</f>
        <v>Escocia</v>
      </c>
      <c r="G84" s="9" t="str">
        <f ca="1">+WORLDCUP!BD66</f>
        <v>Senegal</v>
      </c>
      <c r="H84" s="9" t="str">
        <f ca="1">+WORLDCUP!BD63</f>
        <v>Japón</v>
      </c>
      <c r="I84" s="9" t="str">
        <f ca="1">+WORLDCUP!BD69</f>
        <v>Ghana</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Egipto</v>
      </c>
      <c r="E85" s="9" t="str">
        <f ca="1">+WORLDCUP!BD59</f>
        <v>Bosnia y Herzegovina</v>
      </c>
      <c r="F85" s="9" t="str">
        <f ca="1">+WORLDCUP!BD60</f>
        <v>Escocia</v>
      </c>
      <c r="G85" s="9" t="str">
        <f ca="1">+WORLDCUP!BD67</f>
        <v>Austria</v>
      </c>
      <c r="H85" s="9" t="str">
        <f ca="1">+WORLDCUP!BD63</f>
        <v>Japón</v>
      </c>
      <c r="I85" s="9" t="str">
        <f ca="1">+WORLDCUP!BD69</f>
        <v>Ghana</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Egipto</v>
      </c>
      <c r="E86" s="9" t="str">
        <f ca="1">+WORLDCUP!BD59</f>
        <v>Bosnia y Herzegovina</v>
      </c>
      <c r="F86" s="9" t="str">
        <f ca="1">+WORLDCUP!BD60</f>
        <v>Escocia</v>
      </c>
      <c r="G86" s="9" t="str">
        <f ca="1">+WORLDCUP!BD67</f>
        <v>Austria</v>
      </c>
      <c r="H86" s="9" t="str">
        <f ca="1">+WORLDCUP!BD63</f>
        <v>Japón</v>
      </c>
      <c r="I86" s="9" t="str">
        <f ca="1">+WORLDCUP!BD69</f>
        <v>Ghana</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Egipto</v>
      </c>
      <c r="E87" s="9" t="str">
        <f ca="1">+WORLDCUP!BD59</f>
        <v>Bosnia y Herzegovina</v>
      </c>
      <c r="F87" s="9" t="str">
        <f ca="1">+WORLDCUP!BD60</f>
        <v>Escocia</v>
      </c>
      <c r="G87" s="9" t="str">
        <f ca="1">+WORLDCUP!BD66</f>
        <v>Senegal</v>
      </c>
      <c r="H87" s="9" t="str">
        <f ca="1">+WORLDCUP!BD63</f>
        <v>Japón</v>
      </c>
      <c r="I87" s="9" t="str">
        <f ca="1">+WORLDCUP!BD69</f>
        <v>Ghana</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Egipto</v>
      </c>
      <c r="E88" s="9" t="str">
        <f ca="1">+WORLDCUP!BD59</f>
        <v>Bosnia y Herzegovina</v>
      </c>
      <c r="F88" s="9" t="str">
        <f ca="1">+WORLDCUP!BD60</f>
        <v>Escocia</v>
      </c>
      <c r="G88" s="9" t="str">
        <f ca="1">+WORLDCUP!BD67</f>
        <v>Austria</v>
      </c>
      <c r="H88" s="9" t="str">
        <f ca="1">+WORLDCUP!BD63</f>
        <v>Japón</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Egipto</v>
      </c>
      <c r="E89" s="9" t="str">
        <f ca="1">+WORLDCUP!BD59</f>
        <v>Bosnia y Herzegovina</v>
      </c>
      <c r="F89" s="9" t="str">
        <f ca="1">+WORLDCUP!BD60</f>
        <v>Escocia</v>
      </c>
      <c r="G89" s="9" t="str">
        <f ca="1">+WORLDCUP!BD67</f>
        <v>Austria</v>
      </c>
      <c r="H89" s="9" t="str">
        <f ca="1">+WORLDCUP!BD63</f>
        <v>Japón</v>
      </c>
      <c r="I89" s="9" t="str">
        <f ca="1">+WORLDCUP!BD66</f>
        <v>Senegal</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Ecuador</v>
      </c>
      <c r="D90" s="9" t="str">
        <f ca="1">+WORLDCUP!BD67</f>
        <v>Austria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Ecuador</v>
      </c>
      <c r="D91" s="9" t="str">
        <f ca="1">+WORLDCUP!BD67</f>
        <v>Austria</v>
      </c>
      <c r="E91" s="9" t="str">
        <f ca="1">+WORLDCUP!BD59</f>
        <v>Bosnia y Herzegovina</v>
      </c>
      <c r="F91" s="9" t="str">
        <f ca="1">+WORLDCUP!BD60</f>
        <v>Escocia</v>
      </c>
      <c r="G91" s="9" t="str">
        <f ca="1">+WORLDCUP!BD66</f>
        <v>Senegal</v>
      </c>
      <c r="H91" s="9" t="str">
        <f ca="1">+WORLDCUP!BD64</f>
        <v>Egipto</v>
      </c>
      <c r="I91" s="9" t="str">
        <f ca="1">+WORLDCUP!BD69</f>
        <v>Ghana</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Ecuador</v>
      </c>
      <c r="D92" s="9" t="str">
        <f ca="1">+WORLDCUP!BD67</f>
        <v>Austria</v>
      </c>
      <c r="E92" s="9" t="str">
        <f ca="1">+WORLDCUP!BD59</f>
        <v>Bosnia y Herzegovina</v>
      </c>
      <c r="F92" s="9" t="str">
        <f ca="1">+WORLDCUP!BD60</f>
        <v>Escocia</v>
      </c>
      <c r="G92" s="9" t="str">
        <f ca="1">+WORLDCUP!BD65</f>
        <v>Arabia Saudita</v>
      </c>
      <c r="H92" s="9" t="str">
        <f ca="1">+WORLDCUP!BD64</f>
        <v>Egipto</v>
      </c>
      <c r="I92" s="9" t="str">
        <f ca="1">+WORLDCUP!BD69</f>
        <v>Ghana</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Ecuador</v>
      </c>
      <c r="D93" s="9" t="str">
        <f ca="1">+WORLDCUP!BD64</f>
        <v>Egipto</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Ecuador</v>
      </c>
      <c r="D94" s="9" t="str">
        <f ca="1">+WORLDCUP!BD67</f>
        <v>Austria</v>
      </c>
      <c r="E94" s="9" t="str">
        <f ca="1">+WORLDCUP!BD59</f>
        <v>Bosnia y Herzegovina</v>
      </c>
      <c r="F94" s="9" t="str">
        <f ca="1">+WORLDCUP!BD60</f>
        <v>Escocia</v>
      </c>
      <c r="G94" s="9" t="str">
        <f ca="1">+WORLDCUP!BD65</f>
        <v>Arabia Saudita</v>
      </c>
      <c r="H94" s="9" t="str">
        <f ca="1">+WORLDCUP!BD64</f>
        <v>Egipto</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Ecuador</v>
      </c>
      <c r="D95" s="9" t="str">
        <f ca="1">+WORLDCUP!BD67</f>
        <v>Austria</v>
      </c>
      <c r="E95" s="9" t="str">
        <f ca="1">+WORLDCUP!BD59</f>
        <v>Bosnia y Herzegovina</v>
      </c>
      <c r="F95" s="9" t="str">
        <f ca="1">+WORLDCUP!BD60</f>
        <v>Escocia</v>
      </c>
      <c r="G95" s="9" t="str">
        <f ca="1">+WORLDCUP!BD65</f>
        <v>Arabia Saudita</v>
      </c>
      <c r="H95" s="9" t="str">
        <f ca="1">+WORLDCUP!BD64</f>
        <v>Egipto</v>
      </c>
      <c r="I95" s="9" t="str">
        <f ca="1">+WORLDCUP!BD66</f>
        <v>Senegal</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Ecuador</v>
      </c>
      <c r="D96" s="9" t="str">
        <f ca="1">+WORLDCUP!BD67</f>
        <v>Austria</v>
      </c>
      <c r="E96" s="9" t="str">
        <f ca="1">+WORLDCUP!BD59</f>
        <v>Bosnia y Herzegovina</v>
      </c>
      <c r="F96" s="9" t="str">
        <f ca="1">+WORLDCUP!BD60</f>
        <v>Escocia</v>
      </c>
      <c r="G96" s="9" t="str">
        <f ca="1">+WORLDCUP!BD66</f>
        <v>Senegal</v>
      </c>
      <c r="H96" s="9" t="str">
        <f ca="1">+WORLDCUP!BD63</f>
        <v>Japón</v>
      </c>
      <c r="I96" s="9" t="str">
        <f ca="1">+WORLDCUP!BD69</f>
        <v>Ghana</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Ecuador</v>
      </c>
      <c r="D97" s="9" t="str">
        <f ca="1">+WORLDCUP!BD67</f>
        <v>Austria</v>
      </c>
      <c r="E97" s="9" t="str">
        <f ca="1">+WORLDCUP!BD59</f>
        <v>Bosnia y Herzegovina</v>
      </c>
      <c r="F97" s="9" t="str">
        <f ca="1">+WORLDCUP!BD60</f>
        <v>Escocia</v>
      </c>
      <c r="G97" s="9" t="str">
        <f ca="1">+WORLDCUP!BD65</f>
        <v>Arabia Saudita</v>
      </c>
      <c r="H97" s="9" t="str">
        <f ca="1">+WORLDCUP!BD63</f>
        <v>Japón</v>
      </c>
      <c r="I97" s="9" t="str">
        <f ca="1">+WORLDCUP!BD69</f>
        <v>Ghana</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Ecuador</v>
      </c>
      <c r="D98" s="9" t="str">
        <f ca="1">+WORLDCUP!BD66</f>
        <v>Senegal</v>
      </c>
      <c r="E98" s="9" t="str">
        <f ca="1">+WORLDCUP!BD59</f>
        <v>Bosnia y Herzegovina</v>
      </c>
      <c r="F98" s="9" t="str">
        <f ca="1">+WORLDCUP!BD60</f>
        <v>Escocia</v>
      </c>
      <c r="G98" s="9" t="str">
        <f ca="1">+WORLDCUP!BD65</f>
        <v>Arabia Saudita</v>
      </c>
      <c r="H98" s="9" t="str">
        <f ca="1">+WORLDCUP!BD63</f>
        <v>Japón</v>
      </c>
      <c r="I98" s="9" t="str">
        <f ca="1">+WORLDCUP!BD69</f>
        <v>Ghana</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Ecuador</v>
      </c>
      <c r="D99" s="9" t="str">
        <f ca="1">+WORLDCUP!BD67</f>
        <v>Austria</v>
      </c>
      <c r="E99" s="9" t="str">
        <f ca="1">+WORLDCUP!BD59</f>
        <v>Bosnia y Herzegovina</v>
      </c>
      <c r="F99" s="9" t="str">
        <f ca="1">+WORLDCUP!BD60</f>
        <v>Escocia</v>
      </c>
      <c r="G99" s="9" t="str">
        <f ca="1">+WORLDCUP!BD65</f>
        <v>Arabia Saudita</v>
      </c>
      <c r="H99" s="9" t="str">
        <f ca="1">+WORLDCUP!BD63</f>
        <v>Japón</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Ecuador</v>
      </c>
      <c r="D100" s="9" t="str">
        <f ca="1">+WORLDCUP!BD67</f>
        <v>Austria</v>
      </c>
      <c r="E100" s="9" t="str">
        <f ca="1">+WORLDCUP!BD59</f>
        <v>Bosnia y Herzegovina</v>
      </c>
      <c r="F100" s="9" t="str">
        <f ca="1">+WORLDCUP!BD60</f>
        <v>Escocia</v>
      </c>
      <c r="G100" s="9" t="str">
        <f ca="1">+WORLDCUP!BD65</f>
        <v>Arabia Saudita</v>
      </c>
      <c r="H100" s="9" t="str">
        <f ca="1">+WORLDCUP!BD63</f>
        <v>Japón</v>
      </c>
      <c r="I100" s="9" t="str">
        <f ca="1">+WORLDCUP!BD66</f>
        <v>Senegal</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Ecuador</v>
      </c>
      <c r="D101" s="9" t="str">
        <f ca="1">+WORLDCUP!BD64</f>
        <v>Egipto</v>
      </c>
      <c r="E101" s="9" t="str">
        <f ca="1">+WORLDCUP!BD59</f>
        <v>Bosnia y Herzegovina</v>
      </c>
      <c r="F101" s="9" t="str">
        <f ca="1">+WORLDCUP!BD60</f>
        <v>Escocia</v>
      </c>
      <c r="G101" s="9" t="str">
        <f ca="1">+WORLDCUP!BD67</f>
        <v>Austria</v>
      </c>
      <c r="H101" s="9" t="str">
        <f ca="1">+WORLDCUP!BD63</f>
        <v>Japón</v>
      </c>
      <c r="I101" s="9" t="str">
        <f ca="1">+WORLDCUP!BD69</f>
        <v>Ghana</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Ecuador</v>
      </c>
      <c r="D102" s="9" t="str">
        <f ca="1">+WORLDCUP!BD64</f>
        <v>Egipto</v>
      </c>
      <c r="E102" s="9" t="str">
        <f ca="1">+WORLDCUP!BD59</f>
        <v>Bosnia y Herzegovina</v>
      </c>
      <c r="F102" s="9" t="str">
        <f ca="1">+WORLDCUP!BD60</f>
        <v>Escocia</v>
      </c>
      <c r="G102" s="9" t="str">
        <f ca="1">+WORLDCUP!BD66</f>
        <v>Senegal</v>
      </c>
      <c r="H102" s="9" t="str">
        <f ca="1">+WORLDCUP!BD63</f>
        <v>Japón</v>
      </c>
      <c r="I102" s="9" t="str">
        <f ca="1">+WORLDCUP!BD69</f>
        <v>Ghana</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Ecuador</v>
      </c>
      <c r="D103" s="9" t="str">
        <f ca="1">+WORLDCUP!BD64</f>
        <v>Egipto</v>
      </c>
      <c r="E103" s="9" t="str">
        <f ca="1">+WORLDCUP!BD59</f>
        <v>Bosnia y Herzegovina</v>
      </c>
      <c r="F103" s="9" t="str">
        <f ca="1">+WORLDCUP!BD60</f>
        <v>Escocia</v>
      </c>
      <c r="G103" s="9" t="str">
        <f ca="1">+WORLDCUP!BD67</f>
        <v>Austria</v>
      </c>
      <c r="H103" s="9" t="str">
        <f ca="1">+WORLDCUP!BD63</f>
        <v>Japón</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Ecuador</v>
      </c>
      <c r="D104" s="9" t="str">
        <f ca="1">+WORLDCUP!BD64</f>
        <v>Egipto</v>
      </c>
      <c r="E104" s="9" t="str">
        <f ca="1">+WORLDCUP!BD59</f>
        <v>Bosnia y Herzegovina</v>
      </c>
      <c r="F104" s="9" t="str">
        <f ca="1">+WORLDCUP!BD60</f>
        <v>Escocia</v>
      </c>
      <c r="G104" s="9" t="str">
        <f ca="1">+WORLDCUP!BD67</f>
        <v>Austria</v>
      </c>
      <c r="H104" s="9" t="str">
        <f ca="1">+WORLDCUP!BD63</f>
        <v>Japón</v>
      </c>
      <c r="I104" s="9" t="str">
        <f ca="1">+WORLDCUP!BD66</f>
        <v>Senegal</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Ecuador</v>
      </c>
      <c r="D105" s="9" t="str">
        <f ca="1">+WORLDCUP!BD64</f>
        <v>Egipto</v>
      </c>
      <c r="E105" s="9" t="str">
        <f ca="1">+WORLDCUP!BD59</f>
        <v>Bosnia y Herzegovina</v>
      </c>
      <c r="F105" s="9" t="str">
        <f ca="1">+WORLDCUP!BD60</f>
        <v>Escocia</v>
      </c>
      <c r="G105" s="9" t="str">
        <f ca="1">+WORLDCUP!BD65</f>
        <v>Arabia Saudita</v>
      </c>
      <c r="H105" s="9" t="str">
        <f ca="1">+WORLDCUP!BD63</f>
        <v>Japón</v>
      </c>
      <c r="I105" s="9" t="str">
        <f ca="1">+WORLDCUP!BD69</f>
        <v>Ghana</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Egipto</v>
      </c>
      <c r="E106" s="9" t="str">
        <f ca="1">+WORLDCUP!BD59</f>
        <v>Bosnia y Herzegovina</v>
      </c>
      <c r="F106" s="9" t="str">
        <f ca="1">+WORLDCUP!BD60</f>
        <v>Escocia</v>
      </c>
      <c r="G106" s="9" t="str">
        <f ca="1">+WORLDCUP!BD67</f>
        <v>Austria</v>
      </c>
      <c r="H106" s="9" t="str">
        <f ca="1">+WORLDCUP!BD63</f>
        <v>Japón</v>
      </c>
      <c r="I106" s="9" t="str">
        <f ca="1">+WORLDCUP!BD69</f>
        <v>Ghana</v>
      </c>
      <c r="J106" s="9" t="str">
        <f ca="1">+WORLDCUP!BD62</f>
        <v>Ecuador</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Egipto</v>
      </c>
      <c r="E107" s="9" t="str">
        <f ca="1">+WORLDCUP!BD59</f>
        <v>Bosnia y Herzegovina</v>
      </c>
      <c r="F107" s="9" t="str">
        <f ca="1">+WORLDCUP!BD60</f>
        <v>Escocia</v>
      </c>
      <c r="G107" s="9" t="str">
        <f ca="1">+WORLDCUP!BD67</f>
        <v>Austria</v>
      </c>
      <c r="H107" s="9" t="str">
        <f ca="1">+WORLDCUP!BD63</f>
        <v>Japón</v>
      </c>
      <c r="I107" s="9" t="str">
        <f ca="1">+WORLDCUP!BD62</f>
        <v>Ecuador</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Ecuador</v>
      </c>
      <c r="D108" s="9" t="str">
        <f ca="1">+WORLDCUP!BD64</f>
        <v>Egipto</v>
      </c>
      <c r="E108" s="9" t="str">
        <f ca="1">+WORLDCUP!BD59</f>
        <v>Bosnia y Herzegovina</v>
      </c>
      <c r="F108" s="9" t="str">
        <f ca="1">+WORLDCUP!BD60</f>
        <v>Escocia</v>
      </c>
      <c r="G108" s="9" t="str">
        <f ca="1">+WORLDCUP!BD65</f>
        <v>Arabia Saudita</v>
      </c>
      <c r="H108" s="9" t="str">
        <f ca="1">+WORLDCUP!BD63</f>
        <v>Japón</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Ecuador</v>
      </c>
      <c r="D109" s="9" t="str">
        <f ca="1">+WORLDCUP!BD64</f>
        <v>Egipto</v>
      </c>
      <c r="E109" s="9" t="str">
        <f ca="1">+WORLDCUP!BD59</f>
        <v>Bosnia y Herzegovina</v>
      </c>
      <c r="F109" s="9" t="str">
        <f ca="1">+WORLDCUP!BD60</f>
        <v>Escocia</v>
      </c>
      <c r="G109" s="9" t="str">
        <f ca="1">+WORLDCUP!BD65</f>
        <v>Arabia Saudita</v>
      </c>
      <c r="H109" s="9" t="str">
        <f ca="1">+WORLDCUP!BD63</f>
        <v>Japón</v>
      </c>
      <c r="I109" s="9" t="str">
        <f ca="1">+WORLDCUP!BD66</f>
        <v>Senegal</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Egipto</v>
      </c>
      <c r="E110" s="9" t="str">
        <f ca="1">+WORLDCUP!BD59</f>
        <v>Bosnia y Herzegovina</v>
      </c>
      <c r="F110" s="9" t="str">
        <f ca="1">+WORLDCUP!BD60</f>
        <v>Escocia</v>
      </c>
      <c r="G110" s="9" t="str">
        <f ca="1">+WORLDCUP!BD67</f>
        <v>Austria</v>
      </c>
      <c r="H110" s="9" t="str">
        <f ca="1">+WORLDCUP!BD63</f>
        <v>Japón</v>
      </c>
      <c r="I110" s="9" t="str">
        <f ca="1">+WORLDCUP!BD62</f>
        <v>Ecuador</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Austria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Egipto</v>
      </c>
      <c r="E112" s="9" t="str">
        <f ca="1">+WORLDCUP!BD59</f>
        <v>Bosnia y Herzegovina</v>
      </c>
      <c r="F112" s="9" t="str">
        <f ca="1">+WORLDCUP!BD60</f>
        <v>Escocia</v>
      </c>
      <c r="G112" s="9" t="str">
        <f ca="1">+WORLDCUP!BD67</f>
        <v>Austria</v>
      </c>
      <c r="H112" s="9" t="str">
        <f ca="1">+WORLDCUP!BD61</f>
        <v>Paraguay</v>
      </c>
      <c r="I112" s="9" t="str">
        <f ca="1">+WORLDCUP!BD69</f>
        <v>Ghana</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Egipto</v>
      </c>
      <c r="E113" s="9" t="str">
        <f ca="1">+WORLDCUP!BD59</f>
        <v>Bosnia y Herzegovina</v>
      </c>
      <c r="F113" s="9" t="str">
        <f ca="1">+WORLDCUP!BD60</f>
        <v>Escocia</v>
      </c>
      <c r="G113" s="9" t="str">
        <f ca="1">+WORLDCUP!BD67</f>
        <v>Austria</v>
      </c>
      <c r="H113" s="9" t="str">
        <f ca="1">+WORLDCUP!BD61</f>
        <v>Paraguay</v>
      </c>
      <c r="I113" s="9" t="str">
        <f ca="1">+WORLDCUP!BD69</f>
        <v>Ghana</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Egipto</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Egipto</v>
      </c>
      <c r="E115" s="9" t="str">
        <f ca="1">+WORLDCUP!BD59</f>
        <v>Bosnia y Herzegovina</v>
      </c>
      <c r="F115" s="9" t="str">
        <f ca="1">+WORLDCUP!BD60</f>
        <v>Escocia</v>
      </c>
      <c r="G115" s="9" t="str">
        <f ca="1">+WORLDCUP!BD67</f>
        <v>Austria</v>
      </c>
      <c r="H115" s="9" t="str">
        <f ca="1">+WORLDCUP!BD61</f>
        <v>Paraguay</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Egipto</v>
      </c>
      <c r="E116" s="9" t="str">
        <f ca="1">+WORLDCUP!BD59</f>
        <v>Bosnia y Herzegovina</v>
      </c>
      <c r="F116" s="9" t="str">
        <f ca="1">+WORLDCUP!BD60</f>
        <v>Escocia</v>
      </c>
      <c r="G116" s="9" t="str">
        <f ca="1">+WORLDCUP!BD67</f>
        <v>Austria</v>
      </c>
      <c r="H116" s="9" t="str">
        <f ca="1">+WORLDCUP!BD61</f>
        <v>Paraguay</v>
      </c>
      <c r="I116" s="9" t="str">
        <f ca="1">+WORLDCUP!BD66</f>
        <v>Senegal</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Austria</v>
      </c>
      <c r="E117" s="9" t="str">
        <f ca="1">+WORLDCUP!BD59</f>
        <v>Bosnia y Herzegovina</v>
      </c>
      <c r="F117" s="9" t="str">
        <f ca="1">+WORLDCUP!BD61</f>
        <v>Paraguay</v>
      </c>
      <c r="G117" s="9" t="str">
        <f ca="1">+WORLDCUP!BD66</f>
        <v>Senegal</v>
      </c>
      <c r="H117" s="9" t="str">
        <f ca="1">+WORLDCUP!BD63</f>
        <v>Japón</v>
      </c>
      <c r="I117" s="9" t="str">
        <f ca="1">+WORLDCUP!BD69</f>
        <v>Ghana</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Austria</v>
      </c>
      <c r="E118" s="9" t="str">
        <f ca="1">+WORLDCUP!BD59</f>
        <v>Bosnia y Herzegovina</v>
      </c>
      <c r="F118" s="9" t="str">
        <f ca="1">+WORLDCUP!BD61</f>
        <v>Paraguay</v>
      </c>
      <c r="G118" s="9" t="str">
        <f ca="1">+WORLDCUP!BD65</f>
        <v>Arabia Saudita</v>
      </c>
      <c r="H118" s="9" t="str">
        <f ca="1">+WORLDCUP!BD63</f>
        <v>Japón</v>
      </c>
      <c r="I118" s="9" t="str">
        <f ca="1">+WORLDCUP!BD69</f>
        <v>Ghana</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Japón</v>
      </c>
      <c r="I119" s="9" t="str">
        <f ca="1">+WORLDCUP!BD69</f>
        <v>Ghana</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Austria</v>
      </c>
      <c r="E120" s="9" t="str">
        <f ca="1">+WORLDCUP!BD59</f>
        <v>Bosnia y Herzegovina</v>
      </c>
      <c r="F120" s="9" t="str">
        <f ca="1">+WORLDCUP!BD61</f>
        <v>Paraguay</v>
      </c>
      <c r="G120" s="9" t="str">
        <f ca="1">+WORLDCUP!BD65</f>
        <v>Arabia Saudita</v>
      </c>
      <c r="H120" s="9" t="str">
        <f ca="1">+WORLDCUP!BD63</f>
        <v>Japón</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Austria</v>
      </c>
      <c r="E121" s="9" t="str">
        <f ca="1">+WORLDCUP!BD59</f>
        <v>Bosnia y Herzegovina</v>
      </c>
      <c r="F121" s="9" t="str">
        <f ca="1">+WORLDCUP!BD61</f>
        <v>Paraguay</v>
      </c>
      <c r="G121" s="9" t="str">
        <f ca="1">+WORLDCUP!BD65</f>
        <v>Arabia Saudita</v>
      </c>
      <c r="H121" s="9" t="str">
        <f ca="1">+WORLDCUP!BD63</f>
        <v>Japón</v>
      </c>
      <c r="I121" s="9" t="str">
        <f ca="1">+WORLDCUP!BD66</f>
        <v>Senegal</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Egipto</v>
      </c>
      <c r="E122" s="9" t="str">
        <f ca="1">+WORLDCUP!BD59</f>
        <v>Bosnia y Herzegovina</v>
      </c>
      <c r="F122" s="9" t="str">
        <f ca="1">+WORLDCUP!BD61</f>
        <v>Paraguay</v>
      </c>
      <c r="G122" s="9" t="str">
        <f ca="1">+WORLDCUP!BD67</f>
        <v>Austria</v>
      </c>
      <c r="H122" s="9" t="str">
        <f ca="1">+WORLDCUP!BD63</f>
        <v>Japón</v>
      </c>
      <c r="I122" s="9" t="str">
        <f ca="1">+WORLDCUP!BD69</f>
        <v>Ghana</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Egipto</v>
      </c>
      <c r="E123" s="9" t="str">
        <f ca="1">+WORLDCUP!BD59</f>
        <v>Bosnia y Herzegovina</v>
      </c>
      <c r="F123" s="9" t="str">
        <f ca="1">+WORLDCUP!BD61</f>
        <v>Paraguay</v>
      </c>
      <c r="G123" s="9" t="str">
        <f ca="1">+WORLDCUP!BD66</f>
        <v>Senegal</v>
      </c>
      <c r="H123" s="9" t="str">
        <f ca="1">+WORLDCUP!BD63</f>
        <v>Japón</v>
      </c>
      <c r="I123" s="9" t="str">
        <f ca="1">+WORLDCUP!BD69</f>
        <v>Ghana</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Egipto</v>
      </c>
      <c r="E124" s="9" t="str">
        <f ca="1">+WORLDCUP!BD59</f>
        <v>Bosnia y Herzegovina</v>
      </c>
      <c r="F124" s="9" t="str">
        <f ca="1">+WORLDCUP!BD61</f>
        <v>Paraguay</v>
      </c>
      <c r="G124" s="9" t="str">
        <f ca="1">+WORLDCUP!BD67</f>
        <v>Austria</v>
      </c>
      <c r="H124" s="9" t="str">
        <f ca="1">+WORLDCUP!BD63</f>
        <v>Japón</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Egipto</v>
      </c>
      <c r="E125" s="9" t="str">
        <f ca="1">+WORLDCUP!BD59</f>
        <v>Bosnia y Herzegovina</v>
      </c>
      <c r="F125" s="9" t="str">
        <f ca="1">+WORLDCUP!BD61</f>
        <v>Paraguay</v>
      </c>
      <c r="G125" s="9" t="str">
        <f ca="1">+WORLDCUP!BD67</f>
        <v>Austria</v>
      </c>
      <c r="H125" s="9" t="str">
        <f ca="1">+WORLDCUP!BD63</f>
        <v>Japón</v>
      </c>
      <c r="I125" s="9" t="str">
        <f ca="1">+WORLDCUP!BD66</f>
        <v>Senegal</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Egipto</v>
      </c>
      <c r="E126" s="9" t="str">
        <f ca="1">+WORLDCUP!BD59</f>
        <v>Bosnia y Herzegovina</v>
      </c>
      <c r="F126" s="9" t="str">
        <f ca="1">+WORLDCUP!BD61</f>
        <v>Paraguay</v>
      </c>
      <c r="G126" s="9" t="str">
        <f ca="1">+WORLDCUP!BD65</f>
        <v>Arabia Saudita</v>
      </c>
      <c r="H126" s="9" t="str">
        <f ca="1">+WORLDCUP!BD63</f>
        <v>Japón</v>
      </c>
      <c r="I126" s="9" t="str">
        <f ca="1">+WORLDCUP!BD69</f>
        <v>Ghana</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Egipto</v>
      </c>
      <c r="E127" s="9" t="str">
        <f ca="1">+WORLDCUP!BD59</f>
        <v>Bosnia y Herzegovina</v>
      </c>
      <c r="F127" s="9" t="str">
        <f ca="1">+WORLDCUP!BD61</f>
        <v>Paraguay</v>
      </c>
      <c r="G127" s="9" t="str">
        <f ca="1">+WORLDCUP!BD65</f>
        <v>Arabia Saudita</v>
      </c>
      <c r="H127" s="9" t="str">
        <f ca="1">+WORLDCUP!BD63</f>
        <v>Japón</v>
      </c>
      <c r="I127" s="9" t="str">
        <f ca="1">+WORLDCUP!BD69</f>
        <v>Ghana</v>
      </c>
      <c r="J127" s="9" t="str">
        <f ca="1">+WORLDCUP!BD67</f>
        <v>Austria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Egipto</v>
      </c>
      <c r="E128" s="9" t="str">
        <f ca="1">+WORLDCUP!BD59</f>
        <v>Bosnia y Herzegovina</v>
      </c>
      <c r="F128" s="9" t="str">
        <f ca="1">+WORLDCUP!BD60</f>
        <v>Escocia</v>
      </c>
      <c r="G128" s="9" t="str">
        <f ca="1">+WORLDCUP!BD67</f>
        <v>Austria</v>
      </c>
      <c r="H128" s="9" t="str">
        <f ca="1">+WORLDCUP!BD63</f>
        <v>Japón</v>
      </c>
      <c r="I128" s="9" t="str">
        <f ca="1">+WORLDCUP!BD61</f>
        <v>Paraguay</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Egipto</v>
      </c>
      <c r="E129" s="9" t="str">
        <f ca="1">+WORLDCUP!BD59</f>
        <v>Bosnia y Herzegovina</v>
      </c>
      <c r="F129" s="9" t="str">
        <f ca="1">+WORLDCUP!BD61</f>
        <v>Paraguay</v>
      </c>
      <c r="G129" s="9" t="str">
        <f ca="1">+WORLDCUP!BD65</f>
        <v>Arabia Saudita</v>
      </c>
      <c r="H129" s="9" t="str">
        <f ca="1">+WORLDCUP!BD63</f>
        <v>Japón</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Egipto</v>
      </c>
      <c r="E130" s="9" t="str">
        <f ca="1">+WORLDCUP!BD59</f>
        <v>Bosnia y Herzegovina</v>
      </c>
      <c r="F130" s="9" t="str">
        <f ca="1">+WORLDCUP!BD61</f>
        <v>Paraguay</v>
      </c>
      <c r="G130" s="9" t="str">
        <f ca="1">+WORLDCUP!BD65</f>
        <v>Arabia Saudita</v>
      </c>
      <c r="H130" s="9" t="str">
        <f ca="1">+WORLDCUP!BD63</f>
        <v>Japón</v>
      </c>
      <c r="I130" s="9" t="str">
        <f ca="1">+WORLDCUP!BD66</f>
        <v>Senegal</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Egipto</v>
      </c>
      <c r="E131" s="9" t="str">
        <f ca="1">+WORLDCUP!BD59</f>
        <v>Bosnia y Herzegovina</v>
      </c>
      <c r="F131" s="9" t="str">
        <f ca="1">+WORLDCUP!BD60</f>
        <v>Escocia</v>
      </c>
      <c r="G131" s="9" t="str">
        <f ca="1">+WORLDCUP!BD67</f>
        <v>Austria</v>
      </c>
      <c r="H131" s="9" t="str">
        <f ca="1">+WORLDCUP!BD63</f>
        <v>Japón</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Ecuador</v>
      </c>
      <c r="D132" s="9" t="str">
        <f ca="1">+WORLDCUP!BD67</f>
        <v>Austria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Ecuador</v>
      </c>
      <c r="D133" s="9" t="str">
        <f ca="1">+WORLDCUP!BD67</f>
        <v>Austria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Ecuador</v>
      </c>
      <c r="D135" s="9" t="str">
        <f ca="1">+WORLDCUP!BD67</f>
        <v>Austria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Ecuador</v>
      </c>
      <c r="D136" s="9" t="str">
        <f ca="1">+WORLDCUP!BD67</f>
        <v>Austria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Ecuador</v>
      </c>
      <c r="D137" s="9" t="str">
        <f ca="1">+WORLDCUP!BD64</f>
        <v>Egipto</v>
      </c>
      <c r="E137" s="9" t="str">
        <f ca="1">+WORLDCUP!BD59</f>
        <v>Bosnia y Herzegovina</v>
      </c>
      <c r="F137" s="9" t="str">
        <f ca="1">+WORLDCUP!BD60</f>
        <v>Escocia</v>
      </c>
      <c r="G137" s="9" t="str">
        <f ca="1">+WORLDCUP!BD67</f>
        <v>Austria</v>
      </c>
      <c r="H137" s="9" t="str">
        <f ca="1">+WORLDCUP!BD61</f>
        <v>Paraguay</v>
      </c>
      <c r="I137" s="9" t="str">
        <f ca="1">+WORLDCUP!BD69</f>
        <v>Ghana</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Ecuador</v>
      </c>
      <c r="D138" s="9" t="str">
        <f ca="1">+WORLDCUP!BD64</f>
        <v>Egipto</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Ecuador</v>
      </c>
      <c r="D139" s="9" t="str">
        <f ca="1">+WORLDCUP!BD64</f>
        <v>Egipto</v>
      </c>
      <c r="E139" s="9" t="str">
        <f ca="1">+WORLDCUP!BD59</f>
        <v>Bosnia y Herzegovina</v>
      </c>
      <c r="F139" s="9" t="str">
        <f ca="1">+WORLDCUP!BD60</f>
        <v>Escocia</v>
      </c>
      <c r="G139" s="9" t="str">
        <f ca="1">+WORLDCUP!BD67</f>
        <v>Austria</v>
      </c>
      <c r="H139" s="9" t="str">
        <f ca="1">+WORLDCUP!BD61</f>
        <v>Paraguay</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Ecuador</v>
      </c>
      <c r="D140" s="9" t="str">
        <f ca="1">+WORLDCUP!BD64</f>
        <v>Egipto</v>
      </c>
      <c r="E140" s="9" t="str">
        <f ca="1">+WORLDCUP!BD59</f>
        <v>Bosnia y Herzegovina</v>
      </c>
      <c r="F140" s="9" t="str">
        <f ca="1">+WORLDCUP!BD60</f>
        <v>Escocia</v>
      </c>
      <c r="G140" s="9" t="str">
        <f ca="1">+WORLDCUP!BD67</f>
        <v>Austria</v>
      </c>
      <c r="H140" s="9" t="str">
        <f ca="1">+WORLDCUP!BD61</f>
        <v>Paraguay</v>
      </c>
      <c r="I140" s="9" t="str">
        <f ca="1">+WORLDCUP!BD66</f>
        <v>Senegal</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Ecuador</v>
      </c>
      <c r="D141" s="9" t="str">
        <f ca="1">+WORLDCUP!BD64</f>
        <v>Egipto</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Egipto</v>
      </c>
      <c r="E142" s="9" t="str">
        <f ca="1">+WORLDCUP!BD59</f>
        <v>Bosnia y Herzegovina</v>
      </c>
      <c r="F142" s="9" t="str">
        <f ca="1">+WORLDCUP!BD60</f>
        <v>Escocia</v>
      </c>
      <c r="G142" s="9" t="str">
        <f ca="1">+WORLDCUP!BD67</f>
        <v>Austria</v>
      </c>
      <c r="H142" s="9" t="str">
        <f ca="1">+WORLDCUP!BD61</f>
        <v>Paraguay</v>
      </c>
      <c r="I142" s="9" t="str">
        <f ca="1">+WORLDCUP!BD69</f>
        <v>Ghana</v>
      </c>
      <c r="J142" s="9" t="str">
        <f ca="1">+WORLDCUP!BD62</f>
        <v>Ecuador</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Egipto</v>
      </c>
      <c r="E143" s="9" t="str">
        <f ca="1">+WORLDCUP!BD59</f>
        <v>Bosnia y Herzegovina</v>
      </c>
      <c r="F143" s="9" t="str">
        <f ca="1">+WORLDCUP!BD60</f>
        <v>Escocia</v>
      </c>
      <c r="G143" s="9" t="str">
        <f ca="1">+WORLDCUP!BD67</f>
        <v>Austria</v>
      </c>
      <c r="H143" s="9" t="str">
        <f ca="1">+WORLDCUP!BD61</f>
        <v>Paraguay</v>
      </c>
      <c r="I143" s="9" t="str">
        <f ca="1">+WORLDCUP!BD62</f>
        <v>Ecuador</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Ecuador</v>
      </c>
      <c r="D144" s="9" t="str">
        <f ca="1">+WORLDCUP!BD64</f>
        <v>Egipto</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Ecuador</v>
      </c>
      <c r="D145" s="9" t="str">
        <f ca="1">+WORLDCUP!BD64</f>
        <v>Egipto</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Egipto</v>
      </c>
      <c r="E146" s="9" t="str">
        <f ca="1">+WORLDCUP!BD59</f>
        <v>Bosnia y Herzegovina</v>
      </c>
      <c r="F146" s="9" t="str">
        <f ca="1">+WORLDCUP!BD60</f>
        <v>Escocia</v>
      </c>
      <c r="G146" s="9" t="str">
        <f ca="1">+WORLDCUP!BD67</f>
        <v>Austria</v>
      </c>
      <c r="H146" s="9" t="str">
        <f ca="1">+WORLDCUP!BD61</f>
        <v>Paraguay</v>
      </c>
      <c r="I146" s="9" t="str">
        <f ca="1">+WORLDCUP!BD62</f>
        <v>Ecuador</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Austria</v>
      </c>
      <c r="E147" s="9" t="str">
        <f ca="1">+WORLDCUP!BD59</f>
        <v>Bosnia y Herzegovina</v>
      </c>
      <c r="F147" s="9" t="str">
        <f ca="1">+WORLDCUP!BD61</f>
        <v>Paraguay</v>
      </c>
      <c r="G147" s="9" t="str">
        <f ca="1">+WORLDCUP!BD62</f>
        <v>Ecuador</v>
      </c>
      <c r="H147" s="9" t="str">
        <f ca="1">+WORLDCUP!BD63</f>
        <v>Japón</v>
      </c>
      <c r="I147" s="9" t="str">
        <f ca="1">+WORLDCUP!BD69</f>
        <v>Ghana</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Japón</v>
      </c>
      <c r="I148" s="9" t="str">
        <f ca="1">+WORLDCUP!BD69</f>
        <v>Ghana</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Austria</v>
      </c>
      <c r="E149" s="9" t="str">
        <f ca="1">+WORLDCUP!BD59</f>
        <v>Bosnia y Herzegovina</v>
      </c>
      <c r="F149" s="9" t="str">
        <f ca="1">+WORLDCUP!BD61</f>
        <v>Paraguay</v>
      </c>
      <c r="G149" s="9" t="str">
        <f ca="1">+WORLDCUP!BD62</f>
        <v>Ecuador</v>
      </c>
      <c r="H149" s="9" t="str">
        <f ca="1">+WORLDCUP!BD63</f>
        <v>Japón</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Austria</v>
      </c>
      <c r="E150" s="9" t="str">
        <f ca="1">+WORLDCUP!BD59</f>
        <v>Bosnia y Herzegovina</v>
      </c>
      <c r="F150" s="9" t="str">
        <f ca="1">+WORLDCUP!BD61</f>
        <v>Paraguay</v>
      </c>
      <c r="G150" s="9" t="str">
        <f ca="1">+WORLDCUP!BD62</f>
        <v>Ecuador</v>
      </c>
      <c r="H150" s="9" t="str">
        <f ca="1">+WORLDCUP!BD63</f>
        <v>Japón</v>
      </c>
      <c r="I150" s="9" t="str">
        <f ca="1">+WORLDCUP!BD66</f>
        <v>Senegal</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Arabia Saudita</v>
      </c>
      <c r="H151" s="9" t="str">
        <f ca="1">+WORLDCUP!BD63</f>
        <v>Japón</v>
      </c>
      <c r="I151" s="9" t="str">
        <f ca="1">+WORLDCUP!BD69</f>
        <v>Ghana</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Austria</v>
      </c>
      <c r="E152" s="9" t="str">
        <f ca="1">+WORLDCUP!BD59</f>
        <v>Bosnia y Herzegovina</v>
      </c>
      <c r="F152" s="9" t="str">
        <f ca="1">+WORLDCUP!BD61</f>
        <v>Paraguay</v>
      </c>
      <c r="G152" s="9" t="str">
        <f ca="1">+WORLDCUP!BD65</f>
        <v>Arabia Saudita</v>
      </c>
      <c r="H152" s="9" t="str">
        <f ca="1">+WORLDCUP!BD63</f>
        <v>Japón</v>
      </c>
      <c r="I152" s="9" t="str">
        <f ca="1">+WORLDCUP!BD69</f>
        <v>Ghana</v>
      </c>
      <c r="J152" s="9" t="str">
        <f ca="1">+WORLDCUP!BD62</f>
        <v>Ecuador</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Austria</v>
      </c>
      <c r="E153" s="9" t="str">
        <f ca="1">+WORLDCUP!BD59</f>
        <v>Bosnia y Herzegovina</v>
      </c>
      <c r="F153" s="9" t="str">
        <f ca="1">+WORLDCUP!BD61</f>
        <v>Paraguay</v>
      </c>
      <c r="G153" s="9" t="str">
        <f ca="1">+WORLDCUP!BD65</f>
        <v>Arabia Saudita</v>
      </c>
      <c r="H153" s="9" t="str">
        <f ca="1">+WORLDCUP!BD63</f>
        <v>Japón</v>
      </c>
      <c r="I153" s="9" t="str">
        <f ca="1">+WORLDCUP!BD62</f>
        <v>Ecuador</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Arabia Saudita</v>
      </c>
      <c r="H154" s="9" t="str">
        <f ca="1">+WORLDCUP!BD63</f>
        <v>Japón</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Arabia Saudita</v>
      </c>
      <c r="H155" s="9" t="str">
        <f ca="1">+WORLDCUP!BD63</f>
        <v>Japón</v>
      </c>
      <c r="I155" s="9" t="str">
        <f ca="1">+WORLDCUP!BD66</f>
        <v>Senegal</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Austria</v>
      </c>
      <c r="E156" s="9" t="str">
        <f ca="1">+WORLDCUP!BD59</f>
        <v>Bosnia y Herzegovina</v>
      </c>
      <c r="F156" s="9" t="str">
        <f ca="1">+WORLDCUP!BD61</f>
        <v>Paraguay</v>
      </c>
      <c r="G156" s="9" t="str">
        <f ca="1">+WORLDCUP!BD65</f>
        <v>Arabia Saudita</v>
      </c>
      <c r="H156" s="9" t="str">
        <f ca="1">+WORLDCUP!BD63</f>
        <v>Japón</v>
      </c>
      <c r="I156" s="9" t="str">
        <f ca="1">+WORLDCUP!BD62</f>
        <v>Ecuador</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Egipto</v>
      </c>
      <c r="E157" s="9" t="str">
        <f ca="1">+WORLDCUP!BD59</f>
        <v>Bosnia y Herzegovina</v>
      </c>
      <c r="F157" s="9" t="str">
        <f ca="1">+WORLDCUP!BD61</f>
        <v>Paraguay</v>
      </c>
      <c r="G157" s="9" t="str">
        <f ca="1">+WORLDCUP!BD62</f>
        <v>Ecuador</v>
      </c>
      <c r="H157" s="9" t="str">
        <f ca="1">+WORLDCUP!BD63</f>
        <v>Japón</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Egipto</v>
      </c>
      <c r="E158" s="9" t="str">
        <f ca="1">+WORLDCUP!BD59</f>
        <v>Bosnia y Herzegovina</v>
      </c>
      <c r="F158" s="9" t="str">
        <f ca="1">+WORLDCUP!BD61</f>
        <v>Paraguay</v>
      </c>
      <c r="G158" s="9" t="str">
        <f ca="1">+WORLDCUP!BD67</f>
        <v>Austria</v>
      </c>
      <c r="H158" s="9" t="str">
        <f ca="1">+WORLDCUP!BD63</f>
        <v>Japón</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Egipto</v>
      </c>
      <c r="E159" s="9" t="str">
        <f ca="1">+WORLDCUP!BD59</f>
        <v>Bosnia y Herzegovina</v>
      </c>
      <c r="F159" s="9" t="str">
        <f ca="1">+WORLDCUP!BD61</f>
        <v>Paraguay</v>
      </c>
      <c r="G159" s="9" t="str">
        <f ca="1">+WORLDCUP!BD67</f>
        <v>Austria</v>
      </c>
      <c r="H159" s="9" t="str">
        <f ca="1">+WORLDCUP!BD63</f>
        <v>Japón</v>
      </c>
      <c r="I159" s="9" t="str">
        <f ca="1">+WORLDCUP!BD62</f>
        <v>Ecuador</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1</v>
      </c>
      <c r="C160" s="9" t="str">
        <f ca="1">+WORLDCUP!BD60</f>
        <v>Escocia</v>
      </c>
      <c r="D160" s="9" t="str">
        <f ca="1">+WORLDCUP!BD64</f>
        <v>Egipto</v>
      </c>
      <c r="E160" s="9" t="str">
        <f ca="1">+WORLDCUP!BD59</f>
        <v>Bosnia y Herzegovina</v>
      </c>
      <c r="F160" s="9" t="str">
        <f ca="1">+WORLDCUP!BD61</f>
        <v>Paraguay</v>
      </c>
      <c r="G160" s="9" t="str">
        <f ca="1">+WORLDCUP!BD62</f>
        <v>Ecuador</v>
      </c>
      <c r="H160" s="9" t="str">
        <f ca="1">+WORLDCUP!BD63</f>
        <v>Japón</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Egipto</v>
      </c>
      <c r="E161" s="9" t="str">
        <f ca="1">+WORLDCUP!BD59</f>
        <v>Bosnia y Herzegovina</v>
      </c>
      <c r="F161" s="9" t="str">
        <f ca="1">+WORLDCUP!BD61</f>
        <v>Paraguay</v>
      </c>
      <c r="G161" s="9" t="str">
        <f ca="1">+WORLDCUP!BD62</f>
        <v>Ecuador</v>
      </c>
      <c r="H161" s="9" t="str">
        <f ca="1">+WORLDCUP!BD63</f>
        <v>Japón</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Egipto</v>
      </c>
      <c r="E162" s="9" t="str">
        <f ca="1">+WORLDCUP!BD59</f>
        <v>Bosnia y Herzegovina</v>
      </c>
      <c r="F162" s="9" t="str">
        <f ca="1">+WORLDCUP!BD61</f>
        <v>Paraguay</v>
      </c>
      <c r="G162" s="9" t="str">
        <f ca="1">+WORLDCUP!BD67</f>
        <v>Austria</v>
      </c>
      <c r="H162" s="9" t="str">
        <f ca="1">+WORLDCUP!BD63</f>
        <v>Japón</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Egipto</v>
      </c>
      <c r="E163" s="9" t="str">
        <f ca="1">+WORLDCUP!BD59</f>
        <v>Bosnia y Herzegovina</v>
      </c>
      <c r="F163" s="9" t="str">
        <f ca="1">+WORLDCUP!BD61</f>
        <v>Paraguay</v>
      </c>
      <c r="G163" s="9" t="str">
        <f ca="1">+WORLDCUP!BD65</f>
        <v>Arabia Saudita</v>
      </c>
      <c r="H163" s="9" t="str">
        <f ca="1">+WORLDCUP!BD63</f>
        <v>Japón</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Egipto</v>
      </c>
      <c r="E164" s="9" t="str">
        <f ca="1">+WORLDCUP!BD59</f>
        <v>Bosnia y Herzegovina</v>
      </c>
      <c r="F164" s="9" t="str">
        <f ca="1">+WORLDCUP!BD61</f>
        <v>Paraguay</v>
      </c>
      <c r="G164" s="9" t="str">
        <f ca="1">+WORLDCUP!BD65</f>
        <v>Arabia Saudita</v>
      </c>
      <c r="H164" s="9" t="str">
        <f ca="1">+WORLDCUP!BD63</f>
        <v>Japón</v>
      </c>
      <c r="I164" s="9" t="str">
        <f ca="1">+WORLDCUP!BD62</f>
        <v>Ecuador</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Bosnia y Herzegovina</v>
      </c>
      <c r="F165" s="9" t="str">
        <f ca="1">+WORLDCUP!BD60</f>
        <v>Escocia</v>
      </c>
      <c r="G165" s="9" t="str">
        <f ca="1">+WORLDCUP!BD67</f>
        <v>Austria</v>
      </c>
      <c r="H165" s="9" t="str">
        <f ca="1">+WORLDCUP!BD63</f>
        <v>Japón</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Egipto</v>
      </c>
      <c r="E166" s="9" t="str">
        <f ca="1">+WORLDCUP!BD59</f>
        <v>Bosnia y Herzegovina</v>
      </c>
      <c r="F166" s="9" t="str">
        <f ca="1">+WORLDCUP!BD61</f>
        <v>Paraguay</v>
      </c>
      <c r="G166" s="9" t="str">
        <f ca="1">+WORLDCUP!BD65</f>
        <v>Arabia Saudita</v>
      </c>
      <c r="H166" s="9" t="str">
        <f ca="1">+WORLDCUP!BD63</f>
        <v>Japón</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Austria</v>
      </c>
      <c r="E167" s="9" t="str">
        <f ca="1">+WORLDCUP!BD66</f>
        <v>Senegal</v>
      </c>
      <c r="F167" s="9" t="str">
        <f ca="1">+WORLDCUP!BD63</f>
        <v>Japón</v>
      </c>
      <c r="G167" s="9" t="str">
        <f ca="1">+WORLDCUP!BD58</f>
        <v>Sudáfrica</v>
      </c>
      <c r="H167" s="9" t="str">
        <f ca="1">+WORLDCUP!BD64</f>
        <v>Egipto</v>
      </c>
      <c r="I167" s="9" t="str">
        <f ca="1">+WORLDCUP!BD69</f>
        <v>Ghana</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Ecuador</v>
      </c>
      <c r="D168" s="9" t="str">
        <f ca="1">+WORLDCUP!BD67</f>
        <v>Austria</v>
      </c>
      <c r="E168" s="9" t="str">
        <f ca="1">+WORLDCUP!BD66</f>
        <v>Senegal</v>
      </c>
      <c r="F168" s="9" t="str">
        <f ca="1">+WORLDCUP!BD58</f>
        <v>Sudáfrica</v>
      </c>
      <c r="G168" s="9" t="str">
        <f ca="1">+WORLDCUP!BD65</f>
        <v>Arabia Saudita</v>
      </c>
      <c r="H168" s="9" t="str">
        <f ca="1">+WORLDCUP!BD64</f>
        <v>Egipto</v>
      </c>
      <c r="I168" s="9" t="str">
        <f ca="1">+WORLDCUP!BD69</f>
        <v>Ghana</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Ecuador</v>
      </c>
      <c r="D169" s="9" t="str">
        <f ca="1">+WORLDCUP!BD67</f>
        <v>Austria</v>
      </c>
      <c r="E169" s="9" t="str">
        <f ca="1">+WORLDCUP!BD66</f>
        <v>Senegal</v>
      </c>
      <c r="F169" s="9" t="str">
        <f ca="1">+WORLDCUP!BD63</f>
        <v>Japón</v>
      </c>
      <c r="G169" s="9" t="str">
        <f ca="1">+WORLDCUP!BD58</f>
        <v>Sudáfrica</v>
      </c>
      <c r="H169" s="9" t="str">
        <f ca="1">+WORLDCUP!BD65</f>
        <v>Arabia Saudita</v>
      </c>
      <c r="I169" s="9" t="str">
        <f ca="1">+WORLDCUP!BD69</f>
        <v>Ghana</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Ecuador</v>
      </c>
      <c r="D170" s="9" t="str">
        <f ca="1">+WORLDCUP!BD67</f>
        <v>Austria</v>
      </c>
      <c r="E170" s="9" t="str">
        <f ca="1">+WORLDCUP!BD66</f>
        <v>Senegal</v>
      </c>
      <c r="F170" s="9" t="str">
        <f ca="1">+WORLDCUP!BD63</f>
        <v>Japón</v>
      </c>
      <c r="G170" s="9" t="str">
        <f ca="1">+WORLDCUP!BD58</f>
        <v>Sudáfrica</v>
      </c>
      <c r="H170" s="9" t="str">
        <f ca="1">+WORLDCUP!BD64</f>
        <v>Egipto</v>
      </c>
      <c r="I170" s="9" t="str">
        <f ca="1">+WORLDCUP!BD69</f>
        <v>Ghana</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Ecuador</v>
      </c>
      <c r="D171" s="9" t="str">
        <f ca="1">+WORLDCUP!BD64</f>
        <v>Egipto</v>
      </c>
      <c r="E171" s="9" t="str">
        <f ca="1">+WORLDCUP!BD67</f>
        <v>Austria</v>
      </c>
      <c r="F171" s="9" t="str">
        <f ca="1">+WORLDCUP!BD63</f>
        <v>Japón</v>
      </c>
      <c r="G171" s="9" t="str">
        <f ca="1">+WORLDCUP!BD58</f>
        <v>Sudáfrica</v>
      </c>
      <c r="H171" s="9" t="str">
        <f ca="1">+WORLDCUP!BD65</f>
        <v>Arabia Saudita</v>
      </c>
      <c r="I171" s="9" t="str">
        <f ca="1">+WORLDCUP!BD69</f>
        <v>Ghana</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Ecuador</v>
      </c>
      <c r="D172" s="9" t="str">
        <f ca="1">+WORLDCUP!BD64</f>
        <v>Egipto</v>
      </c>
      <c r="E172" s="9" t="str">
        <f ca="1">+WORLDCUP!BD66</f>
        <v>Senegal</v>
      </c>
      <c r="F172" s="9" t="str">
        <f ca="1">+WORLDCUP!BD63</f>
        <v>Japón</v>
      </c>
      <c r="G172" s="9" t="str">
        <f ca="1">+WORLDCUP!BD58</f>
        <v>Sudáfrica</v>
      </c>
      <c r="H172" s="9" t="str">
        <f ca="1">+WORLDCUP!BD65</f>
        <v>Arabia Saudita</v>
      </c>
      <c r="I172" s="9" t="str">
        <f ca="1">+WORLDCUP!BD69</f>
        <v>Ghana</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Ecuador</v>
      </c>
      <c r="D173" s="9" t="str">
        <f ca="1">+WORLDCUP!BD64</f>
        <v>Egipto</v>
      </c>
      <c r="E173" s="9" t="str">
        <f ca="1">+WORLDCUP!BD67</f>
        <v>Austria</v>
      </c>
      <c r="F173" s="9" t="str">
        <f ca="1">+WORLDCUP!BD63</f>
        <v>Japón</v>
      </c>
      <c r="G173" s="9" t="str">
        <f ca="1">+WORLDCUP!BD58</f>
        <v>Sudáfrica</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Ecuador</v>
      </c>
      <c r="D174" s="9" t="str">
        <f ca="1">+WORLDCUP!BD64</f>
        <v>Egipto</v>
      </c>
      <c r="E174" s="9" t="str">
        <f ca="1">+WORLDCUP!BD67</f>
        <v>Austria</v>
      </c>
      <c r="F174" s="9" t="str">
        <f ca="1">+WORLDCUP!BD63</f>
        <v>Japón</v>
      </c>
      <c r="G174" s="9" t="str">
        <f ca="1">+WORLDCUP!BD58</f>
        <v>Sudáfrica</v>
      </c>
      <c r="H174" s="9" t="str">
        <f ca="1">+WORLDCUP!BD65</f>
        <v>Arabia Saudita</v>
      </c>
      <c r="I174" s="9" t="str">
        <f ca="1">+WORLDCUP!BD66</f>
        <v>Senegal</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Austria</v>
      </c>
      <c r="E175" s="9" t="str">
        <f ca="1">+WORLDCUP!BD66</f>
        <v>Senegal</v>
      </c>
      <c r="F175" s="9" t="str">
        <f ca="1">+WORLDCUP!BD61</f>
        <v>Paraguay</v>
      </c>
      <c r="G175" s="9" t="str">
        <f ca="1">+WORLDCUP!BD58</f>
        <v>Sudáfrica</v>
      </c>
      <c r="H175" s="9" t="str">
        <f ca="1">+WORLDCUP!BD64</f>
        <v>Egipto</v>
      </c>
      <c r="I175" s="9" t="str">
        <f ca="1">+WORLDCUP!BD69</f>
        <v>Ghana</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Austria</v>
      </c>
      <c r="E176" s="9" t="str">
        <f ca="1">+WORLDCUP!BD66</f>
        <v>Senegal</v>
      </c>
      <c r="F176" s="9" t="str">
        <f ca="1">+WORLDCUP!BD61</f>
        <v>Paraguay</v>
      </c>
      <c r="G176" s="9" t="str">
        <f ca="1">+WORLDCUP!BD58</f>
        <v>Sudáfrica</v>
      </c>
      <c r="H176" s="9" t="str">
        <f ca="1">+WORLDCUP!BD63</f>
        <v>Japón</v>
      </c>
      <c r="I176" s="9" t="str">
        <f ca="1">+WORLDCUP!BD69</f>
        <v>Ghana</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Egipto</v>
      </c>
      <c r="E177" s="9" t="str">
        <f ca="1">+WORLDCUP!BD67</f>
        <v>Austria</v>
      </c>
      <c r="F177" s="9" t="str">
        <f ca="1">+WORLDCUP!BD61</f>
        <v>Paraguay</v>
      </c>
      <c r="G177" s="9" t="str">
        <f ca="1">+WORLDCUP!BD58</f>
        <v>Sudáfrica</v>
      </c>
      <c r="H177" s="9" t="str">
        <f ca="1">+WORLDCUP!BD63</f>
        <v>Japón</v>
      </c>
      <c r="I177" s="9" t="str">
        <f ca="1">+WORLDCUP!BD69</f>
        <v>Ghana</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Egipto</v>
      </c>
      <c r="E178" s="9" t="str">
        <f ca="1">+WORLDCUP!BD67</f>
        <v>Austria</v>
      </c>
      <c r="F178" s="9" t="str">
        <f ca="1">+WORLDCUP!BD61</f>
        <v>Paraguay</v>
      </c>
      <c r="G178" s="9" t="str">
        <f ca="1">+WORLDCUP!BD58</f>
        <v>Sudáfrica</v>
      </c>
      <c r="H178" s="9" t="str">
        <f ca="1">+WORLDCUP!BD63</f>
        <v>Japón</v>
      </c>
      <c r="I178" s="9" t="str">
        <f ca="1">+WORLDCUP!BD69</f>
        <v>Ghana</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Egipto</v>
      </c>
      <c r="E179" s="9" t="str">
        <f ca="1">+WORLDCUP!BD66</f>
        <v>Senegal</v>
      </c>
      <c r="F179" s="9" t="str">
        <f ca="1">+WORLDCUP!BD61</f>
        <v>Paraguay</v>
      </c>
      <c r="G179" s="9" t="str">
        <f ca="1">+WORLDCUP!BD58</f>
        <v>Sudáfrica</v>
      </c>
      <c r="H179" s="9" t="str">
        <f ca="1">+WORLDCUP!BD63</f>
        <v>Japón</v>
      </c>
      <c r="I179" s="9" t="str">
        <f ca="1">+WORLDCUP!BD69</f>
        <v>Ghana</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Egipto</v>
      </c>
      <c r="E180" s="9" t="str">
        <f ca="1">+WORLDCUP!BD67</f>
        <v>Austria</v>
      </c>
      <c r="F180" s="9" t="str">
        <f ca="1">+WORLDCUP!BD61</f>
        <v>Paraguay</v>
      </c>
      <c r="G180" s="9" t="str">
        <f ca="1">+WORLDCUP!BD58</f>
        <v>Sudáfrica</v>
      </c>
      <c r="H180" s="9" t="str">
        <f ca="1">+WORLDCUP!BD63</f>
        <v>Japón</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Egipto</v>
      </c>
      <c r="E181" s="9" t="str">
        <f ca="1">+WORLDCUP!BD67</f>
        <v>Austria</v>
      </c>
      <c r="F181" s="9" t="str">
        <f ca="1">+WORLDCUP!BD61</f>
        <v>Paraguay</v>
      </c>
      <c r="G181" s="9" t="str">
        <f ca="1">+WORLDCUP!BD58</f>
        <v>Sudáfrica</v>
      </c>
      <c r="H181" s="9" t="str">
        <f ca="1">+WORLDCUP!BD63</f>
        <v>Japón</v>
      </c>
      <c r="I181" s="9" t="str">
        <f ca="1">+WORLDCUP!BD66</f>
        <v>Senegal</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Ecuador</v>
      </c>
      <c r="D182" s="9" t="str">
        <f ca="1">+WORLDCUP!BD67</f>
        <v>Austria</v>
      </c>
      <c r="E182" s="9" t="str">
        <f ca="1">+WORLDCUP!BD66</f>
        <v>Senegal</v>
      </c>
      <c r="F182" s="9" t="str">
        <f ca="1">+WORLDCUP!BD61</f>
        <v>Paraguay</v>
      </c>
      <c r="G182" s="9" t="str">
        <f ca="1">+WORLDCUP!BD58</f>
        <v>Sudáfrica</v>
      </c>
      <c r="H182" s="9" t="str">
        <f ca="1">+WORLDCUP!BD65</f>
        <v>Arabia Saudita</v>
      </c>
      <c r="I182" s="9" t="str">
        <f ca="1">+WORLDCUP!BD69</f>
        <v>Ghana</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Ecuador</v>
      </c>
      <c r="D183" s="9" t="str">
        <f ca="1">+WORLDCUP!BD67</f>
        <v>Austria</v>
      </c>
      <c r="E183" s="9" t="str">
        <f ca="1">+WORLDCUP!BD66</f>
        <v>Senegal</v>
      </c>
      <c r="F183" s="9" t="str">
        <f ca="1">+WORLDCUP!BD61</f>
        <v>Paraguay</v>
      </c>
      <c r="G183" s="9" t="str">
        <f ca="1">+WORLDCUP!BD58</f>
        <v>Sudáfrica</v>
      </c>
      <c r="H183" s="9" t="str">
        <f ca="1">+WORLDCUP!BD64</f>
        <v>Egipto</v>
      </c>
      <c r="I183" s="9" t="str">
        <f ca="1">+WORLDCUP!BD69</f>
        <v>Ghana</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Ecuador</v>
      </c>
      <c r="D184" s="9" t="str">
        <f ca="1">+WORLDCUP!BD64</f>
        <v>Egipto</v>
      </c>
      <c r="E184" s="9" t="str">
        <f ca="1">+WORLDCUP!BD67</f>
        <v>Austria</v>
      </c>
      <c r="F184" s="9" t="str">
        <f ca="1">+WORLDCUP!BD61</f>
        <v>Paraguay</v>
      </c>
      <c r="G184" s="9" t="str">
        <f ca="1">+WORLDCUP!BD58</f>
        <v>Sudáfrica</v>
      </c>
      <c r="H184" s="9" t="str">
        <f ca="1">+WORLDCUP!BD65</f>
        <v>Arabia Saudita</v>
      </c>
      <c r="I184" s="9" t="str">
        <f ca="1">+WORLDCUP!BD69</f>
        <v>Ghana</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Ecuador</v>
      </c>
      <c r="D185" s="9" t="str">
        <f ca="1">+WORLDCUP!BD64</f>
        <v>Egipto</v>
      </c>
      <c r="E185" s="9" t="str">
        <f ca="1">+WORLDCUP!BD66</f>
        <v>Senegal</v>
      </c>
      <c r="F185" s="9" t="str">
        <f ca="1">+WORLDCUP!BD61</f>
        <v>Paraguay</v>
      </c>
      <c r="G185" s="9" t="str">
        <f ca="1">+WORLDCUP!BD58</f>
        <v>Sudáfrica</v>
      </c>
      <c r="H185" s="9" t="str">
        <f ca="1">+WORLDCUP!BD65</f>
        <v>Arabia Saudita</v>
      </c>
      <c r="I185" s="9" t="str">
        <f ca="1">+WORLDCUP!BD69</f>
        <v>Ghana</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Ecuador</v>
      </c>
      <c r="D186" s="9" t="str">
        <f ca="1">+WORLDCUP!BD64</f>
        <v>Egipto</v>
      </c>
      <c r="E186" s="9" t="str">
        <f ca="1">+WORLDCUP!BD67</f>
        <v>Austria</v>
      </c>
      <c r="F186" s="9" t="str">
        <f ca="1">+WORLDCUP!BD61</f>
        <v>Paraguay</v>
      </c>
      <c r="G186" s="9" t="str">
        <f ca="1">+WORLDCUP!BD58</f>
        <v>Sudáfrica</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Ecuador</v>
      </c>
      <c r="D187" s="9" t="str">
        <f ca="1">+WORLDCUP!BD64</f>
        <v>Egipto</v>
      </c>
      <c r="E187" s="9" t="str">
        <f ca="1">+WORLDCUP!BD67</f>
        <v>Austria</v>
      </c>
      <c r="F187" s="9" t="str">
        <f ca="1">+WORLDCUP!BD61</f>
        <v>Paraguay</v>
      </c>
      <c r="G187" s="9" t="str">
        <f ca="1">+WORLDCUP!BD58</f>
        <v>Sudáfrica</v>
      </c>
      <c r="H187" s="9" t="str">
        <f ca="1">+WORLDCUP!BD65</f>
        <v>Arabia Saudita</v>
      </c>
      <c r="I187" s="9" t="str">
        <f ca="1">+WORLDCUP!BD66</f>
        <v>Senegal</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Ecuador</v>
      </c>
      <c r="D188" s="9" t="str">
        <f ca="1">+WORLDCUP!BD67</f>
        <v>Austria</v>
      </c>
      <c r="E188" s="9" t="str">
        <f ca="1">+WORLDCUP!BD66</f>
        <v>Senegal</v>
      </c>
      <c r="F188" s="9" t="str">
        <f ca="1">+WORLDCUP!BD61</f>
        <v>Paraguay</v>
      </c>
      <c r="G188" s="9" t="str">
        <f ca="1">+WORLDCUP!BD58</f>
        <v>Sudáfrica</v>
      </c>
      <c r="H188" s="9" t="str">
        <f ca="1">+WORLDCUP!BD63</f>
        <v>Japón</v>
      </c>
      <c r="I188" s="9" t="str">
        <f ca="1">+WORLDCUP!BD69</f>
        <v>Ghana</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Austria</v>
      </c>
      <c r="E189" s="9" t="str">
        <f ca="1">+WORLDCUP!BD62</f>
        <v>Ecuador</v>
      </c>
      <c r="F189" s="9" t="str">
        <f ca="1">+WORLDCUP!BD61</f>
        <v>Paraguay</v>
      </c>
      <c r="G189" s="9" t="str">
        <f ca="1">+WORLDCUP!BD58</f>
        <v>Sudáfrica</v>
      </c>
      <c r="H189" s="9" t="str">
        <f ca="1">+WORLDCUP!BD63</f>
        <v>Japón</v>
      </c>
      <c r="I189" s="9" t="str">
        <f ca="1">+WORLDCUP!BD69</f>
        <v>Ghana</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Ecuador</v>
      </c>
      <c r="E190" s="9" t="str">
        <f ca="1">+WORLDCUP!BD66</f>
        <v>Senegal</v>
      </c>
      <c r="F190" s="9" t="str">
        <f ca="1">+WORLDCUP!BD61</f>
        <v>Paraguay</v>
      </c>
      <c r="G190" s="9" t="str">
        <f ca="1">+WORLDCUP!BD58</f>
        <v>Sudáfrica</v>
      </c>
      <c r="H190" s="9" t="str">
        <f ca="1">+WORLDCUP!BD63</f>
        <v>Japón</v>
      </c>
      <c r="I190" s="9" t="str">
        <f ca="1">+WORLDCUP!BD69</f>
        <v>Ghana</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Austria</v>
      </c>
      <c r="E191" s="9" t="str">
        <f ca="1">+WORLDCUP!BD62</f>
        <v>Ecuador</v>
      </c>
      <c r="F191" s="9" t="str">
        <f ca="1">+WORLDCUP!BD61</f>
        <v>Paraguay</v>
      </c>
      <c r="G191" s="9" t="str">
        <f ca="1">+WORLDCUP!BD58</f>
        <v>Sudáfrica</v>
      </c>
      <c r="H191" s="9" t="str">
        <f ca="1">+WORLDCUP!BD63</f>
        <v>Japón</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Austria</v>
      </c>
      <c r="E192" s="9" t="str">
        <f ca="1">+WORLDCUP!BD62</f>
        <v>Ecuador</v>
      </c>
      <c r="F192" s="9" t="str">
        <f ca="1">+WORLDCUP!BD61</f>
        <v>Paraguay</v>
      </c>
      <c r="G192" s="9" t="str">
        <f ca="1">+WORLDCUP!BD58</f>
        <v>Sudáfrica</v>
      </c>
      <c r="H192" s="9" t="str">
        <f ca="1">+WORLDCUP!BD63</f>
        <v>Japón</v>
      </c>
      <c r="I192" s="9" t="str">
        <f ca="1">+WORLDCUP!BD66</f>
        <v>Senegal</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Ecuador</v>
      </c>
      <c r="D193" s="9" t="str">
        <f ca="1">+WORLDCUP!BD64</f>
        <v>Egipto</v>
      </c>
      <c r="E193" s="9" t="str">
        <f ca="1">+WORLDCUP!BD67</f>
        <v>Austria</v>
      </c>
      <c r="F193" s="9" t="str">
        <f ca="1">+WORLDCUP!BD61</f>
        <v>Paraguay</v>
      </c>
      <c r="G193" s="9" t="str">
        <f ca="1">+WORLDCUP!BD58</f>
        <v>Sudáfrica</v>
      </c>
      <c r="H193" s="9" t="str">
        <f ca="1">+WORLDCUP!BD63</f>
        <v>Japón</v>
      </c>
      <c r="I193" s="9" t="str">
        <f ca="1">+WORLDCUP!BD69</f>
        <v>Ghana</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Ecuador</v>
      </c>
      <c r="D194" s="9" t="str">
        <f ca="1">+WORLDCUP!BD64</f>
        <v>Egipto</v>
      </c>
      <c r="E194" s="9" t="str">
        <f ca="1">+WORLDCUP!BD66</f>
        <v>Senegal</v>
      </c>
      <c r="F194" s="9" t="str">
        <f ca="1">+WORLDCUP!BD61</f>
        <v>Paraguay</v>
      </c>
      <c r="G194" s="9" t="str">
        <f ca="1">+WORLDCUP!BD58</f>
        <v>Sudáfrica</v>
      </c>
      <c r="H194" s="9" t="str">
        <f ca="1">+WORLDCUP!BD63</f>
        <v>Japón</v>
      </c>
      <c r="I194" s="9" t="str">
        <f ca="1">+WORLDCUP!BD69</f>
        <v>Ghana</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Ecuador</v>
      </c>
      <c r="D195" s="9" t="str">
        <f ca="1">+WORLDCUP!BD64</f>
        <v>Egipto</v>
      </c>
      <c r="E195" s="9" t="str">
        <f ca="1">+WORLDCUP!BD67</f>
        <v>Austria</v>
      </c>
      <c r="F195" s="9" t="str">
        <f ca="1">+WORLDCUP!BD61</f>
        <v>Paraguay</v>
      </c>
      <c r="G195" s="9" t="str">
        <f ca="1">+WORLDCUP!BD58</f>
        <v>Sudáfrica</v>
      </c>
      <c r="H195" s="9" t="str">
        <f ca="1">+WORLDCUP!BD63</f>
        <v>Japón</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Ecuador</v>
      </c>
      <c r="D196" s="9" t="str">
        <f ca="1">+WORLDCUP!BD64</f>
        <v>Egipto</v>
      </c>
      <c r="E196" s="9" t="str">
        <f ca="1">+WORLDCUP!BD67</f>
        <v>Austria</v>
      </c>
      <c r="F196" s="9" t="str">
        <f ca="1">+WORLDCUP!BD61</f>
        <v>Paraguay</v>
      </c>
      <c r="G196" s="9" t="str">
        <f ca="1">+WORLDCUP!BD58</f>
        <v>Sudáfrica</v>
      </c>
      <c r="H196" s="9" t="str">
        <f ca="1">+WORLDCUP!BD63</f>
        <v>Japón</v>
      </c>
      <c r="I196" s="9" t="str">
        <f ca="1">+WORLDCUP!BD66</f>
        <v>Senegal</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Egipto</v>
      </c>
      <c r="E197" s="9" t="str">
        <f ca="1">+WORLDCUP!BD62</f>
        <v>Ecuador</v>
      </c>
      <c r="F197" s="9" t="str">
        <f ca="1">+WORLDCUP!BD61</f>
        <v>Paraguay</v>
      </c>
      <c r="G197" s="9" t="str">
        <f ca="1">+WORLDCUP!BD58</f>
        <v>Sudáfrica</v>
      </c>
      <c r="H197" s="9" t="str">
        <f ca="1">+WORLDCUP!BD63</f>
        <v>Japón</v>
      </c>
      <c r="I197" s="9" t="str">
        <f ca="1">+WORLDCUP!BD69</f>
        <v>Ghana</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Egipto</v>
      </c>
      <c r="E198" s="9" t="str">
        <f ca="1">+WORLDCUP!BD67</f>
        <v>Austria</v>
      </c>
      <c r="F198" s="9" t="str">
        <f ca="1">+WORLDCUP!BD61</f>
        <v>Paraguay</v>
      </c>
      <c r="G198" s="9" t="str">
        <f ca="1">+WORLDCUP!BD58</f>
        <v>Sudáfrica</v>
      </c>
      <c r="H198" s="9" t="str">
        <f ca="1">+WORLDCUP!BD63</f>
        <v>Japón</v>
      </c>
      <c r="I198" s="9" t="str">
        <f ca="1">+WORLDCUP!BD69</f>
        <v>Ghana</v>
      </c>
      <c r="J198" s="9" t="str">
        <f ca="1">+WORLDCUP!BD62</f>
        <v>Ecuador</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Egipto</v>
      </c>
      <c r="E199" s="9" t="str">
        <f ca="1">+WORLDCUP!BD67</f>
        <v>Austria</v>
      </c>
      <c r="F199" s="9" t="str">
        <f ca="1">+WORLDCUP!BD61</f>
        <v>Paraguay</v>
      </c>
      <c r="G199" s="9" t="str">
        <f ca="1">+WORLDCUP!BD58</f>
        <v>Sudáfrica</v>
      </c>
      <c r="H199" s="9" t="str">
        <f ca="1">+WORLDCUP!BD63</f>
        <v>Japón</v>
      </c>
      <c r="I199" s="9" t="str">
        <f ca="1">+WORLDCUP!BD62</f>
        <v>Ecuador</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Egipto</v>
      </c>
      <c r="E200" s="9" t="str">
        <f ca="1">+WORLDCUP!BD62</f>
        <v>Ecuador</v>
      </c>
      <c r="F200" s="9" t="str">
        <f ca="1">+WORLDCUP!BD61</f>
        <v>Paraguay</v>
      </c>
      <c r="G200" s="9" t="str">
        <f ca="1">+WORLDCUP!BD58</f>
        <v>Sudáfrica</v>
      </c>
      <c r="H200" s="9" t="str">
        <f ca="1">+WORLDCUP!BD63</f>
        <v>Japón</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Egipto</v>
      </c>
      <c r="E201" s="9" t="str">
        <f ca="1">+WORLDCUP!BD62</f>
        <v>Ecuador</v>
      </c>
      <c r="F201" s="9" t="str">
        <f ca="1">+WORLDCUP!BD61</f>
        <v>Paraguay</v>
      </c>
      <c r="G201" s="9" t="str">
        <f ca="1">+WORLDCUP!BD58</f>
        <v>Sudáfrica</v>
      </c>
      <c r="H201" s="9" t="str">
        <f ca="1">+WORLDCUP!BD63</f>
        <v>Japón</v>
      </c>
      <c r="I201" s="9" t="str">
        <f ca="1">+WORLDCUP!BD66</f>
        <v>Senegal</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Egipto</v>
      </c>
      <c r="E202" s="9" t="str">
        <f ca="1">+WORLDCUP!BD67</f>
        <v>Austria</v>
      </c>
      <c r="F202" s="9" t="str">
        <f ca="1">+WORLDCUP!BD61</f>
        <v>Paraguay</v>
      </c>
      <c r="G202" s="9" t="str">
        <f ca="1">+WORLDCUP!BD58</f>
        <v>Sudáfrica</v>
      </c>
      <c r="H202" s="9" t="str">
        <f ca="1">+WORLDCUP!BD63</f>
        <v>Japón</v>
      </c>
      <c r="I202" s="9" t="str">
        <f ca="1">+WORLDCUP!BD62</f>
        <v>Ecuador</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Sudáfrica</v>
      </c>
      <c r="H203" s="9" t="str">
        <f ca="1">+WORLDCUP!BD64</f>
        <v>Egipto</v>
      </c>
      <c r="I203" s="9" t="str">
        <f ca="1">+WORLDCUP!BD69</f>
        <v>Ghana</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Sudáfrica</v>
      </c>
      <c r="H204" s="9" t="str">
        <f ca="1">+WORLDCUP!BD63</f>
        <v>Japón</v>
      </c>
      <c r="I204" s="9" t="str">
        <f ca="1">+WORLDCUP!BD69</f>
        <v>Ghana</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Egipto</v>
      </c>
      <c r="E205" s="9" t="str">
        <f ca="1">+WORLDCUP!BD67</f>
        <v>Austria</v>
      </c>
      <c r="F205" s="9" t="str">
        <f ca="1">+WORLDCUP!BD60</f>
        <v>Escocia</v>
      </c>
      <c r="G205" s="9" t="str">
        <f ca="1">+WORLDCUP!BD58</f>
        <v>Sudáfrica</v>
      </c>
      <c r="H205" s="9" t="str">
        <f ca="1">+WORLDCUP!BD63</f>
        <v>Japón</v>
      </c>
      <c r="I205" s="9" t="str">
        <f ca="1">+WORLDCUP!BD69</f>
        <v>Ghana</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Egipto</v>
      </c>
      <c r="E206" s="9" t="str">
        <f ca="1">+WORLDCUP!BD67</f>
        <v>Austria</v>
      </c>
      <c r="F206" s="9" t="str">
        <f ca="1">+WORLDCUP!BD60</f>
        <v>Escocia</v>
      </c>
      <c r="G206" s="9" t="str">
        <f ca="1">+WORLDCUP!BD58</f>
        <v>Sudáfrica</v>
      </c>
      <c r="H206" s="9" t="str">
        <f ca="1">+WORLDCUP!BD63</f>
        <v>Japón</v>
      </c>
      <c r="I206" s="9" t="str">
        <f ca="1">+WORLDCUP!BD69</f>
        <v>Ghana</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Egipto</v>
      </c>
      <c r="E207" s="9" t="str">
        <f ca="1">+WORLDCUP!BD66</f>
        <v>Senegal</v>
      </c>
      <c r="F207" s="9" t="str">
        <f ca="1">+WORLDCUP!BD60</f>
        <v>Escocia</v>
      </c>
      <c r="G207" s="9" t="str">
        <f ca="1">+WORLDCUP!BD58</f>
        <v>Sudáfrica</v>
      </c>
      <c r="H207" s="9" t="str">
        <f ca="1">+WORLDCUP!BD63</f>
        <v>Japón</v>
      </c>
      <c r="I207" s="9" t="str">
        <f ca="1">+WORLDCUP!BD69</f>
        <v>Ghana</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Egipto</v>
      </c>
      <c r="E208" s="9" t="str">
        <f ca="1">+WORLDCUP!BD67</f>
        <v>Austria</v>
      </c>
      <c r="F208" s="9" t="str">
        <f ca="1">+WORLDCUP!BD60</f>
        <v>Escocia</v>
      </c>
      <c r="G208" s="9" t="str">
        <f ca="1">+WORLDCUP!BD58</f>
        <v>Sudáfrica</v>
      </c>
      <c r="H208" s="9" t="str">
        <f ca="1">+WORLDCUP!BD63</f>
        <v>Japón</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Egipto</v>
      </c>
      <c r="E209" s="9" t="str">
        <f ca="1">+WORLDCUP!BD67</f>
        <v>Austria</v>
      </c>
      <c r="F209" s="9" t="str">
        <f ca="1">+WORLDCUP!BD60</f>
        <v>Escocia</v>
      </c>
      <c r="G209" s="9" t="str">
        <f ca="1">+WORLDCUP!BD58</f>
        <v>Sudáfrica</v>
      </c>
      <c r="H209" s="9" t="str">
        <f ca="1">+WORLDCUP!BD63</f>
        <v>Japón</v>
      </c>
      <c r="I209" s="9" t="str">
        <f ca="1">+WORLDCUP!BD66</f>
        <v>Senegal</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Ecuador</v>
      </c>
      <c r="D210" s="9" t="str">
        <f ca="1">+WORLDCUP!BD67</f>
        <v>Austria</v>
      </c>
      <c r="E210" s="9" t="str">
        <f ca="1">+WORLDCUP!BD66</f>
        <v>Senegal</v>
      </c>
      <c r="F210" s="9" t="str">
        <f ca="1">+WORLDCUP!BD60</f>
        <v>Escocia</v>
      </c>
      <c r="G210" s="9" t="str">
        <f ca="1">+WORLDCUP!BD58</f>
        <v>Sudáfrica</v>
      </c>
      <c r="H210" s="9" t="str">
        <f ca="1">+WORLDCUP!BD65</f>
        <v>Arabia Saudita</v>
      </c>
      <c r="I210" s="9" t="str">
        <f ca="1">+WORLDCUP!BD69</f>
        <v>Ghana</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Ecuador</v>
      </c>
      <c r="D211" s="9" t="str">
        <f ca="1">+WORLDCUP!BD67</f>
        <v>Austria</v>
      </c>
      <c r="E211" s="9" t="str">
        <f ca="1">+WORLDCUP!BD66</f>
        <v>Senegal</v>
      </c>
      <c r="F211" s="9" t="str">
        <f ca="1">+WORLDCUP!BD60</f>
        <v>Escocia</v>
      </c>
      <c r="G211" s="9" t="str">
        <f ca="1">+WORLDCUP!BD58</f>
        <v>Sudáfrica</v>
      </c>
      <c r="H211" s="9" t="str">
        <f ca="1">+WORLDCUP!BD64</f>
        <v>Egipto</v>
      </c>
      <c r="I211" s="9" t="str">
        <f ca="1">+WORLDCUP!BD69</f>
        <v>Ghana</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Ecuador</v>
      </c>
      <c r="D212" s="9" t="str">
        <f ca="1">+WORLDCUP!BD64</f>
        <v>Egipto</v>
      </c>
      <c r="E212" s="9" t="str">
        <f ca="1">+WORLDCUP!BD67</f>
        <v>Austria</v>
      </c>
      <c r="F212" s="9" t="str">
        <f ca="1">+WORLDCUP!BD60</f>
        <v>Escocia</v>
      </c>
      <c r="G212" s="9" t="str">
        <f ca="1">+WORLDCUP!BD58</f>
        <v>Sudáfrica</v>
      </c>
      <c r="H212" s="9" t="str">
        <f ca="1">+WORLDCUP!BD65</f>
        <v>Arabia Saudita</v>
      </c>
      <c r="I212" s="9" t="str">
        <f ca="1">+WORLDCUP!BD69</f>
        <v>Ghana</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Ecuador</v>
      </c>
      <c r="D213" s="9" t="str">
        <f ca="1">+WORLDCUP!BD64</f>
        <v>Egipto</v>
      </c>
      <c r="E213" s="9" t="str">
        <f ca="1">+WORLDCUP!BD66</f>
        <v>Senegal</v>
      </c>
      <c r="F213" s="9" t="str">
        <f ca="1">+WORLDCUP!BD60</f>
        <v>Escocia</v>
      </c>
      <c r="G213" s="9" t="str">
        <f ca="1">+WORLDCUP!BD58</f>
        <v>Sudáfrica</v>
      </c>
      <c r="H213" s="9" t="str">
        <f ca="1">+WORLDCUP!BD65</f>
        <v>Arabia Saudita</v>
      </c>
      <c r="I213" s="9" t="str">
        <f ca="1">+WORLDCUP!BD69</f>
        <v>Ghana</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Ecuador</v>
      </c>
      <c r="D214" s="9" t="str">
        <f ca="1">+WORLDCUP!BD64</f>
        <v>Egipto</v>
      </c>
      <c r="E214" s="9" t="str">
        <f ca="1">+WORLDCUP!BD67</f>
        <v>Austria</v>
      </c>
      <c r="F214" s="9" t="str">
        <f ca="1">+WORLDCUP!BD60</f>
        <v>Escocia</v>
      </c>
      <c r="G214" s="9" t="str">
        <f ca="1">+WORLDCUP!BD58</f>
        <v>Sudáfrica</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Ecuador</v>
      </c>
      <c r="D215" s="9" t="str">
        <f ca="1">+WORLDCUP!BD64</f>
        <v>Egipto</v>
      </c>
      <c r="E215" s="9" t="str">
        <f ca="1">+WORLDCUP!BD67</f>
        <v>Austria</v>
      </c>
      <c r="F215" s="9" t="str">
        <f ca="1">+WORLDCUP!BD60</f>
        <v>Escocia</v>
      </c>
      <c r="G215" s="9" t="str">
        <f ca="1">+WORLDCUP!BD58</f>
        <v>Sudáfrica</v>
      </c>
      <c r="H215" s="9" t="str">
        <f ca="1">+WORLDCUP!BD65</f>
        <v>Arabia Saudita</v>
      </c>
      <c r="I215" s="9" t="str">
        <f ca="1">+WORLDCUP!BD66</f>
        <v>Senegal</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Ecuador</v>
      </c>
      <c r="D216" s="9" t="str">
        <f ca="1">+WORLDCUP!BD67</f>
        <v>Austria</v>
      </c>
      <c r="E216" s="9" t="str">
        <f ca="1">+WORLDCUP!BD66</f>
        <v>Senegal</v>
      </c>
      <c r="F216" s="9" t="str">
        <f ca="1">+WORLDCUP!BD60</f>
        <v>Escocia</v>
      </c>
      <c r="G216" s="9" t="str">
        <f ca="1">+WORLDCUP!BD58</f>
        <v>Sudáfrica</v>
      </c>
      <c r="H216" s="9" t="str">
        <f ca="1">+WORLDCUP!BD63</f>
        <v>Japón</v>
      </c>
      <c r="I216" s="9" t="str">
        <f ca="1">+WORLDCUP!BD69</f>
        <v>Ghana</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Austria</v>
      </c>
      <c r="E217" s="9" t="str">
        <f ca="1">+WORLDCUP!BD62</f>
        <v>Ecuador</v>
      </c>
      <c r="F217" s="9" t="str">
        <f ca="1">+WORLDCUP!BD60</f>
        <v>Escocia</v>
      </c>
      <c r="G217" s="9" t="str">
        <f ca="1">+WORLDCUP!BD58</f>
        <v>Sudáfrica</v>
      </c>
      <c r="H217" s="9" t="str">
        <f ca="1">+WORLDCUP!BD63</f>
        <v>Japón</v>
      </c>
      <c r="I217" s="9" t="str">
        <f ca="1">+WORLDCUP!BD69</f>
        <v>Ghana</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Sudáfrica</v>
      </c>
      <c r="H218" s="9" t="str">
        <f ca="1">+WORLDCUP!BD63</f>
        <v>Japón</v>
      </c>
      <c r="I218" s="9" t="str">
        <f ca="1">+WORLDCUP!BD69</f>
        <v>Ghana</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Austria</v>
      </c>
      <c r="E219" s="9" t="str">
        <f ca="1">+WORLDCUP!BD62</f>
        <v>Ecuador</v>
      </c>
      <c r="F219" s="9" t="str">
        <f ca="1">+WORLDCUP!BD60</f>
        <v>Escocia</v>
      </c>
      <c r="G219" s="9" t="str">
        <f ca="1">+WORLDCUP!BD58</f>
        <v>Sudáfrica</v>
      </c>
      <c r="H219" s="9" t="str">
        <f ca="1">+WORLDCUP!BD63</f>
        <v>Japón</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Austria</v>
      </c>
      <c r="E220" s="9" t="str">
        <f ca="1">+WORLDCUP!BD62</f>
        <v>Ecuador</v>
      </c>
      <c r="F220" s="9" t="str">
        <f ca="1">+WORLDCUP!BD60</f>
        <v>Escocia</v>
      </c>
      <c r="G220" s="9" t="str">
        <f ca="1">+WORLDCUP!BD58</f>
        <v>Sudáfrica</v>
      </c>
      <c r="H220" s="9" t="str">
        <f ca="1">+WORLDCUP!BD63</f>
        <v>Japón</v>
      </c>
      <c r="I220" s="9" t="str">
        <f ca="1">+WORLDCUP!BD66</f>
        <v>Senegal</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Ecuador</v>
      </c>
      <c r="D221" s="9" t="str">
        <f ca="1">+WORLDCUP!BD64</f>
        <v>Egipto</v>
      </c>
      <c r="E221" s="9" t="str">
        <f ca="1">+WORLDCUP!BD67</f>
        <v>Austria</v>
      </c>
      <c r="F221" s="9" t="str">
        <f ca="1">+WORLDCUP!BD60</f>
        <v>Escocia</v>
      </c>
      <c r="G221" s="9" t="str">
        <f ca="1">+WORLDCUP!BD58</f>
        <v>Sudáfrica</v>
      </c>
      <c r="H221" s="9" t="str">
        <f ca="1">+WORLDCUP!BD63</f>
        <v>Japón</v>
      </c>
      <c r="I221" s="9" t="str">
        <f ca="1">+WORLDCUP!BD69</f>
        <v>Ghana</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Ecuador</v>
      </c>
      <c r="D222" s="9" t="str">
        <f ca="1">+WORLDCUP!BD64</f>
        <v>Egipto</v>
      </c>
      <c r="E222" s="9" t="str">
        <f ca="1">+WORLDCUP!BD66</f>
        <v>Senegal</v>
      </c>
      <c r="F222" s="9" t="str">
        <f ca="1">+WORLDCUP!BD60</f>
        <v>Escocia</v>
      </c>
      <c r="G222" s="9" t="str">
        <f ca="1">+WORLDCUP!BD58</f>
        <v>Sudáfrica</v>
      </c>
      <c r="H222" s="9" t="str">
        <f ca="1">+WORLDCUP!BD63</f>
        <v>Japón</v>
      </c>
      <c r="I222" s="9" t="str">
        <f ca="1">+WORLDCUP!BD69</f>
        <v>Ghana</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Ecuador</v>
      </c>
      <c r="D223" s="9" t="str">
        <f ca="1">+WORLDCUP!BD64</f>
        <v>Egipto</v>
      </c>
      <c r="E223" s="9" t="str">
        <f ca="1">+WORLDCUP!BD67</f>
        <v>Austria</v>
      </c>
      <c r="F223" s="9" t="str">
        <f ca="1">+WORLDCUP!BD60</f>
        <v>Escocia</v>
      </c>
      <c r="G223" s="9" t="str">
        <f ca="1">+WORLDCUP!BD58</f>
        <v>Sudáfrica</v>
      </c>
      <c r="H223" s="9" t="str">
        <f ca="1">+WORLDCUP!BD63</f>
        <v>Japón</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Ecuador</v>
      </c>
      <c r="D224" s="9" t="str">
        <f ca="1">+WORLDCUP!BD64</f>
        <v>Egipto</v>
      </c>
      <c r="E224" s="9" t="str">
        <f ca="1">+WORLDCUP!BD67</f>
        <v>Austria</v>
      </c>
      <c r="F224" s="9" t="str">
        <f ca="1">+WORLDCUP!BD60</f>
        <v>Escocia</v>
      </c>
      <c r="G224" s="9" t="str">
        <f ca="1">+WORLDCUP!BD58</f>
        <v>Sudáfrica</v>
      </c>
      <c r="H224" s="9" t="str">
        <f ca="1">+WORLDCUP!BD63</f>
        <v>Japón</v>
      </c>
      <c r="I224" s="9" t="str">
        <f ca="1">+WORLDCUP!BD66</f>
        <v>Senegal</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Egipto</v>
      </c>
      <c r="E225" s="9" t="str">
        <f ca="1">+WORLDCUP!BD62</f>
        <v>Ecuador</v>
      </c>
      <c r="F225" s="9" t="str">
        <f ca="1">+WORLDCUP!BD60</f>
        <v>Escocia</v>
      </c>
      <c r="G225" s="9" t="str">
        <f ca="1">+WORLDCUP!BD58</f>
        <v>Sudáfrica</v>
      </c>
      <c r="H225" s="9" t="str">
        <f ca="1">+WORLDCUP!BD63</f>
        <v>Japón</v>
      </c>
      <c r="I225" s="9" t="str">
        <f ca="1">+WORLDCUP!BD69</f>
        <v>Ghana</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Egipto</v>
      </c>
      <c r="E226" s="9" t="str">
        <f ca="1">+WORLDCUP!BD67</f>
        <v>Austria</v>
      </c>
      <c r="F226" s="9" t="str">
        <f ca="1">+WORLDCUP!BD60</f>
        <v>Escocia</v>
      </c>
      <c r="G226" s="9" t="str">
        <f ca="1">+WORLDCUP!BD58</f>
        <v>Sudáfrica</v>
      </c>
      <c r="H226" s="9" t="str">
        <f ca="1">+WORLDCUP!BD63</f>
        <v>Japón</v>
      </c>
      <c r="I226" s="9" t="str">
        <f ca="1">+WORLDCUP!BD69</f>
        <v>Ghana</v>
      </c>
      <c r="J226" s="9" t="str">
        <f ca="1">+WORLDCUP!BD62</f>
        <v>Ecuador</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Egipto</v>
      </c>
      <c r="E227" s="9" t="str">
        <f ca="1">+WORLDCUP!BD67</f>
        <v>Austria</v>
      </c>
      <c r="F227" s="9" t="str">
        <f ca="1">+WORLDCUP!BD60</f>
        <v>Escocia</v>
      </c>
      <c r="G227" s="9" t="str">
        <f ca="1">+WORLDCUP!BD58</f>
        <v>Sudáfrica</v>
      </c>
      <c r="H227" s="9" t="str">
        <f ca="1">+WORLDCUP!BD63</f>
        <v>Japón</v>
      </c>
      <c r="I227" s="9" t="str">
        <f ca="1">+WORLDCUP!BD62</f>
        <v>Ecuador</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Egipto</v>
      </c>
      <c r="E228" s="9" t="str">
        <f ca="1">+WORLDCUP!BD62</f>
        <v>Ecuador</v>
      </c>
      <c r="F228" s="9" t="str">
        <f ca="1">+WORLDCUP!BD60</f>
        <v>Escocia</v>
      </c>
      <c r="G228" s="9" t="str">
        <f ca="1">+WORLDCUP!BD58</f>
        <v>Sudáfrica</v>
      </c>
      <c r="H228" s="9" t="str">
        <f ca="1">+WORLDCUP!BD63</f>
        <v>Japón</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Egipto</v>
      </c>
      <c r="E229" s="9" t="str">
        <f ca="1">+WORLDCUP!BD62</f>
        <v>Ecuador</v>
      </c>
      <c r="F229" s="9" t="str">
        <f ca="1">+WORLDCUP!BD60</f>
        <v>Escocia</v>
      </c>
      <c r="G229" s="9" t="str">
        <f ca="1">+WORLDCUP!BD58</f>
        <v>Sudáfrica</v>
      </c>
      <c r="H229" s="9" t="str">
        <f ca="1">+WORLDCUP!BD63</f>
        <v>Japón</v>
      </c>
      <c r="I229" s="9" t="str">
        <f ca="1">+WORLDCUP!BD66</f>
        <v>Senegal</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Egipto</v>
      </c>
      <c r="E230" s="9" t="str">
        <f ca="1">+WORLDCUP!BD67</f>
        <v>Austria</v>
      </c>
      <c r="F230" s="9" t="str">
        <f ca="1">+WORLDCUP!BD60</f>
        <v>Escocia</v>
      </c>
      <c r="G230" s="9" t="str">
        <f ca="1">+WORLDCUP!BD58</f>
        <v>Sudáfrica</v>
      </c>
      <c r="H230" s="9" t="str">
        <f ca="1">+WORLDCUP!BD63</f>
        <v>Japón</v>
      </c>
      <c r="I230" s="9" t="str">
        <f ca="1">+WORLDCUP!BD62</f>
        <v>Ecuador</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Sudáfrica</v>
      </c>
      <c r="H231" s="9" t="str">
        <f ca="1">+WORLDCUP!BD61</f>
        <v>Paraguay</v>
      </c>
      <c r="I231" s="9" t="str">
        <f ca="1">+WORLDCUP!BD69</f>
        <v>Ghana</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Egipto</v>
      </c>
      <c r="E232" s="9" t="str">
        <f ca="1">+WORLDCUP!BD67</f>
        <v>Austria</v>
      </c>
      <c r="F232" s="9" t="str">
        <f ca="1">+WORLDCUP!BD60</f>
        <v>Escocia</v>
      </c>
      <c r="G232" s="9" t="str">
        <f ca="1">+WORLDCUP!BD58</f>
        <v>Sudáfrica</v>
      </c>
      <c r="H232" s="9" t="str">
        <f ca="1">+WORLDCUP!BD61</f>
        <v>Paraguay</v>
      </c>
      <c r="I232" s="9" t="str">
        <f ca="1">+WORLDCUP!BD69</f>
        <v>Ghana</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Egipto</v>
      </c>
      <c r="E233" s="9" t="str">
        <f ca="1">+WORLDCUP!BD67</f>
        <v>Austria</v>
      </c>
      <c r="F233" s="9" t="str">
        <f ca="1">+WORLDCUP!BD60</f>
        <v>Escocia</v>
      </c>
      <c r="G233" s="9" t="str">
        <f ca="1">+WORLDCUP!BD58</f>
        <v>Sudáfrica</v>
      </c>
      <c r="H233" s="9" t="str">
        <f ca="1">+WORLDCUP!BD61</f>
        <v>Paraguay</v>
      </c>
      <c r="I233" s="9" t="str">
        <f ca="1">+WORLDCUP!BD69</f>
        <v>Ghana</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Egipto</v>
      </c>
      <c r="E234" s="9" t="str">
        <f ca="1">+WORLDCUP!BD66</f>
        <v>Senegal</v>
      </c>
      <c r="F234" s="9" t="str">
        <f ca="1">+WORLDCUP!BD60</f>
        <v>Escocia</v>
      </c>
      <c r="G234" s="9" t="str">
        <f ca="1">+WORLDCUP!BD58</f>
        <v>Sudáfrica</v>
      </c>
      <c r="H234" s="9" t="str">
        <f ca="1">+WORLDCUP!BD61</f>
        <v>Paraguay</v>
      </c>
      <c r="I234" s="9" t="str">
        <f ca="1">+WORLDCUP!BD69</f>
        <v>Ghana</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Egipto</v>
      </c>
      <c r="E235" s="9" t="str">
        <f ca="1">+WORLDCUP!BD67</f>
        <v>Austria</v>
      </c>
      <c r="F235" s="9" t="str">
        <f ca="1">+WORLDCUP!BD60</f>
        <v>Escocia</v>
      </c>
      <c r="G235" s="9" t="str">
        <f ca="1">+WORLDCUP!BD58</f>
        <v>Sudáfrica</v>
      </c>
      <c r="H235" s="9" t="str">
        <f ca="1">+WORLDCUP!BD61</f>
        <v>Paraguay</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Egipto</v>
      </c>
      <c r="E236" s="9" t="str">
        <f ca="1">+WORLDCUP!BD67</f>
        <v>Austria</v>
      </c>
      <c r="F236" s="9" t="str">
        <f ca="1">+WORLDCUP!BD60</f>
        <v>Escocia</v>
      </c>
      <c r="G236" s="9" t="str">
        <f ca="1">+WORLDCUP!BD58</f>
        <v>Sudáfrica</v>
      </c>
      <c r="H236" s="9" t="str">
        <f ca="1">+WORLDCUP!BD61</f>
        <v>Paraguay</v>
      </c>
      <c r="I236" s="9" t="str">
        <f ca="1">+WORLDCUP!BD66</f>
        <v>Senegal</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Austria</v>
      </c>
      <c r="E237" s="9" t="str">
        <f ca="1">+WORLDCUP!BD66</f>
        <v>Senegal</v>
      </c>
      <c r="F237" s="9" t="str">
        <f ca="1">+WORLDCUP!BD61</f>
        <v>Paraguay</v>
      </c>
      <c r="G237" s="9" t="str">
        <f ca="1">+WORLDCUP!BD58</f>
        <v>Sudáfrica</v>
      </c>
      <c r="H237" s="9" t="str">
        <f ca="1">+WORLDCUP!BD63</f>
        <v>Japón</v>
      </c>
      <c r="I237" s="9" t="str">
        <f ca="1">+WORLDCUP!BD69</f>
        <v>Ghana</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Austria</v>
      </c>
      <c r="E238" s="9" t="str">
        <f ca="1">+WORLDCUP!BD63</f>
        <v>Japón</v>
      </c>
      <c r="F238" s="9" t="str">
        <f ca="1">+WORLDCUP!BD60</f>
        <v>Escocia</v>
      </c>
      <c r="G238" s="9" t="str">
        <f ca="1">+WORLDCUP!BD58</f>
        <v>Sudáfrica</v>
      </c>
      <c r="H238" s="9" t="str">
        <f ca="1">+WORLDCUP!BD61</f>
        <v>Paraguay</v>
      </c>
      <c r="I238" s="9" t="str">
        <f ca="1">+WORLDCUP!BD69</f>
        <v>Ghana</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Japón</v>
      </c>
      <c r="E239" s="9" t="str">
        <f ca="1">+WORLDCUP!BD66</f>
        <v>Senegal</v>
      </c>
      <c r="F239" s="9" t="str">
        <f ca="1">+WORLDCUP!BD60</f>
        <v>Escocia</v>
      </c>
      <c r="G239" s="9" t="str">
        <f ca="1">+WORLDCUP!BD58</f>
        <v>Sudáfrica</v>
      </c>
      <c r="H239" s="9" t="str">
        <f ca="1">+WORLDCUP!BD61</f>
        <v>Paraguay</v>
      </c>
      <c r="I239" s="9" t="str">
        <f ca="1">+WORLDCUP!BD69</f>
        <v>Ghana</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Austria</v>
      </c>
      <c r="E240" s="9" t="str">
        <f ca="1">+WORLDCUP!BD63</f>
        <v>Japón</v>
      </c>
      <c r="F240" s="9" t="str">
        <f ca="1">+WORLDCUP!BD60</f>
        <v>Escocia</v>
      </c>
      <c r="G240" s="9" t="str">
        <f ca="1">+WORLDCUP!BD58</f>
        <v>Sudáfrica</v>
      </c>
      <c r="H240" s="9" t="str">
        <f ca="1">+WORLDCUP!BD61</f>
        <v>Paraguay</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Austria</v>
      </c>
      <c r="E241" s="9" t="str">
        <f ca="1">+WORLDCUP!BD63</f>
        <v>Japón</v>
      </c>
      <c r="F241" s="9" t="str">
        <f ca="1">+WORLDCUP!BD60</f>
        <v>Escocia</v>
      </c>
      <c r="G241" s="9" t="str">
        <f ca="1">+WORLDCUP!BD58</f>
        <v>Sudáfrica</v>
      </c>
      <c r="H241" s="9" t="str">
        <f ca="1">+WORLDCUP!BD61</f>
        <v>Paraguay</v>
      </c>
      <c r="I241" s="9" t="str">
        <f ca="1">+WORLDCUP!BD66</f>
        <v>Senegal</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Egipto</v>
      </c>
      <c r="E242" s="9" t="str">
        <f ca="1">+WORLDCUP!BD67</f>
        <v>Austria</v>
      </c>
      <c r="F242" s="9" t="str">
        <f ca="1">+WORLDCUP!BD61</f>
        <v>Paraguay</v>
      </c>
      <c r="G242" s="9" t="str">
        <f ca="1">+WORLDCUP!BD58</f>
        <v>Sudáfrica</v>
      </c>
      <c r="H242" s="9" t="str">
        <f ca="1">+WORLDCUP!BD63</f>
        <v>Japón</v>
      </c>
      <c r="I242" s="9" t="str">
        <f ca="1">+WORLDCUP!BD69</f>
        <v>Ghana</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Egipto</v>
      </c>
      <c r="E243" s="9" t="str">
        <f ca="1">+WORLDCUP!BD66</f>
        <v>Senegal</v>
      </c>
      <c r="F243" s="9" t="str">
        <f ca="1">+WORLDCUP!BD61</f>
        <v>Paraguay</v>
      </c>
      <c r="G243" s="9" t="str">
        <f ca="1">+WORLDCUP!BD58</f>
        <v>Sudáfrica</v>
      </c>
      <c r="H243" s="9" t="str">
        <f ca="1">+WORLDCUP!BD63</f>
        <v>Japón</v>
      </c>
      <c r="I243" s="9" t="str">
        <f ca="1">+WORLDCUP!BD69</f>
        <v>Ghana</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Egipto</v>
      </c>
      <c r="E244" s="9" t="str">
        <f ca="1">+WORLDCUP!BD67</f>
        <v>Austria</v>
      </c>
      <c r="F244" s="9" t="str">
        <f ca="1">+WORLDCUP!BD61</f>
        <v>Paraguay</v>
      </c>
      <c r="G244" s="9" t="str">
        <f ca="1">+WORLDCUP!BD58</f>
        <v>Sudáfrica</v>
      </c>
      <c r="H244" s="9" t="str">
        <f ca="1">+WORLDCUP!BD63</f>
        <v>Japón</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Egipto</v>
      </c>
      <c r="E245" s="9" t="str">
        <f ca="1">+WORLDCUP!BD67</f>
        <v>Austria</v>
      </c>
      <c r="F245" s="9" t="str">
        <f ca="1">+WORLDCUP!BD61</f>
        <v>Paraguay</v>
      </c>
      <c r="G245" s="9" t="str">
        <f ca="1">+WORLDCUP!BD58</f>
        <v>Sudáfrica</v>
      </c>
      <c r="H245" s="9" t="str">
        <f ca="1">+WORLDCUP!BD63</f>
        <v>Japón</v>
      </c>
      <c r="I245" s="9" t="str">
        <f ca="1">+WORLDCUP!BD66</f>
        <v>Senegal</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Egipto</v>
      </c>
      <c r="E246" s="9" t="str">
        <f ca="1">+WORLDCUP!BD63</f>
        <v>Japón</v>
      </c>
      <c r="F246" s="9" t="str">
        <f ca="1">+WORLDCUP!BD60</f>
        <v>Escocia</v>
      </c>
      <c r="G246" s="9" t="str">
        <f ca="1">+WORLDCUP!BD58</f>
        <v>Sudáfrica</v>
      </c>
      <c r="H246" s="9" t="str">
        <f ca="1">+WORLDCUP!BD61</f>
        <v>Paraguay</v>
      </c>
      <c r="I246" s="9" t="str">
        <f ca="1">+WORLDCUP!BD69</f>
        <v>Ghana</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Egipto</v>
      </c>
      <c r="E247" s="9" t="str">
        <f ca="1">+WORLDCUP!BD67</f>
        <v>Austria</v>
      </c>
      <c r="F247" s="9" t="str">
        <f ca="1">+WORLDCUP!BD61</f>
        <v>Paraguay</v>
      </c>
      <c r="G247" s="9" t="str">
        <f ca="1">+WORLDCUP!BD58</f>
        <v>Sudáfrica</v>
      </c>
      <c r="H247" s="9" t="str">
        <f ca="1">+WORLDCUP!BD63</f>
        <v>Japón</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Egipto</v>
      </c>
      <c r="E248" s="9" t="str">
        <f ca="1">+WORLDCUP!BD67</f>
        <v>Austria</v>
      </c>
      <c r="F248" s="9" t="str">
        <f ca="1">+WORLDCUP!BD60</f>
        <v>Escocia</v>
      </c>
      <c r="G248" s="9" t="str">
        <f ca="1">+WORLDCUP!BD58</f>
        <v>Sudáfrica</v>
      </c>
      <c r="H248" s="9" t="str">
        <f ca="1">+WORLDCUP!BD63</f>
        <v>Japón</v>
      </c>
      <c r="I248" s="9" t="str">
        <f ca="1">+WORLDCUP!BD61</f>
        <v>Paraguay</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Egipto</v>
      </c>
      <c r="E249" s="9" t="str">
        <f ca="1">+WORLDCUP!BD63</f>
        <v>Japón</v>
      </c>
      <c r="F249" s="9" t="str">
        <f ca="1">+WORLDCUP!BD60</f>
        <v>Escocia</v>
      </c>
      <c r="G249" s="9" t="str">
        <f ca="1">+WORLDCUP!BD58</f>
        <v>Sudáfrica</v>
      </c>
      <c r="H249" s="9" t="str">
        <f ca="1">+WORLDCUP!BD61</f>
        <v>Paraguay</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Egipto</v>
      </c>
      <c r="E250" s="9" t="str">
        <f ca="1">+WORLDCUP!BD63</f>
        <v>Japón</v>
      </c>
      <c r="F250" s="9" t="str">
        <f ca="1">+WORLDCUP!BD60</f>
        <v>Escocia</v>
      </c>
      <c r="G250" s="9" t="str">
        <f ca="1">+WORLDCUP!BD58</f>
        <v>Sudáfrica</v>
      </c>
      <c r="H250" s="9" t="str">
        <f ca="1">+WORLDCUP!BD61</f>
        <v>Paraguay</v>
      </c>
      <c r="I250" s="9" t="str">
        <f ca="1">+WORLDCUP!BD66</f>
        <v>Senegal</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Egipto</v>
      </c>
      <c r="E251" s="9" t="str">
        <f ca="1">+WORLDCUP!BD67</f>
        <v>Austria</v>
      </c>
      <c r="F251" s="9" t="str">
        <f ca="1">+WORLDCUP!BD60</f>
        <v>Escocia</v>
      </c>
      <c r="G251" s="9" t="str">
        <f ca="1">+WORLDCUP!BD58</f>
        <v>Sudáfrica</v>
      </c>
      <c r="H251" s="9" t="str">
        <f ca="1">+WORLDCUP!BD63</f>
        <v>Japón</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Ecuador</v>
      </c>
      <c r="D252" s="9" t="str">
        <f ca="1">+WORLDCUP!BD67</f>
        <v>Austria</v>
      </c>
      <c r="E252" s="9" t="str">
        <f ca="1">+WORLDCUP!BD66</f>
        <v>Senegal</v>
      </c>
      <c r="F252" s="9" t="str">
        <f ca="1">+WORLDCUP!BD60</f>
        <v>Escocia</v>
      </c>
      <c r="G252" s="9" t="str">
        <f ca="1">+WORLDCUP!BD58</f>
        <v>Sudáfrica</v>
      </c>
      <c r="H252" s="9" t="str">
        <f ca="1">+WORLDCUP!BD61</f>
        <v>Paraguay</v>
      </c>
      <c r="I252" s="9" t="str">
        <f ca="1">+WORLDCUP!BD69</f>
        <v>Ghana</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Austria</v>
      </c>
      <c r="E253" s="9" t="str">
        <f ca="1">+WORLDCUP!BD62</f>
        <v>Ecuador</v>
      </c>
      <c r="F253" s="9" t="str">
        <f ca="1">+WORLDCUP!BD60</f>
        <v>Escocia</v>
      </c>
      <c r="G253" s="9" t="str">
        <f ca="1">+WORLDCUP!BD58</f>
        <v>Sudáfrica</v>
      </c>
      <c r="H253" s="9" t="str">
        <f ca="1">+WORLDCUP!BD61</f>
        <v>Paraguay</v>
      </c>
      <c r="I253" s="9" t="str">
        <f ca="1">+WORLDCUP!BD69</f>
        <v>Ghana</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Sudáfrica</v>
      </c>
      <c r="H254" s="9" t="str">
        <f ca="1">+WORLDCUP!BD61</f>
        <v>Paraguay</v>
      </c>
      <c r="I254" s="9" t="str">
        <f ca="1">+WORLDCUP!BD69</f>
        <v>Ghana</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Austria</v>
      </c>
      <c r="E255" s="9" t="str">
        <f ca="1">+WORLDCUP!BD62</f>
        <v>Ecuador</v>
      </c>
      <c r="F255" s="9" t="str">
        <f ca="1">+WORLDCUP!BD60</f>
        <v>Escocia</v>
      </c>
      <c r="G255" s="9" t="str">
        <f ca="1">+WORLDCUP!BD58</f>
        <v>Sudáfrica</v>
      </c>
      <c r="H255" s="9" t="str">
        <f ca="1">+WORLDCUP!BD61</f>
        <v>Paraguay</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Austria</v>
      </c>
      <c r="E256" s="9" t="str">
        <f ca="1">+WORLDCUP!BD62</f>
        <v>Ecuador</v>
      </c>
      <c r="F256" s="9" t="str">
        <f ca="1">+WORLDCUP!BD60</f>
        <v>Escocia</v>
      </c>
      <c r="G256" s="9" t="str">
        <f ca="1">+WORLDCUP!BD58</f>
        <v>Sudáfrica</v>
      </c>
      <c r="H256" s="9" t="str">
        <f ca="1">+WORLDCUP!BD61</f>
        <v>Paraguay</v>
      </c>
      <c r="I256" s="9" t="str">
        <f ca="1">+WORLDCUP!BD66</f>
        <v>Senegal</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Ecuador</v>
      </c>
      <c r="D257" s="9" t="str">
        <f ca="1">+WORLDCUP!BD64</f>
        <v>Egipto</v>
      </c>
      <c r="E257" s="9" t="str">
        <f ca="1">+WORLDCUP!BD67</f>
        <v>Austria</v>
      </c>
      <c r="F257" s="9" t="str">
        <f ca="1">+WORLDCUP!BD60</f>
        <v>Escocia</v>
      </c>
      <c r="G257" s="9" t="str">
        <f ca="1">+WORLDCUP!BD58</f>
        <v>Sudáfrica</v>
      </c>
      <c r="H257" s="9" t="str">
        <f ca="1">+WORLDCUP!BD61</f>
        <v>Paraguay</v>
      </c>
      <c r="I257" s="9" t="str">
        <f ca="1">+WORLDCUP!BD69</f>
        <v>Ghana</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Ecuador</v>
      </c>
      <c r="D258" s="9" t="str">
        <f ca="1">+WORLDCUP!BD64</f>
        <v>Egipto</v>
      </c>
      <c r="E258" s="9" t="str">
        <f ca="1">+WORLDCUP!BD66</f>
        <v>Senegal</v>
      </c>
      <c r="F258" s="9" t="str">
        <f ca="1">+WORLDCUP!BD60</f>
        <v>Escocia</v>
      </c>
      <c r="G258" s="9" t="str">
        <f ca="1">+WORLDCUP!BD58</f>
        <v>Sudáfrica</v>
      </c>
      <c r="H258" s="9" t="str">
        <f ca="1">+WORLDCUP!BD61</f>
        <v>Paraguay</v>
      </c>
      <c r="I258" s="9" t="str">
        <f ca="1">+WORLDCUP!BD69</f>
        <v>Ghana</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Ecuador</v>
      </c>
      <c r="D259" s="9" t="str">
        <f ca="1">+WORLDCUP!BD64</f>
        <v>Egipto</v>
      </c>
      <c r="E259" s="9" t="str">
        <f ca="1">+WORLDCUP!BD67</f>
        <v>Austria</v>
      </c>
      <c r="F259" s="9" t="str">
        <f ca="1">+WORLDCUP!BD60</f>
        <v>Escocia</v>
      </c>
      <c r="G259" s="9" t="str">
        <f ca="1">+WORLDCUP!BD58</f>
        <v>Sudáfrica</v>
      </c>
      <c r="H259" s="9" t="str">
        <f ca="1">+WORLDCUP!BD61</f>
        <v>Paraguay</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Ecuador</v>
      </c>
      <c r="D260" s="9" t="str">
        <f ca="1">+WORLDCUP!BD64</f>
        <v>Egipto</v>
      </c>
      <c r="E260" s="9" t="str">
        <f ca="1">+WORLDCUP!BD67</f>
        <v>Austria</v>
      </c>
      <c r="F260" s="9" t="str">
        <f ca="1">+WORLDCUP!BD60</f>
        <v>Escocia</v>
      </c>
      <c r="G260" s="9" t="str">
        <f ca="1">+WORLDCUP!BD58</f>
        <v>Sudáfrica</v>
      </c>
      <c r="H260" s="9" t="str">
        <f ca="1">+WORLDCUP!BD61</f>
        <v>Paraguay</v>
      </c>
      <c r="I260" s="9" t="str">
        <f ca="1">+WORLDCUP!BD66</f>
        <v>Senegal</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Egipto</v>
      </c>
      <c r="E261" s="9" t="str">
        <f ca="1">+WORLDCUP!BD62</f>
        <v>Ecuador</v>
      </c>
      <c r="F261" s="9" t="str">
        <f ca="1">+WORLDCUP!BD60</f>
        <v>Escocia</v>
      </c>
      <c r="G261" s="9" t="str">
        <f ca="1">+WORLDCUP!BD58</f>
        <v>Sudáfrica</v>
      </c>
      <c r="H261" s="9" t="str">
        <f ca="1">+WORLDCUP!BD61</f>
        <v>Paraguay</v>
      </c>
      <c r="I261" s="9" t="str">
        <f ca="1">+WORLDCUP!BD69</f>
        <v>Ghana</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Egipto</v>
      </c>
      <c r="E262" s="9" t="str">
        <f ca="1">+WORLDCUP!BD67</f>
        <v>Austria</v>
      </c>
      <c r="F262" s="9" t="str">
        <f ca="1">+WORLDCUP!BD60</f>
        <v>Escocia</v>
      </c>
      <c r="G262" s="9" t="str">
        <f ca="1">+WORLDCUP!BD58</f>
        <v>Sudáfrica</v>
      </c>
      <c r="H262" s="9" t="str">
        <f ca="1">+WORLDCUP!BD61</f>
        <v>Paraguay</v>
      </c>
      <c r="I262" s="9" t="str">
        <f ca="1">+WORLDCUP!BD69</f>
        <v>Ghana</v>
      </c>
      <c r="J262" s="9" t="str">
        <f ca="1">+WORLDCUP!BD62</f>
        <v>Ecuador</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Egipto</v>
      </c>
      <c r="E263" s="9" t="str">
        <f ca="1">+WORLDCUP!BD67</f>
        <v>Austria</v>
      </c>
      <c r="F263" s="9" t="str">
        <f ca="1">+WORLDCUP!BD60</f>
        <v>Escocia</v>
      </c>
      <c r="G263" s="9" t="str">
        <f ca="1">+WORLDCUP!BD58</f>
        <v>Sudáfrica</v>
      </c>
      <c r="H263" s="9" t="str">
        <f ca="1">+WORLDCUP!BD61</f>
        <v>Paraguay</v>
      </c>
      <c r="I263" s="9" t="str">
        <f ca="1">+WORLDCUP!BD62</f>
        <v>Ecuador</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Egipto</v>
      </c>
      <c r="E264" s="9" t="str">
        <f ca="1">+WORLDCUP!BD62</f>
        <v>Ecuador</v>
      </c>
      <c r="F264" s="9" t="str">
        <f ca="1">+WORLDCUP!BD60</f>
        <v>Escocia</v>
      </c>
      <c r="G264" s="9" t="str">
        <f ca="1">+WORLDCUP!BD58</f>
        <v>Sudáfrica</v>
      </c>
      <c r="H264" s="9" t="str">
        <f ca="1">+WORLDCUP!BD61</f>
        <v>Paraguay</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Egipto</v>
      </c>
      <c r="E265" s="9" t="str">
        <f ca="1">+WORLDCUP!BD62</f>
        <v>Ecuador</v>
      </c>
      <c r="F265" s="9" t="str">
        <f ca="1">+WORLDCUP!BD60</f>
        <v>Escocia</v>
      </c>
      <c r="G265" s="9" t="str">
        <f ca="1">+WORLDCUP!BD58</f>
        <v>Sudáfrica</v>
      </c>
      <c r="H265" s="9" t="str">
        <f ca="1">+WORLDCUP!BD61</f>
        <v>Paraguay</v>
      </c>
      <c r="I265" s="9" t="str">
        <f ca="1">+WORLDCUP!BD66</f>
        <v>Senegal</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Egipto</v>
      </c>
      <c r="E266" s="9" t="str">
        <f ca="1">+WORLDCUP!BD67</f>
        <v>Austria</v>
      </c>
      <c r="F266" s="9" t="str">
        <f ca="1">+WORLDCUP!BD60</f>
        <v>Escocia</v>
      </c>
      <c r="G266" s="9" t="str">
        <f ca="1">+WORLDCUP!BD58</f>
        <v>Sudáfrica</v>
      </c>
      <c r="H266" s="9" t="str">
        <f ca="1">+WORLDCUP!BD61</f>
        <v>Paraguay</v>
      </c>
      <c r="I266" s="9" t="str">
        <f ca="1">+WORLDCUP!BD62</f>
        <v>Ecuador</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Austria</v>
      </c>
      <c r="E267" s="9" t="str">
        <f ca="1">+WORLDCUP!BD62</f>
        <v>Ecuador</v>
      </c>
      <c r="F267" s="9" t="str">
        <f ca="1">+WORLDCUP!BD61</f>
        <v>Paraguay</v>
      </c>
      <c r="G267" s="9" t="str">
        <f ca="1">+WORLDCUP!BD58</f>
        <v>Sudáfrica</v>
      </c>
      <c r="H267" s="9" t="str">
        <f ca="1">+WORLDCUP!BD63</f>
        <v>Japón</v>
      </c>
      <c r="I267" s="9" t="str">
        <f ca="1">+WORLDCUP!BD69</f>
        <v>Ghana</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Ecuador</v>
      </c>
      <c r="E268" s="9" t="str">
        <f ca="1">+WORLDCUP!BD66</f>
        <v>Senegal</v>
      </c>
      <c r="F268" s="9" t="str">
        <f ca="1">+WORLDCUP!BD61</f>
        <v>Paraguay</v>
      </c>
      <c r="G268" s="9" t="str">
        <f ca="1">+WORLDCUP!BD58</f>
        <v>Sudáfrica</v>
      </c>
      <c r="H268" s="9" t="str">
        <f ca="1">+WORLDCUP!BD63</f>
        <v>Japón</v>
      </c>
      <c r="I268" s="9" t="str">
        <f ca="1">+WORLDCUP!BD69</f>
        <v>Ghana</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Austria</v>
      </c>
      <c r="E269" s="9" t="str">
        <f ca="1">+WORLDCUP!BD62</f>
        <v>Ecuador</v>
      </c>
      <c r="F269" s="9" t="str">
        <f ca="1">+WORLDCUP!BD61</f>
        <v>Paraguay</v>
      </c>
      <c r="G269" s="9" t="str">
        <f ca="1">+WORLDCUP!BD58</f>
        <v>Sudáfrica</v>
      </c>
      <c r="H269" s="9" t="str">
        <f ca="1">+WORLDCUP!BD63</f>
        <v>Japón</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Austria</v>
      </c>
      <c r="E270" s="9" t="str">
        <f ca="1">+WORLDCUP!BD62</f>
        <v>Ecuador</v>
      </c>
      <c r="F270" s="9" t="str">
        <f ca="1">+WORLDCUP!BD61</f>
        <v>Paraguay</v>
      </c>
      <c r="G270" s="9" t="str">
        <f ca="1">+WORLDCUP!BD58</f>
        <v>Sudáfrica</v>
      </c>
      <c r="H270" s="9" t="str">
        <f ca="1">+WORLDCUP!BD63</f>
        <v>Japón</v>
      </c>
      <c r="I270" s="9" t="str">
        <f ca="1">+WORLDCUP!BD66</f>
        <v>Senegal</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Ecuador</v>
      </c>
      <c r="E271" s="9" t="str">
        <f ca="1">+WORLDCUP!BD63</f>
        <v>Japón</v>
      </c>
      <c r="F271" s="9" t="str">
        <f ca="1">+WORLDCUP!BD60</f>
        <v>Escocia</v>
      </c>
      <c r="G271" s="9" t="str">
        <f ca="1">+WORLDCUP!BD58</f>
        <v>Sudáfrica</v>
      </c>
      <c r="H271" s="9" t="str">
        <f ca="1">+WORLDCUP!BD61</f>
        <v>Paraguay</v>
      </c>
      <c r="I271" s="9" t="str">
        <f ca="1">+WORLDCUP!BD69</f>
        <v>Ghana</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Austria</v>
      </c>
      <c r="E272" s="9" t="str">
        <f ca="1">+WORLDCUP!BD63</f>
        <v>Japón</v>
      </c>
      <c r="F272" s="9" t="str">
        <f ca="1">+WORLDCUP!BD60</f>
        <v>Escocia</v>
      </c>
      <c r="G272" s="9" t="str">
        <f ca="1">+WORLDCUP!BD58</f>
        <v>Sudáfrica</v>
      </c>
      <c r="H272" s="9" t="str">
        <f ca="1">+WORLDCUP!BD61</f>
        <v>Paraguay</v>
      </c>
      <c r="I272" s="9" t="str">
        <f ca="1">+WORLDCUP!BD69</f>
        <v>Ghana</v>
      </c>
      <c r="J272" s="9" t="str">
        <f ca="1">+WORLDCUP!BD62</f>
        <v>Ecuador</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Austria</v>
      </c>
      <c r="E273" s="9" t="str">
        <f ca="1">+WORLDCUP!BD62</f>
        <v>Ecuador</v>
      </c>
      <c r="F273" s="9" t="str">
        <f ca="1">+WORLDCUP!BD60</f>
        <v>Escocia</v>
      </c>
      <c r="G273" s="9" t="str">
        <f ca="1">+WORLDCUP!BD58</f>
        <v>Sudáfrica</v>
      </c>
      <c r="H273" s="9" t="str">
        <f ca="1">+WORLDCUP!BD63</f>
        <v>Japón</v>
      </c>
      <c r="I273" s="9" t="str">
        <f ca="1">+WORLDCUP!BD61</f>
        <v>Paraguay</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Ecuador</v>
      </c>
      <c r="E274" s="9" t="str">
        <f ca="1">+WORLDCUP!BD63</f>
        <v>Japón</v>
      </c>
      <c r="F274" s="9" t="str">
        <f ca="1">+WORLDCUP!BD60</f>
        <v>Escocia</v>
      </c>
      <c r="G274" s="9" t="str">
        <f ca="1">+WORLDCUP!BD58</f>
        <v>Sudáfrica</v>
      </c>
      <c r="H274" s="9" t="str">
        <f ca="1">+WORLDCUP!BD61</f>
        <v>Paraguay</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Ecuador</v>
      </c>
      <c r="E275" s="9" t="str">
        <f ca="1">+WORLDCUP!BD63</f>
        <v>Japón</v>
      </c>
      <c r="F275" s="9" t="str">
        <f ca="1">+WORLDCUP!BD60</f>
        <v>Escocia</v>
      </c>
      <c r="G275" s="9" t="str">
        <f ca="1">+WORLDCUP!BD58</f>
        <v>Sudáfrica</v>
      </c>
      <c r="H275" s="9" t="str">
        <f ca="1">+WORLDCUP!BD61</f>
        <v>Paraguay</v>
      </c>
      <c r="I275" s="9" t="str">
        <f ca="1">+WORLDCUP!BD66</f>
        <v>Senegal</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Austria</v>
      </c>
      <c r="E276" s="9" t="str">
        <f ca="1">+WORLDCUP!BD62</f>
        <v>Ecuador</v>
      </c>
      <c r="F276" s="9" t="str">
        <f ca="1">+WORLDCUP!BD60</f>
        <v>Escocia</v>
      </c>
      <c r="G276" s="9" t="str">
        <f ca="1">+WORLDCUP!BD58</f>
        <v>Sudáfrica</v>
      </c>
      <c r="H276" s="9" t="str">
        <f ca="1">+WORLDCUP!BD63</f>
        <v>Japón</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Egipto</v>
      </c>
      <c r="E277" s="9" t="str">
        <f ca="1">+WORLDCUP!BD62</f>
        <v>Ecuador</v>
      </c>
      <c r="F277" s="9" t="str">
        <f ca="1">+WORLDCUP!BD61</f>
        <v>Paraguay</v>
      </c>
      <c r="G277" s="9" t="str">
        <f ca="1">+WORLDCUP!BD58</f>
        <v>Sudáfrica</v>
      </c>
      <c r="H277" s="9" t="str">
        <f ca="1">+WORLDCUP!BD63</f>
        <v>Japón</v>
      </c>
      <c r="I277" s="9" t="str">
        <f ca="1">+WORLDCUP!BD69</f>
        <v>Ghana</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Egipto</v>
      </c>
      <c r="E278" s="9" t="str">
        <f ca="1">+WORLDCUP!BD67</f>
        <v>Austria</v>
      </c>
      <c r="F278" s="9" t="str">
        <f ca="1">+WORLDCUP!BD61</f>
        <v>Paraguay</v>
      </c>
      <c r="G278" s="9" t="str">
        <f ca="1">+WORLDCUP!BD58</f>
        <v>Sudáfrica</v>
      </c>
      <c r="H278" s="9" t="str">
        <f ca="1">+WORLDCUP!BD63</f>
        <v>Japón</v>
      </c>
      <c r="I278" s="9" t="str">
        <f ca="1">+WORLDCUP!BD69</f>
        <v>Ghana</v>
      </c>
      <c r="J278" s="9" t="str">
        <f ca="1">+WORLDCUP!BD62</f>
        <v>Ecuador</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Egipto</v>
      </c>
      <c r="E279" s="9" t="str">
        <f ca="1">+WORLDCUP!BD67</f>
        <v>Austria</v>
      </c>
      <c r="F279" s="9" t="str">
        <f ca="1">+WORLDCUP!BD61</f>
        <v>Paraguay</v>
      </c>
      <c r="G279" s="9" t="str">
        <f ca="1">+WORLDCUP!BD58</f>
        <v>Sudáfrica</v>
      </c>
      <c r="H279" s="9" t="str">
        <f ca="1">+WORLDCUP!BD63</f>
        <v>Japón</v>
      </c>
      <c r="I279" s="9" t="str">
        <f ca="1">+WORLDCUP!BD62</f>
        <v>Ecuador</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Egipto</v>
      </c>
      <c r="E280" s="9" t="str">
        <f ca="1">+WORLDCUP!BD62</f>
        <v>Ecuador</v>
      </c>
      <c r="F280" s="9" t="str">
        <f ca="1">+WORLDCUP!BD61</f>
        <v>Paraguay</v>
      </c>
      <c r="G280" s="9" t="str">
        <f ca="1">+WORLDCUP!BD58</f>
        <v>Sudáfrica</v>
      </c>
      <c r="H280" s="9" t="str">
        <f ca="1">+WORLDCUP!BD63</f>
        <v>Japón</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Egipto</v>
      </c>
      <c r="E281" s="9" t="str">
        <f ca="1">+WORLDCUP!BD62</f>
        <v>Ecuador</v>
      </c>
      <c r="F281" s="9" t="str">
        <f ca="1">+WORLDCUP!BD61</f>
        <v>Paraguay</v>
      </c>
      <c r="G281" s="9" t="str">
        <f ca="1">+WORLDCUP!BD58</f>
        <v>Sudáfrica</v>
      </c>
      <c r="H281" s="9" t="str">
        <f ca="1">+WORLDCUP!BD63</f>
        <v>Japón</v>
      </c>
      <c r="I281" s="9" t="str">
        <f ca="1">+WORLDCUP!BD66</f>
        <v>Senegal</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Egipto</v>
      </c>
      <c r="E282" s="9" t="str">
        <f ca="1">+WORLDCUP!BD67</f>
        <v>Austria</v>
      </c>
      <c r="F282" s="9" t="str">
        <f ca="1">+WORLDCUP!BD61</f>
        <v>Paraguay</v>
      </c>
      <c r="G282" s="9" t="str">
        <f ca="1">+WORLDCUP!BD58</f>
        <v>Sudáfrica</v>
      </c>
      <c r="H282" s="9" t="str">
        <f ca="1">+WORLDCUP!BD63</f>
        <v>Japón</v>
      </c>
      <c r="I282" s="9" t="str">
        <f ca="1">+WORLDCUP!BD62</f>
        <v>Ecuador</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Egipto</v>
      </c>
      <c r="E283" s="9" t="str">
        <f ca="1">+WORLDCUP!BD63</f>
        <v>Japón</v>
      </c>
      <c r="F283" s="9" t="str">
        <f ca="1">+WORLDCUP!BD60</f>
        <v>Escocia</v>
      </c>
      <c r="G283" s="9" t="str">
        <f ca="1">+WORLDCUP!BD58</f>
        <v>Sudáfrica</v>
      </c>
      <c r="H283" s="9" t="str">
        <f ca="1">+WORLDCUP!BD61</f>
        <v>Paraguay</v>
      </c>
      <c r="I283" s="9" t="str">
        <f ca="1">+WORLDCUP!BD69</f>
        <v>Ghana</v>
      </c>
      <c r="J283" s="9" t="str">
        <f ca="1">+WORLDCUP!BD62</f>
        <v>Ecuador</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Egipto</v>
      </c>
      <c r="E284" s="9" t="str">
        <f ca="1">+WORLDCUP!BD62</f>
        <v>Ecuador</v>
      </c>
      <c r="F284" s="9" t="str">
        <f ca="1">+WORLDCUP!BD60</f>
        <v>Escocia</v>
      </c>
      <c r="G284" s="9" t="str">
        <f ca="1">+WORLDCUP!BD58</f>
        <v>Sudáfrica</v>
      </c>
      <c r="H284" s="9" t="str">
        <f ca="1">+WORLDCUP!BD63</f>
        <v>Japón</v>
      </c>
      <c r="I284" s="9" t="str">
        <f ca="1">+WORLDCUP!BD61</f>
        <v>Paraguay</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Egipto</v>
      </c>
      <c r="E285" s="9" t="str">
        <f ca="1">+WORLDCUP!BD67</f>
        <v>Austria</v>
      </c>
      <c r="F285" s="9" t="str">
        <f ca="1">+WORLDCUP!BD60</f>
        <v>Escocia</v>
      </c>
      <c r="G285" s="9" t="str">
        <f ca="1">+WORLDCUP!BD58</f>
        <v>Sudáfrica</v>
      </c>
      <c r="H285" s="9" t="str">
        <f ca="1">+WORLDCUP!BD63</f>
        <v>Japón</v>
      </c>
      <c r="I285" s="9" t="str">
        <f ca="1">+WORLDCUP!BD61</f>
        <v>Paraguay</v>
      </c>
      <c r="J285" s="9" t="str">
        <f ca="1">+WORLDCUP!BD62</f>
        <v>Ecuador</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Egipto</v>
      </c>
      <c r="E286" s="9" t="str">
        <f ca="1">+WORLDCUP!BD62</f>
        <v>Ecuador</v>
      </c>
      <c r="F286" s="9" t="str">
        <f ca="1">+WORLDCUP!BD60</f>
        <v>Escocia</v>
      </c>
      <c r="G286" s="9" t="str">
        <f ca="1">+WORLDCUP!BD58</f>
        <v>Sudáfrica</v>
      </c>
      <c r="H286" s="9" t="str">
        <f ca="1">+WORLDCUP!BD63</f>
        <v>Japón</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Austria</v>
      </c>
      <c r="E287" s="9" t="str">
        <f ca="1">+WORLDCUP!BD59</f>
        <v>Bosnia y Herzegovina</v>
      </c>
      <c r="F287" s="9" t="str">
        <f ca="1">+WORLDCUP!BD58</f>
        <v>Sudáfrica</v>
      </c>
      <c r="G287" s="9" t="str">
        <f ca="1">+WORLDCUP!BD66</f>
        <v>Senegal</v>
      </c>
      <c r="H287" s="9" t="str">
        <f ca="1">+WORLDCUP!BD64</f>
        <v>Egipto</v>
      </c>
      <c r="I287" s="9" t="str">
        <f ca="1">+WORLDCUP!BD69</f>
        <v>Ghana</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Austria</v>
      </c>
      <c r="E288" s="9" t="str">
        <f ca="1">+WORLDCUP!BD59</f>
        <v>Bosnia y Herzegovina</v>
      </c>
      <c r="F288" s="9" t="str">
        <f ca="1">+WORLDCUP!BD58</f>
        <v>Sudáfrica</v>
      </c>
      <c r="G288" s="9" t="str">
        <f ca="1">+WORLDCUP!BD66</f>
        <v>Senegal</v>
      </c>
      <c r="H288" s="9" t="str">
        <f ca="1">+WORLDCUP!BD63</f>
        <v>Japón</v>
      </c>
      <c r="I288" s="9" t="str">
        <f ca="1">+WORLDCUP!BD69</f>
        <v>Ghana</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Austria</v>
      </c>
      <c r="E289" s="9" t="str">
        <f ca="1">+WORLDCUP!BD59</f>
        <v>Bosnia y Herzegovina</v>
      </c>
      <c r="F289" s="9" t="str">
        <f ca="1">+WORLDCUP!BD63</f>
        <v>Japón</v>
      </c>
      <c r="G289" s="9" t="str">
        <f ca="1">+WORLDCUP!BD58</f>
        <v>Sudáfrica</v>
      </c>
      <c r="H289" s="9" t="str">
        <f ca="1">+WORLDCUP!BD64</f>
        <v>Egipto</v>
      </c>
      <c r="I289" s="9" t="str">
        <f ca="1">+WORLDCUP!BD69</f>
        <v>Ghana</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Austria</v>
      </c>
      <c r="E290" s="9" t="str">
        <f ca="1">+WORLDCUP!BD59</f>
        <v>Bosnia y Herzegovina</v>
      </c>
      <c r="F290" s="9" t="str">
        <f ca="1">+WORLDCUP!BD63</f>
        <v>Japón</v>
      </c>
      <c r="G290" s="9" t="str">
        <f ca="1">+WORLDCUP!BD58</f>
        <v>Sudáfrica</v>
      </c>
      <c r="H290" s="9" t="str">
        <f ca="1">+WORLDCUP!BD64</f>
        <v>Egipto</v>
      </c>
      <c r="I290" s="9" t="str">
        <f ca="1">+WORLDCUP!BD69</f>
        <v>Ghana</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Egipto</v>
      </c>
      <c r="E291" s="9" t="str">
        <f ca="1">+WORLDCUP!BD59</f>
        <v>Bosnia y Herzegovina</v>
      </c>
      <c r="F291" s="9" t="str">
        <f ca="1">+WORLDCUP!BD58</f>
        <v>Sudáfrica</v>
      </c>
      <c r="G291" s="9" t="str">
        <f ca="1">+WORLDCUP!BD66</f>
        <v>Senegal</v>
      </c>
      <c r="H291" s="9" t="str">
        <f ca="1">+WORLDCUP!BD63</f>
        <v>Japón</v>
      </c>
      <c r="I291" s="9" t="str">
        <f ca="1">+WORLDCUP!BD69</f>
        <v>Ghana</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Austria</v>
      </c>
      <c r="E292" s="9" t="str">
        <f ca="1">+WORLDCUP!BD59</f>
        <v>Bosnia y Herzegovina</v>
      </c>
      <c r="F292" s="9" t="str">
        <f ca="1">+WORLDCUP!BD63</f>
        <v>Japón</v>
      </c>
      <c r="G292" s="9" t="str">
        <f ca="1">+WORLDCUP!BD58</f>
        <v>Sudáfrica</v>
      </c>
      <c r="H292" s="9" t="str">
        <f ca="1">+WORLDCUP!BD64</f>
        <v>Egipto</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Austria</v>
      </c>
      <c r="E293" s="9" t="str">
        <f ca="1">+WORLDCUP!BD59</f>
        <v>Bosnia y Herzegovina</v>
      </c>
      <c r="F293" s="9" t="str">
        <f ca="1">+WORLDCUP!BD63</f>
        <v>Japón</v>
      </c>
      <c r="G293" s="9" t="str">
        <f ca="1">+WORLDCUP!BD58</f>
        <v>Sudáfrica</v>
      </c>
      <c r="H293" s="9" t="str">
        <f ca="1">+WORLDCUP!BD64</f>
        <v>Egipto</v>
      </c>
      <c r="I293" s="9" t="str">
        <f ca="1">+WORLDCUP!BD66</f>
        <v>Senegal</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Ecuador</v>
      </c>
      <c r="D294" s="9" t="str">
        <f ca="1">+WORLDCUP!BD67</f>
        <v>Austria</v>
      </c>
      <c r="E294" s="9" t="str">
        <f ca="1">+WORLDCUP!BD59</f>
        <v>Bosnia y Herzegovina</v>
      </c>
      <c r="F294" s="9" t="str">
        <f ca="1">+WORLDCUP!BD58</f>
        <v>Sudáfrica</v>
      </c>
      <c r="G294" s="9" t="str">
        <f ca="1">+WORLDCUP!BD66</f>
        <v>Senegal</v>
      </c>
      <c r="H294" s="9" t="str">
        <f ca="1">+WORLDCUP!BD65</f>
        <v>Arabia Saudita</v>
      </c>
      <c r="I294" s="9" t="str">
        <f ca="1">+WORLDCUP!BD69</f>
        <v>Ghana</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Ecuador</v>
      </c>
      <c r="D295" s="9" t="str">
        <f ca="1">+WORLDCUP!BD67</f>
        <v>Austria</v>
      </c>
      <c r="E295" s="9" t="str">
        <f ca="1">+WORLDCUP!BD59</f>
        <v>Bosnia y Herzegovina</v>
      </c>
      <c r="F295" s="9" t="str">
        <f ca="1">+WORLDCUP!BD58</f>
        <v>Sudáfrica</v>
      </c>
      <c r="G295" s="9" t="str">
        <f ca="1">+WORLDCUP!BD66</f>
        <v>Senegal</v>
      </c>
      <c r="H295" s="9" t="str">
        <f ca="1">+WORLDCUP!BD64</f>
        <v>Egipto</v>
      </c>
      <c r="I295" s="9" t="str">
        <f ca="1">+WORLDCUP!BD69</f>
        <v>Ghana</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Ecuador</v>
      </c>
      <c r="D296" s="9" t="str">
        <f ca="1">+WORLDCUP!BD67</f>
        <v>Austria</v>
      </c>
      <c r="E296" s="9" t="str">
        <f ca="1">+WORLDCUP!BD59</f>
        <v>Bosnia y Herzegovina</v>
      </c>
      <c r="F296" s="9" t="str">
        <f ca="1">+WORLDCUP!BD58</f>
        <v>Sudáfrica</v>
      </c>
      <c r="G296" s="9" t="str">
        <f ca="1">+WORLDCUP!BD65</f>
        <v>Arabia Saudita</v>
      </c>
      <c r="H296" s="9" t="str">
        <f ca="1">+WORLDCUP!BD64</f>
        <v>Egipto</v>
      </c>
      <c r="I296" s="9" t="str">
        <f ca="1">+WORLDCUP!BD69</f>
        <v>Ghana</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Ecuador</v>
      </c>
      <c r="D297" s="9" t="str">
        <f ca="1">+WORLDCUP!BD64</f>
        <v>Egipto</v>
      </c>
      <c r="E297" s="9" t="str">
        <f ca="1">+WORLDCUP!BD59</f>
        <v>Bosnia y Herzegovina</v>
      </c>
      <c r="F297" s="9" t="str">
        <f ca="1">+WORLDCUP!BD58</f>
        <v>Sudáfrica</v>
      </c>
      <c r="G297" s="9" t="str">
        <f ca="1">+WORLDCUP!BD66</f>
        <v>Senegal</v>
      </c>
      <c r="H297" s="9" t="str">
        <f ca="1">+WORLDCUP!BD65</f>
        <v>Arabia Saudita</v>
      </c>
      <c r="I297" s="9" t="str">
        <f ca="1">+WORLDCUP!BD69</f>
        <v>Ghana</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Ecuador</v>
      </c>
      <c r="D298" s="9" t="str">
        <f ca="1">+WORLDCUP!BD67</f>
        <v>Austria</v>
      </c>
      <c r="E298" s="9" t="str">
        <f ca="1">+WORLDCUP!BD59</f>
        <v>Bosnia y Herzegovina</v>
      </c>
      <c r="F298" s="9" t="str">
        <f ca="1">+WORLDCUP!BD58</f>
        <v>Sudáfrica</v>
      </c>
      <c r="G298" s="9" t="str">
        <f ca="1">+WORLDCUP!BD65</f>
        <v>Arabia Saudita</v>
      </c>
      <c r="H298" s="9" t="str">
        <f ca="1">+WORLDCUP!BD64</f>
        <v>Egipto</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Ecuador</v>
      </c>
      <c r="D299" s="9" t="str">
        <f ca="1">+WORLDCUP!BD67</f>
        <v>Austria</v>
      </c>
      <c r="E299" s="9" t="str">
        <f ca="1">+WORLDCUP!BD59</f>
        <v>Bosnia y Herzegovina</v>
      </c>
      <c r="F299" s="9" t="str">
        <f ca="1">+WORLDCUP!BD58</f>
        <v>Sudáfrica</v>
      </c>
      <c r="G299" s="9" t="str">
        <f ca="1">+WORLDCUP!BD65</f>
        <v>Arabia Saudita</v>
      </c>
      <c r="H299" s="9" t="str">
        <f ca="1">+WORLDCUP!BD64</f>
        <v>Egipto</v>
      </c>
      <c r="I299" s="9" t="str">
        <f ca="1">+WORLDCUP!BD66</f>
        <v>Senegal</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Ecuador</v>
      </c>
      <c r="D300" s="9" t="str">
        <f ca="1">+WORLDCUP!BD67</f>
        <v>Austria</v>
      </c>
      <c r="E300" s="9" t="str">
        <f ca="1">+WORLDCUP!BD59</f>
        <v>Bosnia y Herzegovina</v>
      </c>
      <c r="F300" s="9" t="str">
        <f ca="1">+WORLDCUP!BD58</f>
        <v>Sudáfrica</v>
      </c>
      <c r="G300" s="9" t="str">
        <f ca="1">+WORLDCUP!BD66</f>
        <v>Senegal</v>
      </c>
      <c r="H300" s="9" t="str">
        <f ca="1">+WORLDCUP!BD63</f>
        <v>Japón</v>
      </c>
      <c r="I300" s="9" t="str">
        <f ca="1">+WORLDCUP!BD69</f>
        <v>Ghana</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Ecuador</v>
      </c>
      <c r="D301" s="9" t="str">
        <f ca="1">+WORLDCUP!BD67</f>
        <v>Austria</v>
      </c>
      <c r="E301" s="9" t="str">
        <f ca="1">+WORLDCUP!BD59</f>
        <v>Bosnia y Herzegovina</v>
      </c>
      <c r="F301" s="9" t="str">
        <f ca="1">+WORLDCUP!BD63</f>
        <v>Japón</v>
      </c>
      <c r="G301" s="9" t="str">
        <f ca="1">+WORLDCUP!BD58</f>
        <v>Sudáfrica</v>
      </c>
      <c r="H301" s="9" t="str">
        <f ca="1">+WORLDCUP!BD65</f>
        <v>Arabia Saudita</v>
      </c>
      <c r="I301" s="9" t="str">
        <f ca="1">+WORLDCUP!BD69</f>
        <v>Ghana</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Ecuador</v>
      </c>
      <c r="D302" s="9" t="str">
        <f ca="1">+WORLDCUP!BD66</f>
        <v>Senegal</v>
      </c>
      <c r="E302" s="9" t="str">
        <f ca="1">+WORLDCUP!BD59</f>
        <v>Bosnia y Herzegovina</v>
      </c>
      <c r="F302" s="9" t="str">
        <f ca="1">+WORLDCUP!BD63</f>
        <v>Japón</v>
      </c>
      <c r="G302" s="9" t="str">
        <f ca="1">+WORLDCUP!BD58</f>
        <v>Sudáfrica</v>
      </c>
      <c r="H302" s="9" t="str">
        <f ca="1">+WORLDCUP!BD65</f>
        <v>Arabia Saudita</v>
      </c>
      <c r="I302" s="9" t="str">
        <f ca="1">+WORLDCUP!BD69</f>
        <v>Ghana</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Ecuador</v>
      </c>
      <c r="D303" s="9" t="str">
        <f ca="1">+WORLDCUP!BD67</f>
        <v>Austria</v>
      </c>
      <c r="E303" s="9" t="str">
        <f ca="1">+WORLDCUP!BD59</f>
        <v>Bosnia y Herzegovina</v>
      </c>
      <c r="F303" s="9" t="str">
        <f ca="1">+WORLDCUP!BD63</f>
        <v>Japón</v>
      </c>
      <c r="G303" s="9" t="str">
        <f ca="1">+WORLDCUP!BD58</f>
        <v>Sudáfrica</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Ecuador</v>
      </c>
      <c r="D304" s="9" t="str">
        <f ca="1">+WORLDCUP!BD67</f>
        <v>Austria</v>
      </c>
      <c r="E304" s="9" t="str">
        <f ca="1">+WORLDCUP!BD59</f>
        <v>Bosnia y Herzegovina</v>
      </c>
      <c r="F304" s="9" t="str">
        <f ca="1">+WORLDCUP!BD63</f>
        <v>Japón</v>
      </c>
      <c r="G304" s="9" t="str">
        <f ca="1">+WORLDCUP!BD58</f>
        <v>Sudáfrica</v>
      </c>
      <c r="H304" s="9" t="str">
        <f ca="1">+WORLDCUP!BD65</f>
        <v>Arabia Saudita</v>
      </c>
      <c r="I304" s="9" t="str">
        <f ca="1">+WORLDCUP!BD66</f>
        <v>Senegal</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Ecuador</v>
      </c>
      <c r="D305" s="9" t="str">
        <f ca="1">+WORLDCUP!BD67</f>
        <v>Austria</v>
      </c>
      <c r="E305" s="9" t="str">
        <f ca="1">+WORLDCUP!BD59</f>
        <v>Bosnia y Herzegovina</v>
      </c>
      <c r="F305" s="9" t="str">
        <f ca="1">+WORLDCUP!BD63</f>
        <v>Japón</v>
      </c>
      <c r="G305" s="9" t="str">
        <f ca="1">+WORLDCUP!BD58</f>
        <v>Sudáfrica</v>
      </c>
      <c r="H305" s="9" t="str">
        <f ca="1">+WORLDCUP!BD64</f>
        <v>Egipto</v>
      </c>
      <c r="I305" s="9" t="str">
        <f ca="1">+WORLDCUP!BD69</f>
        <v>Ghana</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Ecuador</v>
      </c>
      <c r="D306" s="9" t="str">
        <f ca="1">+WORLDCUP!BD64</f>
        <v>Egipto</v>
      </c>
      <c r="E306" s="9" t="str">
        <f ca="1">+WORLDCUP!BD59</f>
        <v>Bosnia y Herzegovina</v>
      </c>
      <c r="F306" s="9" t="str">
        <f ca="1">+WORLDCUP!BD58</f>
        <v>Sudáfrica</v>
      </c>
      <c r="G306" s="9" t="str">
        <f ca="1">+WORLDCUP!BD66</f>
        <v>Senegal</v>
      </c>
      <c r="H306" s="9" t="str">
        <f ca="1">+WORLDCUP!BD63</f>
        <v>Japón</v>
      </c>
      <c r="I306" s="9" t="str">
        <f ca="1">+WORLDCUP!BD69</f>
        <v>Ghana</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Ecuador</v>
      </c>
      <c r="D307" s="9" t="str">
        <f ca="1">+WORLDCUP!BD67</f>
        <v>Austria</v>
      </c>
      <c r="E307" s="9" t="str">
        <f ca="1">+WORLDCUP!BD59</f>
        <v>Bosnia y Herzegovina</v>
      </c>
      <c r="F307" s="9" t="str">
        <f ca="1">+WORLDCUP!BD63</f>
        <v>Japón</v>
      </c>
      <c r="G307" s="9" t="str">
        <f ca="1">+WORLDCUP!BD58</f>
        <v>Sudáfrica</v>
      </c>
      <c r="H307" s="9" t="str">
        <f ca="1">+WORLDCUP!BD64</f>
        <v>Egipto</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Ecuador</v>
      </c>
      <c r="D308" s="9" t="str">
        <f ca="1">+WORLDCUP!BD67</f>
        <v>Austria</v>
      </c>
      <c r="E308" s="9" t="str">
        <f ca="1">+WORLDCUP!BD59</f>
        <v>Bosnia y Herzegovina</v>
      </c>
      <c r="F308" s="9" t="str">
        <f ca="1">+WORLDCUP!BD63</f>
        <v>Japón</v>
      </c>
      <c r="G308" s="9" t="str">
        <f ca="1">+WORLDCUP!BD58</f>
        <v>Sudáfrica</v>
      </c>
      <c r="H308" s="9" t="str">
        <f ca="1">+WORLDCUP!BD64</f>
        <v>Egipto</v>
      </c>
      <c r="I308" s="9" t="str">
        <f ca="1">+WORLDCUP!BD66</f>
        <v>Senegal</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Ecuador</v>
      </c>
      <c r="D309" s="9" t="str">
        <f ca="1">+WORLDCUP!BD64</f>
        <v>Egipto</v>
      </c>
      <c r="E309" s="9" t="str">
        <f ca="1">+WORLDCUP!BD59</f>
        <v>Bosnia y Herzegovina</v>
      </c>
      <c r="F309" s="9" t="str">
        <f ca="1">+WORLDCUP!BD63</f>
        <v>Japón</v>
      </c>
      <c r="G309" s="9" t="str">
        <f ca="1">+WORLDCUP!BD58</f>
        <v>Sudáfrica</v>
      </c>
      <c r="H309" s="9" t="str">
        <f ca="1">+WORLDCUP!BD65</f>
        <v>Arabia Saudita</v>
      </c>
      <c r="I309" s="9" t="str">
        <f ca="1">+WORLDCUP!BD69</f>
        <v>Ghana</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Austria</v>
      </c>
      <c r="E310" s="9" t="str">
        <f ca="1">+WORLDCUP!BD59</f>
        <v>Bosnia y Herzegovina</v>
      </c>
      <c r="F310" s="9" t="str">
        <f ca="1">+WORLDCUP!BD63</f>
        <v>Japón</v>
      </c>
      <c r="G310" s="9" t="str">
        <f ca="1">+WORLDCUP!BD58</f>
        <v>Sudáfrica</v>
      </c>
      <c r="H310" s="9" t="str">
        <f ca="1">+WORLDCUP!BD64</f>
        <v>Egipto</v>
      </c>
      <c r="I310" s="9" t="str">
        <f ca="1">+WORLDCUP!BD69</f>
        <v>Ghana</v>
      </c>
      <c r="J310" s="9" t="str">
        <f ca="1">+WORLDCUP!BD62</f>
        <v>Ecuador</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Austria</v>
      </c>
      <c r="E311" s="9" t="str">
        <f ca="1">+WORLDCUP!BD59</f>
        <v>Bosnia y Herzegovina</v>
      </c>
      <c r="F311" s="9" t="str">
        <f ca="1">+WORLDCUP!BD63</f>
        <v>Japón</v>
      </c>
      <c r="G311" s="9" t="str">
        <f ca="1">+WORLDCUP!BD58</f>
        <v>Sudáfrica</v>
      </c>
      <c r="H311" s="9" t="str">
        <f ca="1">+WORLDCUP!BD64</f>
        <v>Egipto</v>
      </c>
      <c r="I311" s="9" t="str">
        <f ca="1">+WORLDCUP!BD62</f>
        <v>Ecuador</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Ecuador</v>
      </c>
      <c r="D312" s="9" t="str">
        <f ca="1">+WORLDCUP!BD64</f>
        <v>Egipto</v>
      </c>
      <c r="E312" s="9" t="str">
        <f ca="1">+WORLDCUP!BD59</f>
        <v>Bosnia y Herzegovina</v>
      </c>
      <c r="F312" s="9" t="str">
        <f ca="1">+WORLDCUP!BD63</f>
        <v>Japón</v>
      </c>
      <c r="G312" s="9" t="str">
        <f ca="1">+WORLDCUP!BD58</f>
        <v>Sudáfrica</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Ecuador</v>
      </c>
      <c r="D313" s="9" t="str">
        <f ca="1">+WORLDCUP!BD64</f>
        <v>Egipto</v>
      </c>
      <c r="E313" s="9" t="str">
        <f ca="1">+WORLDCUP!BD59</f>
        <v>Bosnia y Herzegovina</v>
      </c>
      <c r="F313" s="9" t="str">
        <f ca="1">+WORLDCUP!BD63</f>
        <v>Japón</v>
      </c>
      <c r="G313" s="9" t="str">
        <f ca="1">+WORLDCUP!BD58</f>
        <v>Sudáfrica</v>
      </c>
      <c r="H313" s="9" t="str">
        <f ca="1">+WORLDCUP!BD65</f>
        <v>Arabia Saudita</v>
      </c>
      <c r="I313" s="9" t="str">
        <f ca="1">+WORLDCUP!BD66</f>
        <v>Senegal</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Austria</v>
      </c>
      <c r="E314" s="9" t="str">
        <f ca="1">+WORLDCUP!BD59</f>
        <v>Bosnia y Herzegovina</v>
      </c>
      <c r="F314" s="9" t="str">
        <f ca="1">+WORLDCUP!BD63</f>
        <v>Japón</v>
      </c>
      <c r="G314" s="9" t="str">
        <f ca="1">+WORLDCUP!BD58</f>
        <v>Sudáfrica</v>
      </c>
      <c r="H314" s="9" t="str">
        <f ca="1">+WORLDCUP!BD64</f>
        <v>Egipto</v>
      </c>
      <c r="I314" s="9" t="str">
        <f ca="1">+WORLDCUP!BD62</f>
        <v>Ecuador</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Austria</v>
      </c>
      <c r="E315" s="9" t="str">
        <f ca="1">+WORLDCUP!BD59</f>
        <v>Bosnia y Herzegovina</v>
      </c>
      <c r="F315" s="9" t="str">
        <f ca="1">+WORLDCUP!BD61</f>
        <v>Paraguay</v>
      </c>
      <c r="G315" s="9" t="str">
        <f ca="1">+WORLDCUP!BD58</f>
        <v>Sudáfrica</v>
      </c>
      <c r="H315" s="9" t="str">
        <f ca="1">+WORLDCUP!BD65</f>
        <v>Arabia Saudita</v>
      </c>
      <c r="I315" s="9" t="str">
        <f ca="1">+WORLDCUP!BD69</f>
        <v>Ghana</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Austria</v>
      </c>
      <c r="E316" s="9" t="str">
        <f ca="1">+WORLDCUP!BD59</f>
        <v>Bosnia y Herzegovina</v>
      </c>
      <c r="F316" s="9" t="str">
        <f ca="1">+WORLDCUP!BD61</f>
        <v>Paraguay</v>
      </c>
      <c r="G316" s="9" t="str">
        <f ca="1">+WORLDCUP!BD58</f>
        <v>Sudáfrica</v>
      </c>
      <c r="H316" s="9" t="str">
        <f ca="1">+WORLDCUP!BD64</f>
        <v>Egipto</v>
      </c>
      <c r="I316" s="9" t="str">
        <f ca="1">+WORLDCUP!BD69</f>
        <v>Ghana</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Austria</v>
      </c>
      <c r="E317" s="9" t="str">
        <f ca="1">+WORLDCUP!BD59</f>
        <v>Bosnia y Herzegovina</v>
      </c>
      <c r="F317" s="9" t="str">
        <f ca="1">+WORLDCUP!BD61</f>
        <v>Paraguay</v>
      </c>
      <c r="G317" s="9" t="str">
        <f ca="1">+WORLDCUP!BD58</f>
        <v>Sudáfrica</v>
      </c>
      <c r="H317" s="9" t="str">
        <f ca="1">+WORLDCUP!BD64</f>
        <v>Egipto</v>
      </c>
      <c r="I317" s="9" t="str">
        <f ca="1">+WORLDCUP!BD69</f>
        <v>Ghana</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Egipto</v>
      </c>
      <c r="E318" s="9" t="str">
        <f ca="1">+WORLDCUP!BD59</f>
        <v>Bosnia y Herzegovina</v>
      </c>
      <c r="F318" s="9" t="str">
        <f ca="1">+WORLDCUP!BD61</f>
        <v>Paraguay</v>
      </c>
      <c r="G318" s="9" t="str">
        <f ca="1">+WORLDCUP!BD58</f>
        <v>Sudáfrica</v>
      </c>
      <c r="H318" s="9" t="str">
        <f ca="1">+WORLDCUP!BD65</f>
        <v>Arabia Saudita</v>
      </c>
      <c r="I318" s="9" t="str">
        <f ca="1">+WORLDCUP!BD69</f>
        <v>Ghana</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Austria</v>
      </c>
      <c r="E319" s="9" t="str">
        <f ca="1">+WORLDCUP!BD59</f>
        <v>Bosnia y Herzegovina</v>
      </c>
      <c r="F319" s="9" t="str">
        <f ca="1">+WORLDCUP!BD61</f>
        <v>Paraguay</v>
      </c>
      <c r="G319" s="9" t="str">
        <f ca="1">+WORLDCUP!BD58</f>
        <v>Sudáfrica</v>
      </c>
      <c r="H319" s="9" t="str">
        <f ca="1">+WORLDCUP!BD64</f>
        <v>Egipto</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Austria</v>
      </c>
      <c r="E320" s="9" t="str">
        <f ca="1">+WORLDCUP!BD59</f>
        <v>Bosnia y Herzegovina</v>
      </c>
      <c r="F320" s="9" t="str">
        <f ca="1">+WORLDCUP!BD61</f>
        <v>Paraguay</v>
      </c>
      <c r="G320" s="9" t="str">
        <f ca="1">+WORLDCUP!BD58</f>
        <v>Sudáfrica</v>
      </c>
      <c r="H320" s="9" t="str">
        <f ca="1">+WORLDCUP!BD64</f>
        <v>Egipto</v>
      </c>
      <c r="I320" s="9" t="str">
        <f ca="1">+WORLDCUP!BD66</f>
        <v>Senegal</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Austria</v>
      </c>
      <c r="E321" s="9" t="str">
        <f ca="1">+WORLDCUP!BD59</f>
        <v>Bosnia y Herzegovina</v>
      </c>
      <c r="F321" s="9" t="str">
        <f ca="1">+WORLDCUP!BD61</f>
        <v>Paraguay</v>
      </c>
      <c r="G321" s="9" t="str">
        <f ca="1">+WORLDCUP!BD58</f>
        <v>Sudáfrica</v>
      </c>
      <c r="H321" s="9" t="str">
        <f ca="1">+WORLDCUP!BD63</f>
        <v>Japón</v>
      </c>
      <c r="I321" s="9" t="str">
        <f ca="1">+WORLDCUP!BD69</f>
        <v>Ghana</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Austria</v>
      </c>
      <c r="E322" s="9" t="str">
        <f ca="1">+WORLDCUP!BD59</f>
        <v>Bosnia y Herzegovina</v>
      </c>
      <c r="F322" s="9" t="str">
        <f ca="1">+WORLDCUP!BD61</f>
        <v>Paraguay</v>
      </c>
      <c r="G322" s="9" t="str">
        <f ca="1">+WORLDCUP!BD58</f>
        <v>Sudáfrica</v>
      </c>
      <c r="H322" s="9" t="str">
        <f ca="1">+WORLDCUP!BD63</f>
        <v>Japón</v>
      </c>
      <c r="I322" s="9" t="str">
        <f ca="1">+WORLDCUP!BD69</f>
        <v>Ghana</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Sudáfrica</v>
      </c>
      <c r="H323" s="9" t="str">
        <f ca="1">+WORLDCUP!BD63</f>
        <v>Japón</v>
      </c>
      <c r="I323" s="9" t="str">
        <f ca="1">+WORLDCUP!BD69</f>
        <v>Ghana</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Austria</v>
      </c>
      <c r="E324" s="9" t="str">
        <f ca="1">+WORLDCUP!BD59</f>
        <v>Bosnia y Herzegovina</v>
      </c>
      <c r="F324" s="9" t="str">
        <f ca="1">+WORLDCUP!BD61</f>
        <v>Paraguay</v>
      </c>
      <c r="G324" s="9" t="str">
        <f ca="1">+WORLDCUP!BD58</f>
        <v>Sudáfrica</v>
      </c>
      <c r="H324" s="9" t="str">
        <f ca="1">+WORLDCUP!BD63</f>
        <v>Japón</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Austria</v>
      </c>
      <c r="E325" s="9" t="str">
        <f ca="1">+WORLDCUP!BD59</f>
        <v>Bosnia y Herzegovina</v>
      </c>
      <c r="F325" s="9" t="str">
        <f ca="1">+WORLDCUP!BD61</f>
        <v>Paraguay</v>
      </c>
      <c r="G325" s="9" t="str">
        <f ca="1">+WORLDCUP!BD58</f>
        <v>Sudáfrica</v>
      </c>
      <c r="H325" s="9" t="str">
        <f ca="1">+WORLDCUP!BD63</f>
        <v>Japón</v>
      </c>
      <c r="I325" s="9" t="str">
        <f ca="1">+WORLDCUP!BD66</f>
        <v>Senegal</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Japón</v>
      </c>
      <c r="D326" s="9" t="str">
        <f ca="1">+WORLDCUP!BD67</f>
        <v>Austria</v>
      </c>
      <c r="E326" s="9" t="str">
        <f ca="1">+WORLDCUP!BD59</f>
        <v>Bosnia y Herzegovina</v>
      </c>
      <c r="F326" s="9" t="str">
        <f ca="1">+WORLDCUP!BD61</f>
        <v>Paraguay</v>
      </c>
      <c r="G326" s="9" t="str">
        <f ca="1">+WORLDCUP!BD58</f>
        <v>Sudáfrica</v>
      </c>
      <c r="H326" s="9" t="str">
        <f ca="1">+WORLDCUP!BD64</f>
        <v>Egipto</v>
      </c>
      <c r="I326" s="9" t="str">
        <f ca="1">+WORLDCUP!BD69</f>
        <v>Ghana</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Egipto</v>
      </c>
      <c r="E327" s="9" t="str">
        <f ca="1">+WORLDCUP!BD59</f>
        <v>Bosnia y Herzegovina</v>
      </c>
      <c r="F327" s="9" t="str">
        <f ca="1">+WORLDCUP!BD61</f>
        <v>Paraguay</v>
      </c>
      <c r="G327" s="9" t="str">
        <f ca="1">+WORLDCUP!BD58</f>
        <v>Sudáfrica</v>
      </c>
      <c r="H327" s="9" t="str">
        <f ca="1">+WORLDCUP!BD63</f>
        <v>Japón</v>
      </c>
      <c r="I327" s="9" t="str">
        <f ca="1">+WORLDCUP!BD69</f>
        <v>Ghana</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Japón</v>
      </c>
      <c r="D328" s="9" t="str">
        <f ca="1">+WORLDCUP!BD67</f>
        <v>Austria</v>
      </c>
      <c r="E328" s="9" t="str">
        <f ca="1">+WORLDCUP!BD59</f>
        <v>Bosnia y Herzegovina</v>
      </c>
      <c r="F328" s="9" t="str">
        <f ca="1">+WORLDCUP!BD61</f>
        <v>Paraguay</v>
      </c>
      <c r="G328" s="9" t="str">
        <f ca="1">+WORLDCUP!BD58</f>
        <v>Sudáfrica</v>
      </c>
      <c r="H328" s="9" t="str">
        <f ca="1">+WORLDCUP!BD64</f>
        <v>Egipto</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Japón</v>
      </c>
      <c r="D329" s="9" t="str">
        <f ca="1">+WORLDCUP!BD67</f>
        <v>Austria</v>
      </c>
      <c r="E329" s="9" t="str">
        <f ca="1">+WORLDCUP!BD59</f>
        <v>Bosnia y Herzegovina</v>
      </c>
      <c r="F329" s="9" t="str">
        <f ca="1">+WORLDCUP!BD61</f>
        <v>Paraguay</v>
      </c>
      <c r="G329" s="9" t="str">
        <f ca="1">+WORLDCUP!BD58</f>
        <v>Sudáfrica</v>
      </c>
      <c r="H329" s="9" t="str">
        <f ca="1">+WORLDCUP!BD64</f>
        <v>Egipto</v>
      </c>
      <c r="I329" s="9" t="str">
        <f ca="1">+WORLDCUP!BD66</f>
        <v>Senegal</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Egipto</v>
      </c>
      <c r="E330" s="9" t="str">
        <f ca="1">+WORLDCUP!BD59</f>
        <v>Bosnia y Herzegovina</v>
      </c>
      <c r="F330" s="9" t="str">
        <f ca="1">+WORLDCUP!BD61</f>
        <v>Paraguay</v>
      </c>
      <c r="G330" s="9" t="str">
        <f ca="1">+WORLDCUP!BD58</f>
        <v>Sudáfrica</v>
      </c>
      <c r="H330" s="9" t="str">
        <f ca="1">+WORLDCUP!BD63</f>
        <v>Japón</v>
      </c>
      <c r="I330" s="9" t="str">
        <f ca="1">+WORLDCUP!BD69</f>
        <v>Ghana</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Egipto</v>
      </c>
      <c r="E331" s="9" t="str">
        <f ca="1">+WORLDCUP!BD59</f>
        <v>Bosnia y Herzegovina</v>
      </c>
      <c r="F331" s="9" t="str">
        <f ca="1">+WORLDCUP!BD61</f>
        <v>Paraguay</v>
      </c>
      <c r="G331" s="9" t="str">
        <f ca="1">+WORLDCUP!BD58</f>
        <v>Sudáfrica</v>
      </c>
      <c r="H331" s="9" t="str">
        <f ca="1">+WORLDCUP!BD63</f>
        <v>Japón</v>
      </c>
      <c r="I331" s="9" t="str">
        <f ca="1">+WORLDCUP!BD69</f>
        <v>Ghana</v>
      </c>
      <c r="J331" s="9" t="str">
        <f ca="1">+WORLDCUP!BD67</f>
        <v>Austria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Egipto</v>
      </c>
      <c r="E332" s="9" t="str">
        <f ca="1">+WORLDCUP!BD59</f>
        <v>Bosnia y Herzegovina</v>
      </c>
      <c r="F332" s="9" t="str">
        <f ca="1">+WORLDCUP!BD61</f>
        <v>Paraguay</v>
      </c>
      <c r="G332" s="9" t="str">
        <f ca="1">+WORLDCUP!BD58</f>
        <v>Sudáfrica</v>
      </c>
      <c r="H332" s="9" t="str">
        <f ca="1">+WORLDCUP!BD63</f>
        <v>Japón</v>
      </c>
      <c r="I332" s="9" t="str">
        <f ca="1">+WORLDCUP!BD67</f>
        <v>Austria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Egipto</v>
      </c>
      <c r="E333" s="9" t="str">
        <f ca="1">+WORLDCUP!BD59</f>
        <v>Bosnia y Herzegovina</v>
      </c>
      <c r="F333" s="9" t="str">
        <f ca="1">+WORLDCUP!BD61</f>
        <v>Paraguay</v>
      </c>
      <c r="G333" s="9" t="str">
        <f ca="1">+WORLDCUP!BD58</f>
        <v>Sudáfrica</v>
      </c>
      <c r="H333" s="9" t="str">
        <f ca="1">+WORLDCUP!BD63</f>
        <v>Japón</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Egipto</v>
      </c>
      <c r="E334" s="9" t="str">
        <f ca="1">+WORLDCUP!BD59</f>
        <v>Bosnia y Herzegovina</v>
      </c>
      <c r="F334" s="9" t="str">
        <f ca="1">+WORLDCUP!BD61</f>
        <v>Paraguay</v>
      </c>
      <c r="G334" s="9" t="str">
        <f ca="1">+WORLDCUP!BD58</f>
        <v>Sudáfrica</v>
      </c>
      <c r="H334" s="9" t="str">
        <f ca="1">+WORLDCUP!BD63</f>
        <v>Japón</v>
      </c>
      <c r="I334" s="9" t="str">
        <f ca="1">+WORLDCUP!BD66</f>
        <v>Senegal</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Egipto</v>
      </c>
      <c r="E335" s="9" t="str">
        <f ca="1">+WORLDCUP!BD59</f>
        <v>Bosnia y Herzegovina</v>
      </c>
      <c r="F335" s="9" t="str">
        <f ca="1">+WORLDCUP!BD61</f>
        <v>Paraguay</v>
      </c>
      <c r="G335" s="9" t="str">
        <f ca="1">+WORLDCUP!BD58</f>
        <v>Sudáfrica</v>
      </c>
      <c r="H335" s="9" t="str">
        <f ca="1">+WORLDCUP!BD63</f>
        <v>Japón</v>
      </c>
      <c r="I335" s="9" t="str">
        <f ca="1">+WORLDCUP!BD66</f>
        <v>Senegal</v>
      </c>
      <c r="J335" s="9" t="str">
        <f ca="1">+WORLDCUP!BD67</f>
        <v>Austria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Ecuador</v>
      </c>
      <c r="D336" s="9" t="str">
        <f ca="1">+WORLDCUP!BD67</f>
        <v>Austria</v>
      </c>
      <c r="E336" s="9" t="str">
        <f ca="1">+WORLDCUP!BD59</f>
        <v>Bosnia y Herzegovina</v>
      </c>
      <c r="F336" s="9" t="str">
        <f ca="1">+WORLDCUP!BD58</f>
        <v>Sudáfrica</v>
      </c>
      <c r="G336" s="9" t="str">
        <f ca="1">+WORLDCUP!BD66</f>
        <v>Senegal</v>
      </c>
      <c r="H336" s="9" t="str">
        <f ca="1">+WORLDCUP!BD61</f>
        <v>Paraguay</v>
      </c>
      <c r="I336" s="9" t="str">
        <f ca="1">+WORLDCUP!BD69</f>
        <v>Ghana</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Ecuador</v>
      </c>
      <c r="D337" s="9" t="str">
        <f ca="1">+WORLDCUP!BD67</f>
        <v>Austria</v>
      </c>
      <c r="E337" s="9" t="str">
        <f ca="1">+WORLDCUP!BD59</f>
        <v>Bosnia y Herzegovina</v>
      </c>
      <c r="F337" s="9" t="str">
        <f ca="1">+WORLDCUP!BD61</f>
        <v>Paraguay</v>
      </c>
      <c r="G337" s="9" t="str">
        <f ca="1">+WORLDCUP!BD58</f>
        <v>Sudáfrica</v>
      </c>
      <c r="H337" s="9" t="str">
        <f ca="1">+WORLDCUP!BD65</f>
        <v>Arabia Saudita</v>
      </c>
      <c r="I337" s="9" t="str">
        <f ca="1">+WORLDCUP!BD69</f>
        <v>Ghana</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Sudáfrica</v>
      </c>
      <c r="H338" s="9" t="str">
        <f ca="1">+WORLDCUP!BD65</f>
        <v>Arabia Saudita</v>
      </c>
      <c r="I338" s="9" t="str">
        <f ca="1">+WORLDCUP!BD69</f>
        <v>Ghana</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Ecuador</v>
      </c>
      <c r="D339" s="9" t="str">
        <f ca="1">+WORLDCUP!BD67</f>
        <v>Austria</v>
      </c>
      <c r="E339" s="9" t="str">
        <f ca="1">+WORLDCUP!BD59</f>
        <v>Bosnia y Herzegovina</v>
      </c>
      <c r="F339" s="9" t="str">
        <f ca="1">+WORLDCUP!BD61</f>
        <v>Paraguay</v>
      </c>
      <c r="G339" s="9" t="str">
        <f ca="1">+WORLDCUP!BD58</f>
        <v>Sudáfrica</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Ecuador</v>
      </c>
      <c r="D340" s="9" t="str">
        <f ca="1">+WORLDCUP!BD67</f>
        <v>Austria</v>
      </c>
      <c r="E340" s="9" t="str">
        <f ca="1">+WORLDCUP!BD59</f>
        <v>Bosnia y Herzegovina</v>
      </c>
      <c r="F340" s="9" t="str">
        <f ca="1">+WORLDCUP!BD61</f>
        <v>Paraguay</v>
      </c>
      <c r="G340" s="9" t="str">
        <f ca="1">+WORLDCUP!BD58</f>
        <v>Sudáfrica</v>
      </c>
      <c r="H340" s="9" t="str">
        <f ca="1">+WORLDCUP!BD65</f>
        <v>Arabia Saudita</v>
      </c>
      <c r="I340" s="9" t="str">
        <f ca="1">+WORLDCUP!BD66</f>
        <v>Senegal</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Ecuador</v>
      </c>
      <c r="D341" s="9" t="str">
        <f ca="1">+WORLDCUP!BD67</f>
        <v>Austria</v>
      </c>
      <c r="E341" s="9" t="str">
        <f ca="1">+WORLDCUP!BD59</f>
        <v>Bosnia y Herzegovina</v>
      </c>
      <c r="F341" s="9" t="str">
        <f ca="1">+WORLDCUP!BD61</f>
        <v>Paraguay</v>
      </c>
      <c r="G341" s="9" t="str">
        <f ca="1">+WORLDCUP!BD58</f>
        <v>Sudáfrica</v>
      </c>
      <c r="H341" s="9" t="str">
        <f ca="1">+WORLDCUP!BD64</f>
        <v>Egipto</v>
      </c>
      <c r="I341" s="9" t="str">
        <f ca="1">+WORLDCUP!BD69</f>
        <v>Ghana</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Ecuador</v>
      </c>
      <c r="D342" s="9" t="str">
        <f ca="1">+WORLDCUP!BD64</f>
        <v>Egipto</v>
      </c>
      <c r="E342" s="9" t="str">
        <f ca="1">+WORLDCUP!BD59</f>
        <v>Bosnia y Herzegovina</v>
      </c>
      <c r="F342" s="9" t="str">
        <f ca="1">+WORLDCUP!BD58</f>
        <v>Sudáfrica</v>
      </c>
      <c r="G342" s="9" t="str">
        <f ca="1">+WORLDCUP!BD66</f>
        <v>Senegal</v>
      </c>
      <c r="H342" s="9" t="str">
        <f ca="1">+WORLDCUP!BD61</f>
        <v>Paraguay</v>
      </c>
      <c r="I342" s="9" t="str">
        <f ca="1">+WORLDCUP!BD69</f>
        <v>Ghana</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Ecuador</v>
      </c>
      <c r="D343" s="9" t="str">
        <f ca="1">+WORLDCUP!BD67</f>
        <v>Austria</v>
      </c>
      <c r="E343" s="9" t="str">
        <f ca="1">+WORLDCUP!BD59</f>
        <v>Bosnia y Herzegovina</v>
      </c>
      <c r="F343" s="9" t="str">
        <f ca="1">+WORLDCUP!BD61</f>
        <v>Paraguay</v>
      </c>
      <c r="G343" s="9" t="str">
        <f ca="1">+WORLDCUP!BD58</f>
        <v>Sudáfrica</v>
      </c>
      <c r="H343" s="9" t="str">
        <f ca="1">+WORLDCUP!BD64</f>
        <v>Egipto</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Ecuador</v>
      </c>
      <c r="D344" s="9" t="str">
        <f ca="1">+WORLDCUP!BD67</f>
        <v>Austria</v>
      </c>
      <c r="E344" s="9" t="str">
        <f ca="1">+WORLDCUP!BD59</f>
        <v>Bosnia y Herzegovina</v>
      </c>
      <c r="F344" s="9" t="str">
        <f ca="1">+WORLDCUP!BD61</f>
        <v>Paraguay</v>
      </c>
      <c r="G344" s="9" t="str">
        <f ca="1">+WORLDCUP!BD58</f>
        <v>Sudáfrica</v>
      </c>
      <c r="H344" s="9" t="str">
        <f ca="1">+WORLDCUP!BD64</f>
        <v>Egipto</v>
      </c>
      <c r="I344" s="9" t="str">
        <f ca="1">+WORLDCUP!BD66</f>
        <v>Senegal</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Ecuador</v>
      </c>
      <c r="D345" s="9" t="str">
        <f ca="1">+WORLDCUP!BD64</f>
        <v>Egipto</v>
      </c>
      <c r="E345" s="9" t="str">
        <f ca="1">+WORLDCUP!BD59</f>
        <v>Bosnia y Herzegovina</v>
      </c>
      <c r="F345" s="9" t="str">
        <f ca="1">+WORLDCUP!BD61</f>
        <v>Paraguay</v>
      </c>
      <c r="G345" s="9" t="str">
        <f ca="1">+WORLDCUP!BD58</f>
        <v>Sudáfrica</v>
      </c>
      <c r="H345" s="9" t="str">
        <f ca="1">+WORLDCUP!BD65</f>
        <v>Arabia Saudita</v>
      </c>
      <c r="I345" s="9" t="str">
        <f ca="1">+WORLDCUP!BD69</f>
        <v>Ghana</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Austria</v>
      </c>
      <c r="E346" s="9" t="str">
        <f ca="1">+WORLDCUP!BD59</f>
        <v>Bosnia y Herzegovina</v>
      </c>
      <c r="F346" s="9" t="str">
        <f ca="1">+WORLDCUP!BD61</f>
        <v>Paraguay</v>
      </c>
      <c r="G346" s="9" t="str">
        <f ca="1">+WORLDCUP!BD58</f>
        <v>Sudáfrica</v>
      </c>
      <c r="H346" s="9" t="str">
        <f ca="1">+WORLDCUP!BD64</f>
        <v>Egipto</v>
      </c>
      <c r="I346" s="9" t="str">
        <f ca="1">+WORLDCUP!BD69</f>
        <v>Ghana</v>
      </c>
      <c r="J346" s="9" t="str">
        <f ca="1">+WORLDCUP!BD62</f>
        <v>Ecuador</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Austria</v>
      </c>
      <c r="E347" s="9" t="str">
        <f ca="1">+WORLDCUP!BD59</f>
        <v>Bosnia y Herzegovina</v>
      </c>
      <c r="F347" s="9" t="str">
        <f ca="1">+WORLDCUP!BD61</f>
        <v>Paraguay</v>
      </c>
      <c r="G347" s="9" t="str">
        <f ca="1">+WORLDCUP!BD58</f>
        <v>Sudáfrica</v>
      </c>
      <c r="H347" s="9" t="str">
        <f ca="1">+WORLDCUP!BD64</f>
        <v>Egipto</v>
      </c>
      <c r="I347" s="9" t="str">
        <f ca="1">+WORLDCUP!BD62</f>
        <v>Ecuador</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Ecuador</v>
      </c>
      <c r="D348" s="9" t="str">
        <f ca="1">+WORLDCUP!BD64</f>
        <v>Egipto</v>
      </c>
      <c r="E348" s="9" t="str">
        <f ca="1">+WORLDCUP!BD59</f>
        <v>Bosnia y Herzegovina</v>
      </c>
      <c r="F348" s="9" t="str">
        <f ca="1">+WORLDCUP!BD61</f>
        <v>Paraguay</v>
      </c>
      <c r="G348" s="9" t="str">
        <f ca="1">+WORLDCUP!BD58</f>
        <v>Sudáfrica</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Ecuador</v>
      </c>
      <c r="D349" s="9" t="str">
        <f ca="1">+WORLDCUP!BD64</f>
        <v>Egipto</v>
      </c>
      <c r="E349" s="9" t="str">
        <f ca="1">+WORLDCUP!BD59</f>
        <v>Bosnia y Herzegovina</v>
      </c>
      <c r="F349" s="9" t="str">
        <f ca="1">+WORLDCUP!BD61</f>
        <v>Paraguay</v>
      </c>
      <c r="G349" s="9" t="str">
        <f ca="1">+WORLDCUP!BD58</f>
        <v>Sudáfrica</v>
      </c>
      <c r="H349" s="9" t="str">
        <f ca="1">+WORLDCUP!BD65</f>
        <v>Arabia Saudita</v>
      </c>
      <c r="I349" s="9" t="str">
        <f ca="1">+WORLDCUP!BD66</f>
        <v>Senegal</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Austria</v>
      </c>
      <c r="E350" s="9" t="str">
        <f ca="1">+WORLDCUP!BD59</f>
        <v>Bosnia y Herzegovina</v>
      </c>
      <c r="F350" s="9" t="str">
        <f ca="1">+WORLDCUP!BD61</f>
        <v>Paraguay</v>
      </c>
      <c r="G350" s="9" t="str">
        <f ca="1">+WORLDCUP!BD58</f>
        <v>Sudáfrica</v>
      </c>
      <c r="H350" s="9" t="str">
        <f ca="1">+WORLDCUP!BD64</f>
        <v>Egipto</v>
      </c>
      <c r="I350" s="9" t="str">
        <f ca="1">+WORLDCUP!BD62</f>
        <v>Ecuador</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Ecuador</v>
      </c>
      <c r="D351" s="9" t="str">
        <f ca="1">+WORLDCUP!BD67</f>
        <v>Austria</v>
      </c>
      <c r="E351" s="9" t="str">
        <f ca="1">+WORLDCUP!BD59</f>
        <v>Bosnia y Herzegovina</v>
      </c>
      <c r="F351" s="9" t="str">
        <f ca="1">+WORLDCUP!BD61</f>
        <v>Paraguay</v>
      </c>
      <c r="G351" s="9" t="str">
        <f ca="1">+WORLDCUP!BD58</f>
        <v>Sudáfrica</v>
      </c>
      <c r="H351" s="9" t="str">
        <f ca="1">+WORLDCUP!BD63</f>
        <v>Japón</v>
      </c>
      <c r="I351" s="9" t="str">
        <f ca="1">+WORLDCUP!BD69</f>
        <v>Ghana</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Sudáfrica</v>
      </c>
      <c r="H352" s="9" t="str">
        <f ca="1">+WORLDCUP!BD63</f>
        <v>Japón</v>
      </c>
      <c r="I352" s="9" t="str">
        <f ca="1">+WORLDCUP!BD69</f>
        <v>Ghana</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Ecuador</v>
      </c>
      <c r="D353" s="9" t="str">
        <f ca="1">+WORLDCUP!BD67</f>
        <v>Austria</v>
      </c>
      <c r="E353" s="9" t="str">
        <f ca="1">+WORLDCUP!BD59</f>
        <v>Bosnia y Herzegovina</v>
      </c>
      <c r="F353" s="9" t="str">
        <f ca="1">+WORLDCUP!BD61</f>
        <v>Paraguay</v>
      </c>
      <c r="G353" s="9" t="str">
        <f ca="1">+WORLDCUP!BD58</f>
        <v>Sudáfrica</v>
      </c>
      <c r="H353" s="9" t="str">
        <f ca="1">+WORLDCUP!BD63</f>
        <v>Japón</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Ecuador</v>
      </c>
      <c r="D354" s="9" t="str">
        <f ca="1">+WORLDCUP!BD67</f>
        <v>Austria</v>
      </c>
      <c r="E354" s="9" t="str">
        <f ca="1">+WORLDCUP!BD59</f>
        <v>Bosnia y Herzegovina</v>
      </c>
      <c r="F354" s="9" t="str">
        <f ca="1">+WORLDCUP!BD61</f>
        <v>Paraguay</v>
      </c>
      <c r="G354" s="9" t="str">
        <f ca="1">+WORLDCUP!BD58</f>
        <v>Sudáfrica</v>
      </c>
      <c r="H354" s="9" t="str">
        <f ca="1">+WORLDCUP!BD63</f>
        <v>Japón</v>
      </c>
      <c r="I354" s="9" t="str">
        <f ca="1">+WORLDCUP!BD66</f>
        <v>Senegal</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Ecuador</v>
      </c>
      <c r="E355" s="9" t="str">
        <f ca="1">+WORLDCUP!BD59</f>
        <v>Bosnia y Herzegovina</v>
      </c>
      <c r="F355" s="9" t="str">
        <f ca="1">+WORLDCUP!BD61</f>
        <v>Paraguay</v>
      </c>
      <c r="G355" s="9" t="str">
        <f ca="1">+WORLDCUP!BD58</f>
        <v>Sudáfrica</v>
      </c>
      <c r="H355" s="9" t="str">
        <f ca="1">+WORLDCUP!BD63</f>
        <v>Japón</v>
      </c>
      <c r="I355" s="9" t="str">
        <f ca="1">+WORLDCUP!BD69</f>
        <v>Ghana</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Austria</v>
      </c>
      <c r="E356" s="9" t="str">
        <f ca="1">+WORLDCUP!BD59</f>
        <v>Bosnia y Herzegovina</v>
      </c>
      <c r="F356" s="9" t="str">
        <f ca="1">+WORLDCUP!BD61</f>
        <v>Paraguay</v>
      </c>
      <c r="G356" s="9" t="str">
        <f ca="1">+WORLDCUP!BD58</f>
        <v>Sudáfrica</v>
      </c>
      <c r="H356" s="9" t="str">
        <f ca="1">+WORLDCUP!BD63</f>
        <v>Japón</v>
      </c>
      <c r="I356" s="9" t="str">
        <f ca="1">+WORLDCUP!BD69</f>
        <v>Ghana</v>
      </c>
      <c r="J356" s="9" t="str">
        <f ca="1">+WORLDCUP!BD62</f>
        <v>Ecuador</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Austria</v>
      </c>
      <c r="E357" s="9" t="str">
        <f ca="1">+WORLDCUP!BD59</f>
        <v>Bosnia y Herzegovina</v>
      </c>
      <c r="F357" s="9" t="str">
        <f ca="1">+WORLDCUP!BD61</f>
        <v>Paraguay</v>
      </c>
      <c r="G357" s="9" t="str">
        <f ca="1">+WORLDCUP!BD58</f>
        <v>Sudáfrica</v>
      </c>
      <c r="H357" s="9" t="str">
        <f ca="1">+WORLDCUP!BD63</f>
        <v>Japón</v>
      </c>
      <c r="I357" s="9" t="str">
        <f ca="1">+WORLDCUP!BD62</f>
        <v>Ecuador</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Ecuador</v>
      </c>
      <c r="E358" s="9" t="str">
        <f ca="1">+WORLDCUP!BD59</f>
        <v>Bosnia y Herzegovina</v>
      </c>
      <c r="F358" s="9" t="str">
        <f ca="1">+WORLDCUP!BD61</f>
        <v>Paraguay</v>
      </c>
      <c r="G358" s="9" t="str">
        <f ca="1">+WORLDCUP!BD58</f>
        <v>Sudáfrica</v>
      </c>
      <c r="H358" s="9" t="str">
        <f ca="1">+WORLDCUP!BD63</f>
        <v>Japón</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Ecuador</v>
      </c>
      <c r="E359" s="9" t="str">
        <f ca="1">+WORLDCUP!BD59</f>
        <v>Bosnia y Herzegovina</v>
      </c>
      <c r="F359" s="9" t="str">
        <f ca="1">+WORLDCUP!BD61</f>
        <v>Paraguay</v>
      </c>
      <c r="G359" s="9" t="str">
        <f ca="1">+WORLDCUP!BD58</f>
        <v>Sudáfrica</v>
      </c>
      <c r="H359" s="9" t="str">
        <f ca="1">+WORLDCUP!BD63</f>
        <v>Japón</v>
      </c>
      <c r="I359" s="9" t="str">
        <f ca="1">+WORLDCUP!BD66</f>
        <v>Senegal</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Austria</v>
      </c>
      <c r="E360" s="9" t="str">
        <f ca="1">+WORLDCUP!BD59</f>
        <v>Bosnia y Herzegovina</v>
      </c>
      <c r="F360" s="9" t="str">
        <f ca="1">+WORLDCUP!BD61</f>
        <v>Paraguay</v>
      </c>
      <c r="G360" s="9" t="str">
        <f ca="1">+WORLDCUP!BD58</f>
        <v>Sudáfrica</v>
      </c>
      <c r="H360" s="9" t="str">
        <f ca="1">+WORLDCUP!BD63</f>
        <v>Japón</v>
      </c>
      <c r="I360" s="9" t="str">
        <f ca="1">+WORLDCUP!BD62</f>
        <v>Ecuador</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Ecuador</v>
      </c>
      <c r="D361" s="9" t="str">
        <f ca="1">+WORLDCUP!BD64</f>
        <v>Egipto</v>
      </c>
      <c r="E361" s="9" t="str">
        <f ca="1">+WORLDCUP!BD59</f>
        <v>Bosnia y Herzegovina</v>
      </c>
      <c r="F361" s="9" t="str">
        <f ca="1">+WORLDCUP!BD61</f>
        <v>Paraguay</v>
      </c>
      <c r="G361" s="9" t="str">
        <f ca="1">+WORLDCUP!BD58</f>
        <v>Sudáfrica</v>
      </c>
      <c r="H361" s="9" t="str">
        <f ca="1">+WORLDCUP!BD63</f>
        <v>Japón</v>
      </c>
      <c r="I361" s="9" t="str">
        <f ca="1">+WORLDCUP!BD69</f>
        <v>Ghana</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Ecuador</v>
      </c>
      <c r="D362" s="9" t="str">
        <f ca="1">+WORLDCUP!BD64</f>
        <v>Egipto</v>
      </c>
      <c r="E362" s="9" t="str">
        <f ca="1">+WORLDCUP!BD59</f>
        <v>Bosnia y Herzegovina</v>
      </c>
      <c r="F362" s="9" t="str">
        <f ca="1">+WORLDCUP!BD61</f>
        <v>Paraguay</v>
      </c>
      <c r="G362" s="9" t="str">
        <f ca="1">+WORLDCUP!BD58</f>
        <v>Sudáfrica</v>
      </c>
      <c r="H362" s="9" t="str">
        <f ca="1">+WORLDCUP!BD63</f>
        <v>Japón</v>
      </c>
      <c r="I362" s="9" t="str">
        <f ca="1">+WORLDCUP!BD69</f>
        <v>Ghana</v>
      </c>
      <c r="J362" s="9" t="str">
        <f ca="1">+WORLDCUP!BD67</f>
        <v>Austria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Ecuador</v>
      </c>
      <c r="D363" s="9" t="str">
        <f ca="1">+WORLDCUP!BD64</f>
        <v>Egipto</v>
      </c>
      <c r="E363" s="9" t="str">
        <f ca="1">+WORLDCUP!BD59</f>
        <v>Bosnia y Herzegovina</v>
      </c>
      <c r="F363" s="9" t="str">
        <f ca="1">+WORLDCUP!BD61</f>
        <v>Paraguay</v>
      </c>
      <c r="G363" s="9" t="str">
        <f ca="1">+WORLDCUP!BD58</f>
        <v>Sudáfrica</v>
      </c>
      <c r="H363" s="9" t="str">
        <f ca="1">+WORLDCUP!BD63</f>
        <v>Japón</v>
      </c>
      <c r="I363" s="9" t="str">
        <f ca="1">+WORLDCUP!BD67</f>
        <v>Austria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Ecuador</v>
      </c>
      <c r="D364" s="9" t="str">
        <f ca="1">+WORLDCUP!BD64</f>
        <v>Egipto</v>
      </c>
      <c r="E364" s="9" t="str">
        <f ca="1">+WORLDCUP!BD59</f>
        <v>Bosnia y Herzegovina</v>
      </c>
      <c r="F364" s="9" t="str">
        <f ca="1">+WORLDCUP!BD61</f>
        <v>Paraguay</v>
      </c>
      <c r="G364" s="9" t="str">
        <f ca="1">+WORLDCUP!BD58</f>
        <v>Sudáfrica</v>
      </c>
      <c r="H364" s="9" t="str">
        <f ca="1">+WORLDCUP!BD63</f>
        <v>Japón</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Ecuador</v>
      </c>
      <c r="D365" s="9" t="str">
        <f ca="1">+WORLDCUP!BD64</f>
        <v>Egipto</v>
      </c>
      <c r="E365" s="9" t="str">
        <f ca="1">+WORLDCUP!BD59</f>
        <v>Bosnia y Herzegovina</v>
      </c>
      <c r="F365" s="9" t="str">
        <f ca="1">+WORLDCUP!BD61</f>
        <v>Paraguay</v>
      </c>
      <c r="G365" s="9" t="str">
        <f ca="1">+WORLDCUP!BD58</f>
        <v>Sudáfrica</v>
      </c>
      <c r="H365" s="9" t="str">
        <f ca="1">+WORLDCUP!BD63</f>
        <v>Japón</v>
      </c>
      <c r="I365" s="9" t="str">
        <f ca="1">+WORLDCUP!BD66</f>
        <v>Senegal</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Ecuador</v>
      </c>
      <c r="D366" s="9" t="str">
        <f ca="1">+WORLDCUP!BD64</f>
        <v>Egipto</v>
      </c>
      <c r="E366" s="9" t="str">
        <f ca="1">+WORLDCUP!BD59</f>
        <v>Bosnia y Herzegovina</v>
      </c>
      <c r="F366" s="9" t="str">
        <f ca="1">+WORLDCUP!BD61</f>
        <v>Paraguay</v>
      </c>
      <c r="G366" s="9" t="str">
        <f ca="1">+WORLDCUP!BD58</f>
        <v>Sudáfrica</v>
      </c>
      <c r="H366" s="9" t="str">
        <f ca="1">+WORLDCUP!BD63</f>
        <v>Japón</v>
      </c>
      <c r="I366" s="9" t="str">
        <f ca="1">+WORLDCUP!BD66</f>
        <v>Senegal</v>
      </c>
      <c r="J366" s="9" t="str">
        <f ca="1">+WORLDCUP!BD67</f>
        <v>Austria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Egipto</v>
      </c>
      <c r="E367" s="9" t="str">
        <f ca="1">+WORLDCUP!BD59</f>
        <v>Bosnia y Herzegovina</v>
      </c>
      <c r="F367" s="9" t="str">
        <f ca="1">+WORLDCUP!BD61</f>
        <v>Paraguay</v>
      </c>
      <c r="G367" s="9" t="str">
        <f ca="1">+WORLDCUP!BD58</f>
        <v>Sudáfrica</v>
      </c>
      <c r="H367" s="9" t="str">
        <f ca="1">+WORLDCUP!BD63</f>
        <v>Japón</v>
      </c>
      <c r="I367" s="9" t="str">
        <f ca="1">+WORLDCUP!BD69</f>
        <v>Ghana</v>
      </c>
      <c r="J367" s="9" t="str">
        <f ca="1">+WORLDCUP!BD62</f>
        <v>Ecuador</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Egipto</v>
      </c>
      <c r="E368" s="9" t="str">
        <f ca="1">+WORLDCUP!BD59</f>
        <v>Bosnia y Herzegovina</v>
      </c>
      <c r="F368" s="9" t="str">
        <f ca="1">+WORLDCUP!BD61</f>
        <v>Paraguay</v>
      </c>
      <c r="G368" s="9" t="str">
        <f ca="1">+WORLDCUP!BD58</f>
        <v>Sudáfrica</v>
      </c>
      <c r="H368" s="9" t="str">
        <f ca="1">+WORLDCUP!BD63</f>
        <v>Japón</v>
      </c>
      <c r="I368" s="9" t="str">
        <f ca="1">+WORLDCUP!BD62</f>
        <v>Ecuador</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Egipto</v>
      </c>
      <c r="E369" s="9" t="str">
        <f ca="1">+WORLDCUP!BD59</f>
        <v>Bosnia y Herzegovina</v>
      </c>
      <c r="F369" s="9" t="str">
        <f ca="1">+WORLDCUP!BD61</f>
        <v>Paraguay</v>
      </c>
      <c r="G369" s="9" t="str">
        <f ca="1">+WORLDCUP!BD58</f>
        <v>Sudáfrica</v>
      </c>
      <c r="H369" s="9" t="str">
        <f ca="1">+WORLDCUP!BD63</f>
        <v>Japón</v>
      </c>
      <c r="I369" s="9" t="str">
        <f ca="1">+WORLDCUP!BD62</f>
        <v>Ecuador</v>
      </c>
      <c r="J369" s="9" t="str">
        <f ca="1">+WORLDCUP!BD67</f>
        <v>Austria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Egipto</v>
      </c>
      <c r="E370" s="9" t="str">
        <f ca="1">+WORLDCUP!BD59</f>
        <v>Bosnia y Herzegovina</v>
      </c>
      <c r="F370" s="9" t="str">
        <f ca="1">+WORLDCUP!BD61</f>
        <v>Paraguay</v>
      </c>
      <c r="G370" s="9" t="str">
        <f ca="1">+WORLDCUP!BD58</f>
        <v>Sudáfrica</v>
      </c>
      <c r="H370" s="9" t="str">
        <f ca="1">+WORLDCUP!BD63</f>
        <v>Japón</v>
      </c>
      <c r="I370" s="9" t="str">
        <f ca="1">+WORLDCUP!BD62</f>
        <v>Ecuador</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Austria</v>
      </c>
      <c r="E371" s="9" t="str">
        <f ca="1">+WORLDCUP!BD59</f>
        <v>Bosnia y Herzegovina</v>
      </c>
      <c r="F371" s="9" t="str">
        <f ca="1">+WORLDCUP!BD60</f>
        <v>Escocia</v>
      </c>
      <c r="G371" s="9" t="str">
        <f ca="1">+WORLDCUP!BD58</f>
        <v>Sudáfrica</v>
      </c>
      <c r="H371" s="9" t="str">
        <f ca="1">+WORLDCUP!BD65</f>
        <v>Arabia Saudita</v>
      </c>
      <c r="I371" s="9" t="str">
        <f ca="1">+WORLDCUP!BD69</f>
        <v>Ghana</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Austria</v>
      </c>
      <c r="E372" s="9" t="str">
        <f ca="1">+WORLDCUP!BD59</f>
        <v>Bosnia y Herzegovina</v>
      </c>
      <c r="F372" s="9" t="str">
        <f ca="1">+WORLDCUP!BD60</f>
        <v>Escocia</v>
      </c>
      <c r="G372" s="9" t="str">
        <f ca="1">+WORLDCUP!BD58</f>
        <v>Sudáfrica</v>
      </c>
      <c r="H372" s="9" t="str">
        <f ca="1">+WORLDCUP!BD64</f>
        <v>Egipto</v>
      </c>
      <c r="I372" s="9" t="str">
        <f ca="1">+WORLDCUP!BD69</f>
        <v>Ghana</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Austria</v>
      </c>
      <c r="E373" s="9" t="str">
        <f ca="1">+WORLDCUP!BD59</f>
        <v>Bosnia y Herzegovina</v>
      </c>
      <c r="F373" s="9" t="str">
        <f ca="1">+WORLDCUP!BD60</f>
        <v>Escocia</v>
      </c>
      <c r="G373" s="9" t="str">
        <f ca="1">+WORLDCUP!BD58</f>
        <v>Sudáfrica</v>
      </c>
      <c r="H373" s="9" t="str">
        <f ca="1">+WORLDCUP!BD64</f>
        <v>Egipto</v>
      </c>
      <c r="I373" s="9" t="str">
        <f ca="1">+WORLDCUP!BD69</f>
        <v>Ghana</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Egipto</v>
      </c>
      <c r="E374" s="9" t="str">
        <f ca="1">+WORLDCUP!BD59</f>
        <v>Bosnia y Herzegovina</v>
      </c>
      <c r="F374" s="9" t="str">
        <f ca="1">+WORLDCUP!BD60</f>
        <v>Escocia</v>
      </c>
      <c r="G374" s="9" t="str">
        <f ca="1">+WORLDCUP!BD58</f>
        <v>Sudáfrica</v>
      </c>
      <c r="H374" s="9" t="str">
        <f ca="1">+WORLDCUP!BD65</f>
        <v>Arabia Saudita</v>
      </c>
      <c r="I374" s="9" t="str">
        <f ca="1">+WORLDCUP!BD69</f>
        <v>Ghana</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Austria</v>
      </c>
      <c r="E375" s="9" t="str">
        <f ca="1">+WORLDCUP!BD59</f>
        <v>Bosnia y Herzegovina</v>
      </c>
      <c r="F375" s="9" t="str">
        <f ca="1">+WORLDCUP!BD60</f>
        <v>Escocia</v>
      </c>
      <c r="G375" s="9" t="str">
        <f ca="1">+WORLDCUP!BD58</f>
        <v>Sudáfrica</v>
      </c>
      <c r="H375" s="9" t="str">
        <f ca="1">+WORLDCUP!BD64</f>
        <v>Egipto</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Austria</v>
      </c>
      <c r="E376" s="9" t="str">
        <f ca="1">+WORLDCUP!BD59</f>
        <v>Bosnia y Herzegovina</v>
      </c>
      <c r="F376" s="9" t="str">
        <f ca="1">+WORLDCUP!BD60</f>
        <v>Escocia</v>
      </c>
      <c r="G376" s="9" t="str">
        <f ca="1">+WORLDCUP!BD58</f>
        <v>Sudáfrica</v>
      </c>
      <c r="H376" s="9" t="str">
        <f ca="1">+WORLDCUP!BD64</f>
        <v>Egipto</v>
      </c>
      <c r="I376" s="9" t="str">
        <f ca="1">+WORLDCUP!BD66</f>
        <v>Senegal</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Austria</v>
      </c>
      <c r="E377" s="9" t="str">
        <f ca="1">+WORLDCUP!BD59</f>
        <v>Bosnia y Herzegovina</v>
      </c>
      <c r="F377" s="9" t="str">
        <f ca="1">+WORLDCUP!BD60</f>
        <v>Escocia</v>
      </c>
      <c r="G377" s="9" t="str">
        <f ca="1">+WORLDCUP!BD58</f>
        <v>Sudáfrica</v>
      </c>
      <c r="H377" s="9" t="str">
        <f ca="1">+WORLDCUP!BD63</f>
        <v>Japón</v>
      </c>
      <c r="I377" s="9" t="str">
        <f ca="1">+WORLDCUP!BD69</f>
        <v>Ghana</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Austria</v>
      </c>
      <c r="E378" s="9" t="str">
        <f ca="1">+WORLDCUP!BD59</f>
        <v>Bosnia y Herzegovina</v>
      </c>
      <c r="F378" s="9" t="str">
        <f ca="1">+WORLDCUP!BD60</f>
        <v>Escocia</v>
      </c>
      <c r="G378" s="9" t="str">
        <f ca="1">+WORLDCUP!BD58</f>
        <v>Sudáfrica</v>
      </c>
      <c r="H378" s="9" t="str">
        <f ca="1">+WORLDCUP!BD63</f>
        <v>Japón</v>
      </c>
      <c r="I378" s="9" t="str">
        <f ca="1">+WORLDCUP!BD69</f>
        <v>Ghana</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Sudáfrica</v>
      </c>
      <c r="H379" s="9" t="str">
        <f ca="1">+WORLDCUP!BD63</f>
        <v>Japón</v>
      </c>
      <c r="I379" s="9" t="str">
        <f ca="1">+WORLDCUP!BD69</f>
        <v>Ghana</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Austria</v>
      </c>
      <c r="E380" s="9" t="str">
        <f ca="1">+WORLDCUP!BD59</f>
        <v>Bosnia y Herzegovina</v>
      </c>
      <c r="F380" s="9" t="str">
        <f ca="1">+WORLDCUP!BD60</f>
        <v>Escocia</v>
      </c>
      <c r="G380" s="9" t="str">
        <f ca="1">+WORLDCUP!BD58</f>
        <v>Sudáfrica</v>
      </c>
      <c r="H380" s="9" t="str">
        <f ca="1">+WORLDCUP!BD63</f>
        <v>Japón</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Austria</v>
      </c>
      <c r="E381" s="9" t="str">
        <f ca="1">+WORLDCUP!BD59</f>
        <v>Bosnia y Herzegovina</v>
      </c>
      <c r="F381" s="9" t="str">
        <f ca="1">+WORLDCUP!BD60</f>
        <v>Escocia</v>
      </c>
      <c r="G381" s="9" t="str">
        <f ca="1">+WORLDCUP!BD58</f>
        <v>Sudáfrica</v>
      </c>
      <c r="H381" s="9" t="str">
        <f ca="1">+WORLDCUP!BD63</f>
        <v>Japón</v>
      </c>
      <c r="I381" s="9" t="str">
        <f ca="1">+WORLDCUP!BD66</f>
        <v>Senegal</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Austria</v>
      </c>
      <c r="E382" s="9" t="str">
        <f ca="1">+WORLDCUP!BD59</f>
        <v>Bosnia y Herzegovina</v>
      </c>
      <c r="F382" s="9" t="str">
        <f ca="1">+WORLDCUP!BD63</f>
        <v>Japón</v>
      </c>
      <c r="G382" s="9" t="str">
        <f ca="1">+WORLDCUP!BD58</f>
        <v>Sudáfrica</v>
      </c>
      <c r="H382" s="9" t="str">
        <f ca="1">+WORLDCUP!BD64</f>
        <v>Egipto</v>
      </c>
      <c r="I382" s="9" t="str">
        <f ca="1">+WORLDCUP!BD69</f>
        <v>Ghana</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Egipto</v>
      </c>
      <c r="E383" s="9" t="str">
        <f ca="1">+WORLDCUP!BD59</f>
        <v>Bosnia y Herzegovina</v>
      </c>
      <c r="F383" s="9" t="str">
        <f ca="1">+WORLDCUP!BD60</f>
        <v>Escocia</v>
      </c>
      <c r="G383" s="9" t="str">
        <f ca="1">+WORLDCUP!BD58</f>
        <v>Sudáfrica</v>
      </c>
      <c r="H383" s="9" t="str">
        <f ca="1">+WORLDCUP!BD63</f>
        <v>Japón</v>
      </c>
      <c r="I383" s="9" t="str">
        <f ca="1">+WORLDCUP!BD69</f>
        <v>Ghana</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Austria</v>
      </c>
      <c r="E384" s="9" t="str">
        <f ca="1">+WORLDCUP!BD59</f>
        <v>Bosnia y Herzegovina</v>
      </c>
      <c r="F384" s="9" t="str">
        <f ca="1">+WORLDCUP!BD63</f>
        <v>Japón</v>
      </c>
      <c r="G384" s="9" t="str">
        <f ca="1">+WORLDCUP!BD58</f>
        <v>Sudáfrica</v>
      </c>
      <c r="H384" s="9" t="str">
        <f ca="1">+WORLDCUP!BD64</f>
        <v>Egipto</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Austria</v>
      </c>
      <c r="E385" s="9" t="str">
        <f ca="1">+WORLDCUP!BD59</f>
        <v>Bosnia y Herzegovina</v>
      </c>
      <c r="F385" s="9" t="str">
        <f ca="1">+WORLDCUP!BD63</f>
        <v>Japón</v>
      </c>
      <c r="G385" s="9" t="str">
        <f ca="1">+WORLDCUP!BD58</f>
        <v>Sudáfrica</v>
      </c>
      <c r="H385" s="9" t="str">
        <f ca="1">+WORLDCUP!BD64</f>
        <v>Egipto</v>
      </c>
      <c r="I385" s="9" t="str">
        <f ca="1">+WORLDCUP!BD66</f>
        <v>Senegal</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Egipto</v>
      </c>
      <c r="E386" s="9" t="str">
        <f ca="1">+WORLDCUP!BD59</f>
        <v>Bosnia y Herzegovina</v>
      </c>
      <c r="F386" s="9" t="str">
        <f ca="1">+WORLDCUP!BD60</f>
        <v>Escocia</v>
      </c>
      <c r="G386" s="9" t="str">
        <f ca="1">+WORLDCUP!BD58</f>
        <v>Sudáfrica</v>
      </c>
      <c r="H386" s="9" t="str">
        <f ca="1">+WORLDCUP!BD63</f>
        <v>Japón</v>
      </c>
      <c r="I386" s="9" t="str">
        <f ca="1">+WORLDCUP!BD69</f>
        <v>Ghana</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Egipto</v>
      </c>
      <c r="E387" s="9" t="str">
        <f ca="1">+WORLDCUP!BD59</f>
        <v>Bosnia y Herzegovina</v>
      </c>
      <c r="F387" s="9" t="str">
        <f ca="1">+WORLDCUP!BD60</f>
        <v>Escocia</v>
      </c>
      <c r="G387" s="9" t="str">
        <f ca="1">+WORLDCUP!BD58</f>
        <v>Sudáfrica</v>
      </c>
      <c r="H387" s="9" t="str">
        <f ca="1">+WORLDCUP!BD63</f>
        <v>Japón</v>
      </c>
      <c r="I387" s="9" t="str">
        <f ca="1">+WORLDCUP!BD69</f>
        <v>Ghana</v>
      </c>
      <c r="J387" s="9" t="str">
        <f ca="1">+WORLDCUP!BD67</f>
        <v>Austria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Egipto</v>
      </c>
      <c r="E388" s="9" t="str">
        <f ca="1">+WORLDCUP!BD59</f>
        <v>Bosnia y Herzegovina</v>
      </c>
      <c r="F388" s="9" t="str">
        <f ca="1">+WORLDCUP!BD60</f>
        <v>Escocia</v>
      </c>
      <c r="G388" s="9" t="str">
        <f ca="1">+WORLDCUP!BD58</f>
        <v>Sudáfrica</v>
      </c>
      <c r="H388" s="9" t="str">
        <f ca="1">+WORLDCUP!BD63</f>
        <v>Japón</v>
      </c>
      <c r="I388" s="9" t="str">
        <f ca="1">+WORLDCUP!BD67</f>
        <v>Austria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Egipto</v>
      </c>
      <c r="E389" s="9" t="str">
        <f ca="1">+WORLDCUP!BD59</f>
        <v>Bosnia y Herzegovina</v>
      </c>
      <c r="F389" s="9" t="str">
        <f ca="1">+WORLDCUP!BD60</f>
        <v>Escocia</v>
      </c>
      <c r="G389" s="9" t="str">
        <f ca="1">+WORLDCUP!BD58</f>
        <v>Sudáfrica</v>
      </c>
      <c r="H389" s="9" t="str">
        <f ca="1">+WORLDCUP!BD63</f>
        <v>Japón</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Egipto</v>
      </c>
      <c r="E390" s="9" t="str">
        <f ca="1">+WORLDCUP!BD59</f>
        <v>Bosnia y Herzegovina</v>
      </c>
      <c r="F390" s="9" t="str">
        <f ca="1">+WORLDCUP!BD60</f>
        <v>Escocia</v>
      </c>
      <c r="G390" s="9" t="str">
        <f ca="1">+WORLDCUP!BD58</f>
        <v>Sudáfrica</v>
      </c>
      <c r="H390" s="9" t="str">
        <f ca="1">+WORLDCUP!BD63</f>
        <v>Japón</v>
      </c>
      <c r="I390" s="9" t="str">
        <f ca="1">+WORLDCUP!BD66</f>
        <v>Senegal</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Egipto</v>
      </c>
      <c r="E391" s="9" t="str">
        <f ca="1">+WORLDCUP!BD59</f>
        <v>Bosnia y Herzegovina</v>
      </c>
      <c r="F391" s="9" t="str">
        <f ca="1">+WORLDCUP!BD60</f>
        <v>Escocia</v>
      </c>
      <c r="G391" s="9" t="str">
        <f ca="1">+WORLDCUP!BD58</f>
        <v>Sudáfrica</v>
      </c>
      <c r="H391" s="9" t="str">
        <f ca="1">+WORLDCUP!BD63</f>
        <v>Japón</v>
      </c>
      <c r="I391" s="9" t="str">
        <f ca="1">+WORLDCUP!BD66</f>
        <v>Senegal</v>
      </c>
      <c r="J391" s="9" t="str">
        <f ca="1">+WORLDCUP!BD67</f>
        <v>Austria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Ecuador</v>
      </c>
      <c r="D392" s="9" t="str">
        <f ca="1">+WORLDCUP!BD67</f>
        <v>Austria</v>
      </c>
      <c r="E392" s="9" t="str">
        <f ca="1">+WORLDCUP!BD59</f>
        <v>Bosnia y Herzegovina</v>
      </c>
      <c r="F392" s="9" t="str">
        <f ca="1">+WORLDCUP!BD58</f>
        <v>Sudáfrica</v>
      </c>
      <c r="G392" s="9" t="str">
        <f ca="1">+WORLDCUP!BD66</f>
        <v>Senegal</v>
      </c>
      <c r="H392" s="9" t="str">
        <f ca="1">+WORLDCUP!BD60</f>
        <v>Escocia</v>
      </c>
      <c r="I392" s="9" t="str">
        <f ca="1">+WORLDCUP!BD69</f>
        <v>Ghana</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Ecuador</v>
      </c>
      <c r="D393" s="9" t="str">
        <f ca="1">+WORLDCUP!BD67</f>
        <v>Austria</v>
      </c>
      <c r="E393" s="9" t="str">
        <f ca="1">+WORLDCUP!BD59</f>
        <v>Bosnia y Herzegovina</v>
      </c>
      <c r="F393" s="9" t="str">
        <f ca="1">+WORLDCUP!BD60</f>
        <v>Escocia</v>
      </c>
      <c r="G393" s="9" t="str">
        <f ca="1">+WORLDCUP!BD58</f>
        <v>Sudáfrica</v>
      </c>
      <c r="H393" s="9" t="str">
        <f ca="1">+WORLDCUP!BD65</f>
        <v>Arabia Saudita</v>
      </c>
      <c r="I393" s="9" t="str">
        <f ca="1">+WORLDCUP!BD69</f>
        <v>Ghana</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Sudáfrica</v>
      </c>
      <c r="H394" s="9" t="str">
        <f ca="1">+WORLDCUP!BD65</f>
        <v>Arabia Saudita</v>
      </c>
      <c r="I394" s="9" t="str">
        <f ca="1">+WORLDCUP!BD69</f>
        <v>Ghana</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Ecuador</v>
      </c>
      <c r="D395" s="9" t="str">
        <f ca="1">+WORLDCUP!BD67</f>
        <v>Austria</v>
      </c>
      <c r="E395" s="9" t="str">
        <f ca="1">+WORLDCUP!BD59</f>
        <v>Bosnia y Herzegovina</v>
      </c>
      <c r="F395" s="9" t="str">
        <f ca="1">+WORLDCUP!BD60</f>
        <v>Escocia</v>
      </c>
      <c r="G395" s="9" t="str">
        <f ca="1">+WORLDCUP!BD58</f>
        <v>Sudáfrica</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Ecuador</v>
      </c>
      <c r="D396" s="9" t="str">
        <f ca="1">+WORLDCUP!BD67</f>
        <v>Austria</v>
      </c>
      <c r="E396" s="9" t="str">
        <f ca="1">+WORLDCUP!BD59</f>
        <v>Bosnia y Herzegovina</v>
      </c>
      <c r="F396" s="9" t="str">
        <f ca="1">+WORLDCUP!BD60</f>
        <v>Escocia</v>
      </c>
      <c r="G396" s="9" t="str">
        <f ca="1">+WORLDCUP!BD58</f>
        <v>Sudáfrica</v>
      </c>
      <c r="H396" s="9" t="str">
        <f ca="1">+WORLDCUP!BD65</f>
        <v>Arabia Saudita</v>
      </c>
      <c r="I396" s="9" t="str">
        <f ca="1">+WORLDCUP!BD66</f>
        <v>Senegal</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Ecuador</v>
      </c>
      <c r="D397" s="9" t="str">
        <f ca="1">+WORLDCUP!BD67</f>
        <v>Austria</v>
      </c>
      <c r="E397" s="9" t="str">
        <f ca="1">+WORLDCUP!BD59</f>
        <v>Bosnia y Herzegovina</v>
      </c>
      <c r="F397" s="9" t="str">
        <f ca="1">+WORLDCUP!BD60</f>
        <v>Escocia</v>
      </c>
      <c r="G397" s="9" t="str">
        <f ca="1">+WORLDCUP!BD58</f>
        <v>Sudáfrica</v>
      </c>
      <c r="H397" s="9" t="str">
        <f ca="1">+WORLDCUP!BD64</f>
        <v>Egipto</v>
      </c>
      <c r="I397" s="9" t="str">
        <f ca="1">+WORLDCUP!BD69</f>
        <v>Ghana</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Ecuador</v>
      </c>
      <c r="D398" s="9" t="str">
        <f ca="1">+WORLDCUP!BD64</f>
        <v>Egipto</v>
      </c>
      <c r="E398" s="9" t="str">
        <f ca="1">+WORLDCUP!BD59</f>
        <v>Bosnia y Herzegovina</v>
      </c>
      <c r="F398" s="9" t="str">
        <f ca="1">+WORLDCUP!BD58</f>
        <v>Sudáfrica</v>
      </c>
      <c r="G398" s="9" t="str">
        <f ca="1">+WORLDCUP!BD66</f>
        <v>Senegal</v>
      </c>
      <c r="H398" s="9" t="str">
        <f ca="1">+WORLDCUP!BD60</f>
        <v>Escocia</v>
      </c>
      <c r="I398" s="9" t="str">
        <f ca="1">+WORLDCUP!BD69</f>
        <v>Ghana</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Ecuador</v>
      </c>
      <c r="D399" s="9" t="str">
        <f ca="1">+WORLDCUP!BD67</f>
        <v>Austria</v>
      </c>
      <c r="E399" s="9" t="str">
        <f ca="1">+WORLDCUP!BD59</f>
        <v>Bosnia y Herzegovina</v>
      </c>
      <c r="F399" s="9" t="str">
        <f ca="1">+WORLDCUP!BD60</f>
        <v>Escocia</v>
      </c>
      <c r="G399" s="9" t="str">
        <f ca="1">+WORLDCUP!BD58</f>
        <v>Sudáfrica</v>
      </c>
      <c r="H399" s="9" t="str">
        <f ca="1">+WORLDCUP!BD64</f>
        <v>Egipto</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Ecuador</v>
      </c>
      <c r="D400" s="9" t="str">
        <f ca="1">+WORLDCUP!BD67</f>
        <v>Austria</v>
      </c>
      <c r="E400" s="9" t="str">
        <f ca="1">+WORLDCUP!BD59</f>
        <v>Bosnia y Herzegovina</v>
      </c>
      <c r="F400" s="9" t="str">
        <f ca="1">+WORLDCUP!BD60</f>
        <v>Escocia</v>
      </c>
      <c r="G400" s="9" t="str">
        <f ca="1">+WORLDCUP!BD58</f>
        <v>Sudáfrica</v>
      </c>
      <c r="H400" s="9" t="str">
        <f ca="1">+WORLDCUP!BD64</f>
        <v>Egipto</v>
      </c>
      <c r="I400" s="9" t="str">
        <f ca="1">+WORLDCUP!BD66</f>
        <v>Senegal</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Ecuador</v>
      </c>
      <c r="D401" s="9" t="str">
        <f ca="1">+WORLDCUP!BD64</f>
        <v>Egipto</v>
      </c>
      <c r="E401" s="9" t="str">
        <f ca="1">+WORLDCUP!BD59</f>
        <v>Bosnia y Herzegovina</v>
      </c>
      <c r="F401" s="9" t="str">
        <f ca="1">+WORLDCUP!BD60</f>
        <v>Escocia</v>
      </c>
      <c r="G401" s="9" t="str">
        <f ca="1">+WORLDCUP!BD58</f>
        <v>Sudáfrica</v>
      </c>
      <c r="H401" s="9" t="str">
        <f ca="1">+WORLDCUP!BD65</f>
        <v>Arabia Saudita</v>
      </c>
      <c r="I401" s="9" t="str">
        <f ca="1">+WORLDCUP!BD69</f>
        <v>Ghana</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Austria</v>
      </c>
      <c r="E402" s="9" t="str">
        <f ca="1">+WORLDCUP!BD59</f>
        <v>Bosnia y Herzegovina</v>
      </c>
      <c r="F402" s="9" t="str">
        <f ca="1">+WORLDCUP!BD60</f>
        <v>Escocia</v>
      </c>
      <c r="G402" s="9" t="str">
        <f ca="1">+WORLDCUP!BD58</f>
        <v>Sudáfrica</v>
      </c>
      <c r="H402" s="9" t="str">
        <f ca="1">+WORLDCUP!BD64</f>
        <v>Egipto</v>
      </c>
      <c r="I402" s="9" t="str">
        <f ca="1">+WORLDCUP!BD69</f>
        <v>Ghana</v>
      </c>
      <c r="J402" s="9" t="str">
        <f ca="1">+WORLDCUP!BD62</f>
        <v>Ecuador</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Austria</v>
      </c>
      <c r="E403" s="9" t="str">
        <f ca="1">+WORLDCUP!BD59</f>
        <v>Bosnia y Herzegovina</v>
      </c>
      <c r="F403" s="9" t="str">
        <f ca="1">+WORLDCUP!BD60</f>
        <v>Escocia</v>
      </c>
      <c r="G403" s="9" t="str">
        <f ca="1">+WORLDCUP!BD58</f>
        <v>Sudáfrica</v>
      </c>
      <c r="H403" s="9" t="str">
        <f ca="1">+WORLDCUP!BD64</f>
        <v>Egipto</v>
      </c>
      <c r="I403" s="9" t="str">
        <f ca="1">+WORLDCUP!BD62</f>
        <v>Ecuador</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Ecuador</v>
      </c>
      <c r="D404" s="9" t="str">
        <f ca="1">+WORLDCUP!BD64</f>
        <v>Egipto</v>
      </c>
      <c r="E404" s="9" t="str">
        <f ca="1">+WORLDCUP!BD59</f>
        <v>Bosnia y Herzegovina</v>
      </c>
      <c r="F404" s="9" t="str">
        <f ca="1">+WORLDCUP!BD60</f>
        <v>Escocia</v>
      </c>
      <c r="G404" s="9" t="str">
        <f ca="1">+WORLDCUP!BD58</f>
        <v>Sudáfrica</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Ecuador</v>
      </c>
      <c r="D405" s="9" t="str">
        <f ca="1">+WORLDCUP!BD64</f>
        <v>Egipto</v>
      </c>
      <c r="E405" s="9" t="str">
        <f ca="1">+WORLDCUP!BD59</f>
        <v>Bosnia y Herzegovina</v>
      </c>
      <c r="F405" s="9" t="str">
        <f ca="1">+WORLDCUP!BD60</f>
        <v>Escocia</v>
      </c>
      <c r="G405" s="9" t="str">
        <f ca="1">+WORLDCUP!BD58</f>
        <v>Sudáfrica</v>
      </c>
      <c r="H405" s="9" t="str">
        <f ca="1">+WORLDCUP!BD65</f>
        <v>Arabia Saudita</v>
      </c>
      <c r="I405" s="9" t="str">
        <f ca="1">+WORLDCUP!BD66</f>
        <v>Senegal</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Austria</v>
      </c>
      <c r="E406" s="9" t="str">
        <f ca="1">+WORLDCUP!BD59</f>
        <v>Bosnia y Herzegovina</v>
      </c>
      <c r="F406" s="9" t="str">
        <f ca="1">+WORLDCUP!BD60</f>
        <v>Escocia</v>
      </c>
      <c r="G406" s="9" t="str">
        <f ca="1">+WORLDCUP!BD58</f>
        <v>Sudáfrica</v>
      </c>
      <c r="H406" s="9" t="str">
        <f ca="1">+WORLDCUP!BD64</f>
        <v>Egipto</v>
      </c>
      <c r="I406" s="9" t="str">
        <f ca="1">+WORLDCUP!BD62</f>
        <v>Ecuador</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Ecuador</v>
      </c>
      <c r="D407" s="9" t="str">
        <f ca="1">+WORLDCUP!BD67</f>
        <v>Austria</v>
      </c>
      <c r="E407" s="9" t="str">
        <f ca="1">+WORLDCUP!BD59</f>
        <v>Bosnia y Herzegovina</v>
      </c>
      <c r="F407" s="9" t="str">
        <f ca="1">+WORLDCUP!BD60</f>
        <v>Escocia</v>
      </c>
      <c r="G407" s="9" t="str">
        <f ca="1">+WORLDCUP!BD58</f>
        <v>Sudáfrica</v>
      </c>
      <c r="H407" s="9" t="str">
        <f ca="1">+WORLDCUP!BD63</f>
        <v>Japón</v>
      </c>
      <c r="I407" s="9" t="str">
        <f ca="1">+WORLDCUP!BD69</f>
        <v>Ghana</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Sudáfrica</v>
      </c>
      <c r="H408" s="9" t="str">
        <f ca="1">+WORLDCUP!BD63</f>
        <v>Japón</v>
      </c>
      <c r="I408" s="9" t="str">
        <f ca="1">+WORLDCUP!BD69</f>
        <v>Ghana</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Ecuador</v>
      </c>
      <c r="D409" s="9" t="str">
        <f ca="1">+WORLDCUP!BD67</f>
        <v>Austria</v>
      </c>
      <c r="E409" s="9" t="str">
        <f ca="1">+WORLDCUP!BD59</f>
        <v>Bosnia y Herzegovina</v>
      </c>
      <c r="F409" s="9" t="str">
        <f ca="1">+WORLDCUP!BD60</f>
        <v>Escocia</v>
      </c>
      <c r="G409" s="9" t="str">
        <f ca="1">+WORLDCUP!BD58</f>
        <v>Sudáfrica</v>
      </c>
      <c r="H409" s="9" t="str">
        <f ca="1">+WORLDCUP!BD63</f>
        <v>Japón</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Ecuador</v>
      </c>
      <c r="D410" s="9" t="str">
        <f ca="1">+WORLDCUP!BD67</f>
        <v>Austria</v>
      </c>
      <c r="E410" s="9" t="str">
        <f ca="1">+WORLDCUP!BD59</f>
        <v>Bosnia y Herzegovina</v>
      </c>
      <c r="F410" s="9" t="str">
        <f ca="1">+WORLDCUP!BD60</f>
        <v>Escocia</v>
      </c>
      <c r="G410" s="9" t="str">
        <f ca="1">+WORLDCUP!BD58</f>
        <v>Sudáfrica</v>
      </c>
      <c r="H410" s="9" t="str">
        <f ca="1">+WORLDCUP!BD63</f>
        <v>Japón</v>
      </c>
      <c r="I410" s="9" t="str">
        <f ca="1">+WORLDCUP!BD66</f>
        <v>Senegal</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Sudáfrica</v>
      </c>
      <c r="H411" s="9" t="str">
        <f ca="1">+WORLDCUP!BD63</f>
        <v>Japón</v>
      </c>
      <c r="I411" s="9" t="str">
        <f ca="1">+WORLDCUP!BD69</f>
        <v>Ghana</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Austria</v>
      </c>
      <c r="E412" s="9" t="str">
        <f ca="1">+WORLDCUP!BD59</f>
        <v>Bosnia y Herzegovina</v>
      </c>
      <c r="F412" s="9" t="str">
        <f ca="1">+WORLDCUP!BD60</f>
        <v>Escocia</v>
      </c>
      <c r="G412" s="9" t="str">
        <f ca="1">+WORLDCUP!BD58</f>
        <v>Sudáfrica</v>
      </c>
      <c r="H412" s="9" t="str">
        <f ca="1">+WORLDCUP!BD63</f>
        <v>Japón</v>
      </c>
      <c r="I412" s="9" t="str">
        <f ca="1">+WORLDCUP!BD69</f>
        <v>Ghana</v>
      </c>
      <c r="J412" s="9" t="str">
        <f ca="1">+WORLDCUP!BD62</f>
        <v>Ecuador</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Austria</v>
      </c>
      <c r="E413" s="9" t="str">
        <f ca="1">+WORLDCUP!BD59</f>
        <v>Bosnia y Herzegovina</v>
      </c>
      <c r="F413" s="9" t="str">
        <f ca="1">+WORLDCUP!BD60</f>
        <v>Escocia</v>
      </c>
      <c r="G413" s="9" t="str">
        <f ca="1">+WORLDCUP!BD58</f>
        <v>Sudáfrica</v>
      </c>
      <c r="H413" s="9" t="str">
        <f ca="1">+WORLDCUP!BD63</f>
        <v>Japón</v>
      </c>
      <c r="I413" s="9" t="str">
        <f ca="1">+WORLDCUP!BD62</f>
        <v>Ecuador</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Ecuador</v>
      </c>
      <c r="E414" s="9" t="str">
        <f ca="1">+WORLDCUP!BD59</f>
        <v>Bosnia y Herzegovina</v>
      </c>
      <c r="F414" s="9" t="str">
        <f ca="1">+WORLDCUP!BD60</f>
        <v>Escocia</v>
      </c>
      <c r="G414" s="9" t="str">
        <f ca="1">+WORLDCUP!BD58</f>
        <v>Sudáfrica</v>
      </c>
      <c r="H414" s="9" t="str">
        <f ca="1">+WORLDCUP!BD63</f>
        <v>Japón</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Sudáfrica</v>
      </c>
      <c r="H415" s="9" t="str">
        <f ca="1">+WORLDCUP!BD63</f>
        <v>Japón</v>
      </c>
      <c r="I415" s="9" t="str">
        <f ca="1">+WORLDCUP!BD66</f>
        <v>Senegal</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Austria</v>
      </c>
      <c r="E416" s="9" t="str">
        <f ca="1">+WORLDCUP!BD59</f>
        <v>Bosnia y Herzegovina</v>
      </c>
      <c r="F416" s="9" t="str">
        <f ca="1">+WORLDCUP!BD60</f>
        <v>Escocia</v>
      </c>
      <c r="G416" s="9" t="str">
        <f ca="1">+WORLDCUP!BD58</f>
        <v>Sudáfrica</v>
      </c>
      <c r="H416" s="9" t="str">
        <f ca="1">+WORLDCUP!BD63</f>
        <v>Japón</v>
      </c>
      <c r="I416" s="9" t="str">
        <f ca="1">+WORLDCUP!BD62</f>
        <v>Ecuador</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Ecuador</v>
      </c>
      <c r="D417" s="9" t="str">
        <f ca="1">+WORLDCUP!BD64</f>
        <v>Egipto</v>
      </c>
      <c r="E417" s="9" t="str">
        <f ca="1">+WORLDCUP!BD59</f>
        <v>Bosnia y Herzegovina</v>
      </c>
      <c r="F417" s="9" t="str">
        <f ca="1">+WORLDCUP!BD60</f>
        <v>Escocia</v>
      </c>
      <c r="G417" s="9" t="str">
        <f ca="1">+WORLDCUP!BD58</f>
        <v>Sudáfrica</v>
      </c>
      <c r="H417" s="9" t="str">
        <f ca="1">+WORLDCUP!BD63</f>
        <v>Japón</v>
      </c>
      <c r="I417" s="9" t="str">
        <f ca="1">+WORLDCUP!BD69</f>
        <v>Ghana</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Ecuador</v>
      </c>
      <c r="D418" s="9" t="str">
        <f ca="1">+WORLDCUP!BD64</f>
        <v>Egipto</v>
      </c>
      <c r="E418" s="9" t="str">
        <f ca="1">+WORLDCUP!BD59</f>
        <v>Bosnia y Herzegovina</v>
      </c>
      <c r="F418" s="9" t="str">
        <f ca="1">+WORLDCUP!BD60</f>
        <v>Escocia</v>
      </c>
      <c r="G418" s="9" t="str">
        <f ca="1">+WORLDCUP!BD58</f>
        <v>Sudáfrica</v>
      </c>
      <c r="H418" s="9" t="str">
        <f ca="1">+WORLDCUP!BD63</f>
        <v>Japón</v>
      </c>
      <c r="I418" s="9" t="str">
        <f ca="1">+WORLDCUP!BD69</f>
        <v>Ghana</v>
      </c>
      <c r="J418" s="9" t="str">
        <f ca="1">+WORLDCUP!BD67</f>
        <v>Austria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Ecuador</v>
      </c>
      <c r="D419" s="9" t="str">
        <f ca="1">+WORLDCUP!BD64</f>
        <v>Egipto</v>
      </c>
      <c r="E419" s="9" t="str">
        <f ca="1">+WORLDCUP!BD59</f>
        <v>Bosnia y Herzegovina</v>
      </c>
      <c r="F419" s="9" t="str">
        <f ca="1">+WORLDCUP!BD60</f>
        <v>Escocia</v>
      </c>
      <c r="G419" s="9" t="str">
        <f ca="1">+WORLDCUP!BD58</f>
        <v>Sudáfrica</v>
      </c>
      <c r="H419" s="9" t="str">
        <f ca="1">+WORLDCUP!BD63</f>
        <v>Japón</v>
      </c>
      <c r="I419" s="9" t="str">
        <f ca="1">+WORLDCUP!BD67</f>
        <v>Austria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Ecuador</v>
      </c>
      <c r="D420" s="9" t="str">
        <f ca="1">+WORLDCUP!BD64</f>
        <v>Egipto</v>
      </c>
      <c r="E420" s="9" t="str">
        <f ca="1">+WORLDCUP!BD59</f>
        <v>Bosnia y Herzegovina</v>
      </c>
      <c r="F420" s="9" t="str">
        <f ca="1">+WORLDCUP!BD60</f>
        <v>Escocia</v>
      </c>
      <c r="G420" s="9" t="str">
        <f ca="1">+WORLDCUP!BD58</f>
        <v>Sudáfrica</v>
      </c>
      <c r="H420" s="9" t="str">
        <f ca="1">+WORLDCUP!BD63</f>
        <v>Japón</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Ecuador</v>
      </c>
      <c r="D421" s="9" t="str">
        <f ca="1">+WORLDCUP!BD64</f>
        <v>Egipto</v>
      </c>
      <c r="E421" s="9" t="str">
        <f ca="1">+WORLDCUP!BD59</f>
        <v>Bosnia y Herzegovina</v>
      </c>
      <c r="F421" s="9" t="str">
        <f ca="1">+WORLDCUP!BD60</f>
        <v>Escocia</v>
      </c>
      <c r="G421" s="9" t="str">
        <f ca="1">+WORLDCUP!BD58</f>
        <v>Sudáfrica</v>
      </c>
      <c r="H421" s="9" t="str">
        <f ca="1">+WORLDCUP!BD63</f>
        <v>Japón</v>
      </c>
      <c r="I421" s="9" t="str">
        <f ca="1">+WORLDCUP!BD66</f>
        <v>Senegal</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Ecuador</v>
      </c>
      <c r="D422" s="9" t="str">
        <f ca="1">+WORLDCUP!BD64</f>
        <v>Egipto</v>
      </c>
      <c r="E422" s="9" t="str">
        <f ca="1">+WORLDCUP!BD59</f>
        <v>Bosnia y Herzegovina</v>
      </c>
      <c r="F422" s="9" t="str">
        <f ca="1">+WORLDCUP!BD60</f>
        <v>Escocia</v>
      </c>
      <c r="G422" s="9" t="str">
        <f ca="1">+WORLDCUP!BD58</f>
        <v>Sudáfrica</v>
      </c>
      <c r="H422" s="9" t="str">
        <f ca="1">+WORLDCUP!BD63</f>
        <v>Japón</v>
      </c>
      <c r="I422" s="9" t="str">
        <f ca="1">+WORLDCUP!BD66</f>
        <v>Senegal</v>
      </c>
      <c r="J422" s="9" t="str">
        <f ca="1">+WORLDCUP!BD67</f>
        <v>Austria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Egipto</v>
      </c>
      <c r="E423" s="9" t="str">
        <f ca="1">+WORLDCUP!BD59</f>
        <v>Bosnia y Herzegovina</v>
      </c>
      <c r="F423" s="9" t="str">
        <f ca="1">+WORLDCUP!BD60</f>
        <v>Escocia</v>
      </c>
      <c r="G423" s="9" t="str">
        <f ca="1">+WORLDCUP!BD58</f>
        <v>Sudáfrica</v>
      </c>
      <c r="H423" s="9" t="str">
        <f ca="1">+WORLDCUP!BD63</f>
        <v>Japón</v>
      </c>
      <c r="I423" s="9" t="str">
        <f ca="1">+WORLDCUP!BD69</f>
        <v>Ghana</v>
      </c>
      <c r="J423" s="9" t="str">
        <f ca="1">+WORLDCUP!BD62</f>
        <v>Ecuador</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Egipto</v>
      </c>
      <c r="E424" s="9" t="str">
        <f ca="1">+WORLDCUP!BD59</f>
        <v>Bosnia y Herzegovina</v>
      </c>
      <c r="F424" s="9" t="str">
        <f ca="1">+WORLDCUP!BD60</f>
        <v>Escocia</v>
      </c>
      <c r="G424" s="9" t="str">
        <f ca="1">+WORLDCUP!BD58</f>
        <v>Sudáfrica</v>
      </c>
      <c r="H424" s="9" t="str">
        <f ca="1">+WORLDCUP!BD63</f>
        <v>Japón</v>
      </c>
      <c r="I424" s="9" t="str">
        <f ca="1">+WORLDCUP!BD62</f>
        <v>Ecuador</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Egipto</v>
      </c>
      <c r="E425" s="9" t="str">
        <f ca="1">+WORLDCUP!BD59</f>
        <v>Bosnia y Herzegovina</v>
      </c>
      <c r="F425" s="9" t="str">
        <f ca="1">+WORLDCUP!BD60</f>
        <v>Escocia</v>
      </c>
      <c r="G425" s="9" t="str">
        <f ca="1">+WORLDCUP!BD58</f>
        <v>Sudáfrica</v>
      </c>
      <c r="H425" s="9" t="str">
        <f ca="1">+WORLDCUP!BD63</f>
        <v>Japón</v>
      </c>
      <c r="I425" s="9" t="str">
        <f ca="1">+WORLDCUP!BD62</f>
        <v>Ecuador</v>
      </c>
      <c r="J425" s="9" t="str">
        <f ca="1">+WORLDCUP!BD67</f>
        <v>Austria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Egipto</v>
      </c>
      <c r="E426" s="9" t="str">
        <f ca="1">+WORLDCUP!BD59</f>
        <v>Bosnia y Herzegovina</v>
      </c>
      <c r="F426" s="9" t="str">
        <f ca="1">+WORLDCUP!BD60</f>
        <v>Escocia</v>
      </c>
      <c r="G426" s="9" t="str">
        <f ca="1">+WORLDCUP!BD58</f>
        <v>Sudáfrica</v>
      </c>
      <c r="H426" s="9" t="str">
        <f ca="1">+WORLDCUP!BD63</f>
        <v>Japón</v>
      </c>
      <c r="I426" s="9" t="str">
        <f ca="1">+WORLDCUP!BD62</f>
        <v>Ecuador</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Austria</v>
      </c>
      <c r="E427" s="9" t="str">
        <f ca="1">+WORLDCUP!BD59</f>
        <v>Bosnia y Herzegovina</v>
      </c>
      <c r="F427" s="9" t="str">
        <f ca="1">+WORLDCUP!BD60</f>
        <v>Escocia</v>
      </c>
      <c r="G427" s="9" t="str">
        <f ca="1">+WORLDCUP!BD58</f>
        <v>Sudáfrica</v>
      </c>
      <c r="H427" s="9" t="str">
        <f ca="1">+WORLDCUP!BD61</f>
        <v>Paraguay</v>
      </c>
      <c r="I427" s="9" t="str">
        <f ca="1">+WORLDCUP!BD69</f>
        <v>Ghana</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Austria</v>
      </c>
      <c r="E428" s="9" t="str">
        <f ca="1">+WORLDCUP!BD59</f>
        <v>Bosnia y Herzegovina</v>
      </c>
      <c r="F428" s="9" t="str">
        <f ca="1">+WORLDCUP!BD60</f>
        <v>Escocia</v>
      </c>
      <c r="G428" s="9" t="str">
        <f ca="1">+WORLDCUP!BD58</f>
        <v>Sudáfrica</v>
      </c>
      <c r="H428" s="9" t="str">
        <f ca="1">+WORLDCUP!BD61</f>
        <v>Paraguay</v>
      </c>
      <c r="I428" s="9" t="str">
        <f ca="1">+WORLDCUP!BD69</f>
        <v>Ghana</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Sudáfrica</v>
      </c>
      <c r="H429" s="9" t="str">
        <f ca="1">+WORLDCUP!BD61</f>
        <v>Paraguay</v>
      </c>
      <c r="I429" s="9" t="str">
        <f ca="1">+WORLDCUP!BD69</f>
        <v>Ghana</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Austria</v>
      </c>
      <c r="E430" s="9" t="str">
        <f ca="1">+WORLDCUP!BD59</f>
        <v>Bosnia y Herzegovina</v>
      </c>
      <c r="F430" s="9" t="str">
        <f ca="1">+WORLDCUP!BD60</f>
        <v>Escocia</v>
      </c>
      <c r="G430" s="9" t="str">
        <f ca="1">+WORLDCUP!BD58</f>
        <v>Sudáfrica</v>
      </c>
      <c r="H430" s="9" t="str">
        <f ca="1">+WORLDCUP!BD61</f>
        <v>Paraguay</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Austria</v>
      </c>
      <c r="E431" s="9" t="str">
        <f ca="1">+WORLDCUP!BD59</f>
        <v>Bosnia y Herzegovina</v>
      </c>
      <c r="F431" s="9" t="str">
        <f ca="1">+WORLDCUP!BD60</f>
        <v>Escocia</v>
      </c>
      <c r="G431" s="9" t="str">
        <f ca="1">+WORLDCUP!BD58</f>
        <v>Sudáfrica</v>
      </c>
      <c r="H431" s="9" t="str">
        <f ca="1">+WORLDCUP!BD61</f>
        <v>Paraguay</v>
      </c>
      <c r="I431" s="9" t="str">
        <f ca="1">+WORLDCUP!BD66</f>
        <v>Senegal</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Austria</v>
      </c>
      <c r="E432" s="9" t="str">
        <f ca="1">+WORLDCUP!BD59</f>
        <v>Bosnia y Herzegovina</v>
      </c>
      <c r="F432" s="9" t="str">
        <f ca="1">+WORLDCUP!BD61</f>
        <v>Paraguay</v>
      </c>
      <c r="G432" s="9" t="str">
        <f ca="1">+WORLDCUP!BD58</f>
        <v>Sudáfrica</v>
      </c>
      <c r="H432" s="9" t="str">
        <f ca="1">+WORLDCUP!BD64</f>
        <v>Egipto</v>
      </c>
      <c r="I432" s="9" t="str">
        <f ca="1">+WORLDCUP!BD69</f>
        <v>Ghana</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Egipto</v>
      </c>
      <c r="E433" s="9" t="str">
        <f ca="1">+WORLDCUP!BD59</f>
        <v>Bosnia y Herzegovina</v>
      </c>
      <c r="F433" s="9" t="str">
        <f ca="1">+WORLDCUP!BD60</f>
        <v>Escocia</v>
      </c>
      <c r="G433" s="9" t="str">
        <f ca="1">+WORLDCUP!BD58</f>
        <v>Sudáfrica</v>
      </c>
      <c r="H433" s="9" t="str">
        <f ca="1">+WORLDCUP!BD61</f>
        <v>Paraguay</v>
      </c>
      <c r="I433" s="9" t="str">
        <f ca="1">+WORLDCUP!BD69</f>
        <v>Ghana</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Austria</v>
      </c>
      <c r="E434" s="9" t="str">
        <f ca="1">+WORLDCUP!BD59</f>
        <v>Bosnia y Herzegovina</v>
      </c>
      <c r="F434" s="9" t="str">
        <f ca="1">+WORLDCUP!BD61</f>
        <v>Paraguay</v>
      </c>
      <c r="G434" s="9" t="str">
        <f ca="1">+WORLDCUP!BD58</f>
        <v>Sudáfrica</v>
      </c>
      <c r="H434" s="9" t="str">
        <f ca="1">+WORLDCUP!BD64</f>
        <v>Egipto</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Austria</v>
      </c>
      <c r="E435" s="9" t="str">
        <f ca="1">+WORLDCUP!BD59</f>
        <v>Bosnia y Herzegovina</v>
      </c>
      <c r="F435" s="9" t="str">
        <f ca="1">+WORLDCUP!BD61</f>
        <v>Paraguay</v>
      </c>
      <c r="G435" s="9" t="str">
        <f ca="1">+WORLDCUP!BD58</f>
        <v>Sudáfrica</v>
      </c>
      <c r="H435" s="9" t="str">
        <f ca="1">+WORLDCUP!BD64</f>
        <v>Egipto</v>
      </c>
      <c r="I435" s="9" t="str">
        <f ca="1">+WORLDCUP!BD66</f>
        <v>Senegal</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Egipto</v>
      </c>
      <c r="E436" s="9" t="str">
        <f ca="1">+WORLDCUP!BD59</f>
        <v>Bosnia y Herzegovina</v>
      </c>
      <c r="F436" s="9" t="str">
        <f ca="1">+WORLDCUP!BD60</f>
        <v>Escocia</v>
      </c>
      <c r="G436" s="9" t="str">
        <f ca="1">+WORLDCUP!BD58</f>
        <v>Sudáfrica</v>
      </c>
      <c r="H436" s="9" t="str">
        <f ca="1">+WORLDCUP!BD61</f>
        <v>Paraguay</v>
      </c>
      <c r="I436" s="9" t="str">
        <f ca="1">+WORLDCUP!BD69</f>
        <v>Ghana</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Egipto</v>
      </c>
      <c r="E437" s="9" t="str">
        <f ca="1">+WORLDCUP!BD59</f>
        <v>Bosnia y Herzegovina</v>
      </c>
      <c r="F437" s="9" t="str">
        <f ca="1">+WORLDCUP!BD60</f>
        <v>Escocia</v>
      </c>
      <c r="G437" s="9" t="str">
        <f ca="1">+WORLDCUP!BD58</f>
        <v>Sudáfrica</v>
      </c>
      <c r="H437" s="9" t="str">
        <f ca="1">+WORLDCUP!BD61</f>
        <v>Paraguay</v>
      </c>
      <c r="I437" s="9" t="str">
        <f ca="1">+WORLDCUP!BD69</f>
        <v>Ghana</v>
      </c>
      <c r="J437" s="9" t="str">
        <f ca="1">+WORLDCUP!BD67</f>
        <v>Austria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Egipto</v>
      </c>
      <c r="E438" s="9" t="str">
        <f ca="1">+WORLDCUP!BD59</f>
        <v>Bosnia y Herzegovina</v>
      </c>
      <c r="F438" s="9" t="str">
        <f ca="1">+WORLDCUP!BD60</f>
        <v>Escocia</v>
      </c>
      <c r="G438" s="9" t="str">
        <f ca="1">+WORLDCUP!BD58</f>
        <v>Sudáfrica</v>
      </c>
      <c r="H438" s="9" t="str">
        <f ca="1">+WORLDCUP!BD61</f>
        <v>Paraguay</v>
      </c>
      <c r="I438" s="9" t="str">
        <f ca="1">+WORLDCUP!BD67</f>
        <v>Austria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Egipto</v>
      </c>
      <c r="E439" s="9" t="str">
        <f ca="1">+WORLDCUP!BD59</f>
        <v>Bosnia y Herzegovina</v>
      </c>
      <c r="F439" s="9" t="str">
        <f ca="1">+WORLDCUP!BD60</f>
        <v>Escocia</v>
      </c>
      <c r="G439" s="9" t="str">
        <f ca="1">+WORLDCUP!BD58</f>
        <v>Sudáfrica</v>
      </c>
      <c r="H439" s="9" t="str">
        <f ca="1">+WORLDCUP!BD61</f>
        <v>Paraguay</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Egipto</v>
      </c>
      <c r="E440" s="9" t="str">
        <f ca="1">+WORLDCUP!BD59</f>
        <v>Bosnia y Herzegovina</v>
      </c>
      <c r="F440" s="9" t="str">
        <f ca="1">+WORLDCUP!BD60</f>
        <v>Escocia</v>
      </c>
      <c r="G440" s="9" t="str">
        <f ca="1">+WORLDCUP!BD58</f>
        <v>Sudáfrica</v>
      </c>
      <c r="H440" s="9" t="str">
        <f ca="1">+WORLDCUP!BD61</f>
        <v>Paraguay</v>
      </c>
      <c r="I440" s="9" t="str">
        <f ca="1">+WORLDCUP!BD66</f>
        <v>Senegal</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Egipto</v>
      </c>
      <c r="E441" s="9" t="str">
        <f ca="1">+WORLDCUP!BD59</f>
        <v>Bosnia y Herzegovina</v>
      </c>
      <c r="F441" s="9" t="str">
        <f ca="1">+WORLDCUP!BD60</f>
        <v>Escocia</v>
      </c>
      <c r="G441" s="9" t="str">
        <f ca="1">+WORLDCUP!BD58</f>
        <v>Sudáfrica</v>
      </c>
      <c r="H441" s="9" t="str">
        <f ca="1">+WORLDCUP!BD61</f>
        <v>Paraguay</v>
      </c>
      <c r="I441" s="9" t="str">
        <f ca="1">+WORLDCUP!BD66</f>
        <v>Senegal</v>
      </c>
      <c r="J441" s="9" t="str">
        <f ca="1">+WORLDCUP!BD67</f>
        <v>Austria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Austria</v>
      </c>
      <c r="E442" s="9" t="str">
        <f ca="1">+WORLDCUP!BD59</f>
        <v>Bosnia y Herzegovina</v>
      </c>
      <c r="F442" s="9" t="str">
        <f ca="1">+WORLDCUP!BD61</f>
        <v>Paraguay</v>
      </c>
      <c r="G442" s="9" t="str">
        <f ca="1">+WORLDCUP!BD58</f>
        <v>Sudáfrica</v>
      </c>
      <c r="H442" s="9" t="str">
        <f ca="1">+WORLDCUP!BD63</f>
        <v>Japón</v>
      </c>
      <c r="I442" s="9" t="str">
        <f ca="1">+WORLDCUP!BD69</f>
        <v>Ghana</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Sudáfrica</v>
      </c>
      <c r="H443" s="9" t="str">
        <f ca="1">+WORLDCUP!BD63</f>
        <v>Japón</v>
      </c>
      <c r="I443" s="9" t="str">
        <f ca="1">+WORLDCUP!BD69</f>
        <v>Ghana</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Austria</v>
      </c>
      <c r="E444" s="9" t="str">
        <f ca="1">+WORLDCUP!BD59</f>
        <v>Bosnia y Herzegovina</v>
      </c>
      <c r="F444" s="9" t="str">
        <f ca="1">+WORLDCUP!BD61</f>
        <v>Paraguay</v>
      </c>
      <c r="G444" s="9" t="str">
        <f ca="1">+WORLDCUP!BD58</f>
        <v>Sudáfrica</v>
      </c>
      <c r="H444" s="9" t="str">
        <f ca="1">+WORLDCUP!BD63</f>
        <v>Japón</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Austria</v>
      </c>
      <c r="E445" s="9" t="str">
        <f ca="1">+WORLDCUP!BD59</f>
        <v>Bosnia y Herzegovina</v>
      </c>
      <c r="F445" s="9" t="str">
        <f ca="1">+WORLDCUP!BD61</f>
        <v>Paraguay</v>
      </c>
      <c r="G445" s="9" t="str">
        <f ca="1">+WORLDCUP!BD58</f>
        <v>Sudáfrica</v>
      </c>
      <c r="H445" s="9" t="str">
        <f ca="1">+WORLDCUP!BD63</f>
        <v>Japón</v>
      </c>
      <c r="I445" s="9" t="str">
        <f ca="1">+WORLDCUP!BD66</f>
        <v>Senegal</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Sudáfrica</v>
      </c>
      <c r="H446" s="9" t="str">
        <f ca="1">+WORLDCUP!BD61</f>
        <v>Paraguay</v>
      </c>
      <c r="I446" s="9" t="str">
        <f ca="1">+WORLDCUP!BD69</f>
        <v>Ghana</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Austria</v>
      </c>
      <c r="E447" s="9" t="str">
        <f ca="1">+WORLDCUP!BD59</f>
        <v>Bosnia y Herzegovina</v>
      </c>
      <c r="F447" s="9" t="str">
        <f ca="1">+WORLDCUP!BD61</f>
        <v>Paraguay</v>
      </c>
      <c r="G447" s="9" t="str">
        <f ca="1">+WORLDCUP!BD58</f>
        <v>Sudáfrica</v>
      </c>
      <c r="H447" s="9" t="str">
        <f ca="1">+WORLDCUP!BD63</f>
        <v>Japón</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Austria</v>
      </c>
      <c r="E448" s="9" t="str">
        <f ca="1">+WORLDCUP!BD59</f>
        <v>Bosnia y Herzegovina</v>
      </c>
      <c r="F448" s="9" t="str">
        <f ca="1">+WORLDCUP!BD60</f>
        <v>Escocia</v>
      </c>
      <c r="G448" s="9" t="str">
        <f ca="1">+WORLDCUP!BD58</f>
        <v>Sudáfrica</v>
      </c>
      <c r="H448" s="9" t="str">
        <f ca="1">+WORLDCUP!BD63</f>
        <v>Japón</v>
      </c>
      <c r="I448" s="9" t="str">
        <f ca="1">+WORLDCUP!BD61</f>
        <v>Paraguay</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Sudáfrica</v>
      </c>
      <c r="H449" s="9" t="str">
        <f ca="1">+WORLDCUP!BD61</f>
        <v>Paraguay</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Sudáfrica</v>
      </c>
      <c r="H450" s="9" t="str">
        <f ca="1">+WORLDCUP!BD61</f>
        <v>Paraguay</v>
      </c>
      <c r="I450" s="9" t="str">
        <f ca="1">+WORLDCUP!BD66</f>
        <v>Senegal</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Austria</v>
      </c>
      <c r="E451" s="9" t="str">
        <f ca="1">+WORLDCUP!BD59</f>
        <v>Bosnia y Herzegovina</v>
      </c>
      <c r="F451" s="9" t="str">
        <f ca="1">+WORLDCUP!BD60</f>
        <v>Escocia</v>
      </c>
      <c r="G451" s="9" t="str">
        <f ca="1">+WORLDCUP!BD58</f>
        <v>Sudáfrica</v>
      </c>
      <c r="H451" s="9" t="str">
        <f ca="1">+WORLDCUP!BD63</f>
        <v>Japón</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Egipto</v>
      </c>
      <c r="E452" s="9" t="str">
        <f ca="1">+WORLDCUP!BD59</f>
        <v>Bosnia y Herzegovina</v>
      </c>
      <c r="F452" s="9" t="str">
        <f ca="1">+WORLDCUP!BD61</f>
        <v>Paraguay</v>
      </c>
      <c r="G452" s="9" t="str">
        <f ca="1">+WORLDCUP!BD58</f>
        <v>Sudáfrica</v>
      </c>
      <c r="H452" s="9" t="str">
        <f ca="1">+WORLDCUP!BD63</f>
        <v>Japón</v>
      </c>
      <c r="I452" s="9" t="str">
        <f ca="1">+WORLDCUP!BD69</f>
        <v>Ghana</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Egipto</v>
      </c>
      <c r="E453" s="9" t="str">
        <f ca="1">+WORLDCUP!BD59</f>
        <v>Bosnia y Herzegovina</v>
      </c>
      <c r="F453" s="9" t="str">
        <f ca="1">+WORLDCUP!BD61</f>
        <v>Paraguay</v>
      </c>
      <c r="G453" s="9" t="str">
        <f ca="1">+WORLDCUP!BD58</f>
        <v>Sudáfrica</v>
      </c>
      <c r="H453" s="9" t="str">
        <f ca="1">+WORLDCUP!BD63</f>
        <v>Japón</v>
      </c>
      <c r="I453" s="9" t="str">
        <f ca="1">+WORLDCUP!BD69</f>
        <v>Ghana</v>
      </c>
      <c r="J453" s="9" t="str">
        <f ca="1">+WORLDCUP!BD67</f>
        <v>Austria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Egipto</v>
      </c>
      <c r="E454" s="9" t="str">
        <f ca="1">+WORLDCUP!BD59</f>
        <v>Bosnia y Herzegovina</v>
      </c>
      <c r="F454" s="9" t="str">
        <f ca="1">+WORLDCUP!BD61</f>
        <v>Paraguay</v>
      </c>
      <c r="G454" s="9" t="str">
        <f ca="1">+WORLDCUP!BD58</f>
        <v>Sudáfrica</v>
      </c>
      <c r="H454" s="9" t="str">
        <f ca="1">+WORLDCUP!BD63</f>
        <v>Japón</v>
      </c>
      <c r="I454" s="9" t="str">
        <f ca="1">+WORLDCUP!BD67</f>
        <v>Austria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Egipto</v>
      </c>
      <c r="E455" s="9" t="str">
        <f ca="1">+WORLDCUP!BD59</f>
        <v>Bosnia y Herzegovina</v>
      </c>
      <c r="F455" s="9" t="str">
        <f ca="1">+WORLDCUP!BD61</f>
        <v>Paraguay</v>
      </c>
      <c r="G455" s="9" t="str">
        <f ca="1">+WORLDCUP!BD58</f>
        <v>Sudáfrica</v>
      </c>
      <c r="H455" s="9" t="str">
        <f ca="1">+WORLDCUP!BD63</f>
        <v>Japón</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Egipto</v>
      </c>
      <c r="E456" s="9" t="str">
        <f ca="1">+WORLDCUP!BD59</f>
        <v>Bosnia y Herzegovina</v>
      </c>
      <c r="F456" s="9" t="str">
        <f ca="1">+WORLDCUP!BD61</f>
        <v>Paraguay</v>
      </c>
      <c r="G456" s="9" t="str">
        <f ca="1">+WORLDCUP!BD58</f>
        <v>Sudáfrica</v>
      </c>
      <c r="H456" s="9" t="str">
        <f ca="1">+WORLDCUP!BD63</f>
        <v>Japón</v>
      </c>
      <c r="I456" s="9" t="str">
        <f ca="1">+WORLDCUP!BD66</f>
        <v>Senegal</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Egipto</v>
      </c>
      <c r="E457" s="9" t="str">
        <f ca="1">+WORLDCUP!BD59</f>
        <v>Bosnia y Herzegovina</v>
      </c>
      <c r="F457" s="9" t="str">
        <f ca="1">+WORLDCUP!BD61</f>
        <v>Paraguay</v>
      </c>
      <c r="G457" s="9" t="str">
        <f ca="1">+WORLDCUP!BD58</f>
        <v>Sudáfrica</v>
      </c>
      <c r="H457" s="9" t="str">
        <f ca="1">+WORLDCUP!BD63</f>
        <v>Japón</v>
      </c>
      <c r="I457" s="9" t="str">
        <f ca="1">+WORLDCUP!BD66</f>
        <v>Senegal</v>
      </c>
      <c r="J457" s="9" t="str">
        <f ca="1">+WORLDCUP!BD67</f>
        <v>Austria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Egipto</v>
      </c>
      <c r="E458" s="9" t="str">
        <f ca="1">+WORLDCUP!BD59</f>
        <v>Bosnia y Herzegovina</v>
      </c>
      <c r="F458" s="9" t="str">
        <f ca="1">+WORLDCUP!BD61</f>
        <v>Paraguay</v>
      </c>
      <c r="G458" s="9" t="str">
        <f ca="1">+WORLDCUP!BD58</f>
        <v>Sudáfrica</v>
      </c>
      <c r="H458" s="9" t="str">
        <f ca="1">+WORLDCUP!BD63</f>
        <v>Japón</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Egipto</v>
      </c>
      <c r="E459" s="9" t="str">
        <f ca="1">+WORLDCUP!BD59</f>
        <v>Bosnia y Herzegovina</v>
      </c>
      <c r="F459" s="9" t="str">
        <f ca="1">+WORLDCUP!BD60</f>
        <v>Escocia</v>
      </c>
      <c r="G459" s="9" t="str">
        <f ca="1">+WORLDCUP!BD58</f>
        <v>Sudáfrica</v>
      </c>
      <c r="H459" s="9" t="str">
        <f ca="1">+WORLDCUP!BD63</f>
        <v>Japón</v>
      </c>
      <c r="I459" s="9" t="str">
        <f ca="1">+WORLDCUP!BD61</f>
        <v>Paraguay</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Egipto</v>
      </c>
      <c r="E460" s="9" t="str">
        <f ca="1">+WORLDCUP!BD59</f>
        <v>Bosnia y Herzegovina</v>
      </c>
      <c r="F460" s="9" t="str">
        <f ca="1">+WORLDCUP!BD60</f>
        <v>Escocia</v>
      </c>
      <c r="G460" s="9" t="str">
        <f ca="1">+WORLDCUP!BD58</f>
        <v>Sudáfrica</v>
      </c>
      <c r="H460" s="9" t="str">
        <f ca="1">+WORLDCUP!BD63</f>
        <v>Japón</v>
      </c>
      <c r="I460" s="9" t="str">
        <f ca="1">+WORLDCUP!BD61</f>
        <v>Paraguay</v>
      </c>
      <c r="J460" s="9" t="str">
        <f ca="1">+WORLDCUP!BD67</f>
        <v>Austria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Egipto</v>
      </c>
      <c r="E461" s="9" t="str">
        <f ca="1">+WORLDCUP!BD59</f>
        <v>Bosnia y Herzegovina</v>
      </c>
      <c r="F461" s="9" t="str">
        <f ca="1">+WORLDCUP!BD60</f>
        <v>Escocia</v>
      </c>
      <c r="G461" s="9" t="str">
        <f ca="1">+WORLDCUP!BD58</f>
        <v>Sudáfrica</v>
      </c>
      <c r="H461" s="9" t="str">
        <f ca="1">+WORLDCUP!BD63</f>
        <v>Japón</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Ecuador</v>
      </c>
      <c r="D462" s="9" t="str">
        <f ca="1">+WORLDCUP!BD67</f>
        <v>Austria</v>
      </c>
      <c r="E462" s="9" t="str">
        <f ca="1">+WORLDCUP!BD59</f>
        <v>Bosnia y Herzegovina</v>
      </c>
      <c r="F462" s="9" t="str">
        <f ca="1">+WORLDCUP!BD60</f>
        <v>Escocia</v>
      </c>
      <c r="G462" s="9" t="str">
        <f ca="1">+WORLDCUP!BD58</f>
        <v>Sudáfrica</v>
      </c>
      <c r="H462" s="9" t="str">
        <f ca="1">+WORLDCUP!BD61</f>
        <v>Paraguay</v>
      </c>
      <c r="I462" s="9" t="str">
        <f ca="1">+WORLDCUP!BD69</f>
        <v>Ghana</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Sudáfrica</v>
      </c>
      <c r="H463" s="9" t="str">
        <f ca="1">+WORLDCUP!BD61</f>
        <v>Paraguay</v>
      </c>
      <c r="I463" s="9" t="str">
        <f ca="1">+WORLDCUP!BD69</f>
        <v>Ghana</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Ecuador</v>
      </c>
      <c r="D464" s="9" t="str">
        <f ca="1">+WORLDCUP!BD67</f>
        <v>Austria</v>
      </c>
      <c r="E464" s="9" t="str">
        <f ca="1">+WORLDCUP!BD59</f>
        <v>Bosnia y Herzegovina</v>
      </c>
      <c r="F464" s="9" t="str">
        <f ca="1">+WORLDCUP!BD60</f>
        <v>Escocia</v>
      </c>
      <c r="G464" s="9" t="str">
        <f ca="1">+WORLDCUP!BD58</f>
        <v>Sudáfrica</v>
      </c>
      <c r="H464" s="9" t="str">
        <f ca="1">+WORLDCUP!BD61</f>
        <v>Paraguay</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Ecuador</v>
      </c>
      <c r="D465" s="9" t="str">
        <f ca="1">+WORLDCUP!BD67</f>
        <v>Austria</v>
      </c>
      <c r="E465" s="9" t="str">
        <f ca="1">+WORLDCUP!BD59</f>
        <v>Bosnia y Herzegovina</v>
      </c>
      <c r="F465" s="9" t="str">
        <f ca="1">+WORLDCUP!BD60</f>
        <v>Escocia</v>
      </c>
      <c r="G465" s="9" t="str">
        <f ca="1">+WORLDCUP!BD58</f>
        <v>Sudáfrica</v>
      </c>
      <c r="H465" s="9" t="str">
        <f ca="1">+WORLDCUP!BD61</f>
        <v>Paraguay</v>
      </c>
      <c r="I465" s="9" t="str">
        <f ca="1">+WORLDCUP!BD66</f>
        <v>Senegal</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Sudáfrica</v>
      </c>
      <c r="H466" s="9" t="str">
        <f ca="1">+WORLDCUP!BD61</f>
        <v>Paraguay</v>
      </c>
      <c r="I466" s="9" t="str">
        <f ca="1">+WORLDCUP!BD69</f>
        <v>Ghana</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Austria</v>
      </c>
      <c r="E467" s="9" t="str">
        <f ca="1">+WORLDCUP!BD59</f>
        <v>Bosnia y Herzegovina</v>
      </c>
      <c r="F467" s="9" t="str">
        <f ca="1">+WORLDCUP!BD60</f>
        <v>Escocia</v>
      </c>
      <c r="G467" s="9" t="str">
        <f ca="1">+WORLDCUP!BD58</f>
        <v>Sudáfrica</v>
      </c>
      <c r="H467" s="9" t="str">
        <f ca="1">+WORLDCUP!BD61</f>
        <v>Paraguay</v>
      </c>
      <c r="I467" s="9" t="str">
        <f ca="1">+WORLDCUP!BD69</f>
        <v>Ghana</v>
      </c>
      <c r="J467" s="9" t="str">
        <f ca="1">+WORLDCUP!BD62</f>
        <v>Ecuador</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Austria</v>
      </c>
      <c r="E468" s="9" t="str">
        <f ca="1">+WORLDCUP!BD59</f>
        <v>Bosnia y Herzegovina</v>
      </c>
      <c r="F468" s="9" t="str">
        <f ca="1">+WORLDCUP!BD60</f>
        <v>Escocia</v>
      </c>
      <c r="G468" s="9" t="str">
        <f ca="1">+WORLDCUP!BD58</f>
        <v>Sudáfrica</v>
      </c>
      <c r="H468" s="9" t="str">
        <f ca="1">+WORLDCUP!BD61</f>
        <v>Paraguay</v>
      </c>
      <c r="I468" s="9" t="str">
        <f ca="1">+WORLDCUP!BD62</f>
        <v>Ecuador</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Ecuador</v>
      </c>
      <c r="E469" s="9" t="str">
        <f ca="1">+WORLDCUP!BD59</f>
        <v>Bosnia y Herzegovina</v>
      </c>
      <c r="F469" s="9" t="str">
        <f ca="1">+WORLDCUP!BD60</f>
        <v>Escocia</v>
      </c>
      <c r="G469" s="9" t="str">
        <f ca="1">+WORLDCUP!BD58</f>
        <v>Sudáfrica</v>
      </c>
      <c r="H469" s="9" t="str">
        <f ca="1">+WORLDCUP!BD61</f>
        <v>Paraguay</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Sudáfrica</v>
      </c>
      <c r="H470" s="9" t="str">
        <f ca="1">+WORLDCUP!BD61</f>
        <v>Paraguay</v>
      </c>
      <c r="I470" s="9" t="str">
        <f ca="1">+WORLDCUP!BD66</f>
        <v>Senegal</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Austria</v>
      </c>
      <c r="E471" s="9" t="str">
        <f ca="1">+WORLDCUP!BD59</f>
        <v>Bosnia y Herzegovina</v>
      </c>
      <c r="F471" s="9" t="str">
        <f ca="1">+WORLDCUP!BD60</f>
        <v>Escocia</v>
      </c>
      <c r="G471" s="9" t="str">
        <f ca="1">+WORLDCUP!BD58</f>
        <v>Sudáfrica</v>
      </c>
      <c r="H471" s="9" t="str">
        <f ca="1">+WORLDCUP!BD61</f>
        <v>Paraguay</v>
      </c>
      <c r="I471" s="9" t="str">
        <f ca="1">+WORLDCUP!BD62</f>
        <v>Ecuador</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Ecuador</v>
      </c>
      <c r="D472" s="9" t="str">
        <f ca="1">+WORLDCUP!BD64</f>
        <v>Egipto</v>
      </c>
      <c r="E472" s="9" t="str">
        <f ca="1">+WORLDCUP!BD59</f>
        <v>Bosnia y Herzegovina</v>
      </c>
      <c r="F472" s="9" t="str">
        <f ca="1">+WORLDCUP!BD60</f>
        <v>Escocia</v>
      </c>
      <c r="G472" s="9" t="str">
        <f ca="1">+WORLDCUP!BD58</f>
        <v>Sudáfrica</v>
      </c>
      <c r="H472" s="9" t="str">
        <f ca="1">+WORLDCUP!BD61</f>
        <v>Paraguay</v>
      </c>
      <c r="I472" s="9" t="str">
        <f ca="1">+WORLDCUP!BD69</f>
        <v>Ghana</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Ecuador</v>
      </c>
      <c r="D473" s="9" t="str">
        <f ca="1">+WORLDCUP!BD64</f>
        <v>Egipto</v>
      </c>
      <c r="E473" s="9" t="str">
        <f ca="1">+WORLDCUP!BD59</f>
        <v>Bosnia y Herzegovina</v>
      </c>
      <c r="F473" s="9" t="str">
        <f ca="1">+WORLDCUP!BD60</f>
        <v>Escocia</v>
      </c>
      <c r="G473" s="9" t="str">
        <f ca="1">+WORLDCUP!BD58</f>
        <v>Sudáfrica</v>
      </c>
      <c r="H473" s="9" t="str">
        <f ca="1">+WORLDCUP!BD61</f>
        <v>Paraguay</v>
      </c>
      <c r="I473" s="9" t="str">
        <f ca="1">+WORLDCUP!BD69</f>
        <v>Ghana</v>
      </c>
      <c r="J473" s="9" t="str">
        <f ca="1">+WORLDCUP!BD67</f>
        <v>Austria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Ecuador</v>
      </c>
      <c r="D474" s="9" t="str">
        <f ca="1">+WORLDCUP!BD64</f>
        <v>Egipto</v>
      </c>
      <c r="E474" s="9" t="str">
        <f ca="1">+WORLDCUP!BD59</f>
        <v>Bosnia y Herzegovina</v>
      </c>
      <c r="F474" s="9" t="str">
        <f ca="1">+WORLDCUP!BD60</f>
        <v>Escocia</v>
      </c>
      <c r="G474" s="9" t="str">
        <f ca="1">+WORLDCUP!BD58</f>
        <v>Sudáfrica</v>
      </c>
      <c r="H474" s="9" t="str">
        <f ca="1">+WORLDCUP!BD61</f>
        <v>Paraguay</v>
      </c>
      <c r="I474" s="9" t="str">
        <f ca="1">+WORLDCUP!BD67</f>
        <v>Austria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Ecuador</v>
      </c>
      <c r="D475" s="9" t="str">
        <f ca="1">+WORLDCUP!BD64</f>
        <v>Egipto</v>
      </c>
      <c r="E475" s="9" t="str">
        <f ca="1">+WORLDCUP!BD59</f>
        <v>Bosnia y Herzegovina</v>
      </c>
      <c r="F475" s="9" t="str">
        <f ca="1">+WORLDCUP!BD60</f>
        <v>Escocia</v>
      </c>
      <c r="G475" s="9" t="str">
        <f ca="1">+WORLDCUP!BD58</f>
        <v>Sudáfrica</v>
      </c>
      <c r="H475" s="9" t="str">
        <f ca="1">+WORLDCUP!BD61</f>
        <v>Paraguay</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Ecuador</v>
      </c>
      <c r="D476" s="9" t="str">
        <f ca="1">+WORLDCUP!BD64</f>
        <v>Egipto</v>
      </c>
      <c r="E476" s="9" t="str">
        <f ca="1">+WORLDCUP!BD59</f>
        <v>Bosnia y Herzegovina</v>
      </c>
      <c r="F476" s="9" t="str">
        <f ca="1">+WORLDCUP!BD60</f>
        <v>Escocia</v>
      </c>
      <c r="G476" s="9" t="str">
        <f ca="1">+WORLDCUP!BD58</f>
        <v>Sudáfrica</v>
      </c>
      <c r="H476" s="9" t="str">
        <f ca="1">+WORLDCUP!BD61</f>
        <v>Paraguay</v>
      </c>
      <c r="I476" s="9" t="str">
        <f ca="1">+WORLDCUP!BD66</f>
        <v>Senegal</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Ecuador</v>
      </c>
      <c r="D477" s="9" t="str">
        <f ca="1">+WORLDCUP!BD64</f>
        <v>Egipto</v>
      </c>
      <c r="E477" s="9" t="str">
        <f ca="1">+WORLDCUP!BD59</f>
        <v>Bosnia y Herzegovina</v>
      </c>
      <c r="F477" s="9" t="str">
        <f ca="1">+WORLDCUP!BD60</f>
        <v>Escocia</v>
      </c>
      <c r="G477" s="9" t="str">
        <f ca="1">+WORLDCUP!BD58</f>
        <v>Sudáfrica</v>
      </c>
      <c r="H477" s="9" t="str">
        <f ca="1">+WORLDCUP!BD61</f>
        <v>Paraguay</v>
      </c>
      <c r="I477" s="9" t="str">
        <f ca="1">+WORLDCUP!BD66</f>
        <v>Senegal</v>
      </c>
      <c r="J477" s="9" t="str">
        <f ca="1">+WORLDCUP!BD67</f>
        <v>Austria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Egipto</v>
      </c>
      <c r="E478" s="9" t="str">
        <f ca="1">+WORLDCUP!BD59</f>
        <v>Bosnia y Herzegovina</v>
      </c>
      <c r="F478" s="9" t="str">
        <f ca="1">+WORLDCUP!BD60</f>
        <v>Escocia</v>
      </c>
      <c r="G478" s="9" t="str">
        <f ca="1">+WORLDCUP!BD58</f>
        <v>Sudáfrica</v>
      </c>
      <c r="H478" s="9" t="str">
        <f ca="1">+WORLDCUP!BD61</f>
        <v>Paraguay</v>
      </c>
      <c r="I478" s="9" t="str">
        <f ca="1">+WORLDCUP!BD69</f>
        <v>Ghana</v>
      </c>
      <c r="J478" s="9" t="str">
        <f ca="1">+WORLDCUP!BD62</f>
        <v>Ecuador</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Egipto</v>
      </c>
      <c r="E479" s="9" t="str">
        <f ca="1">+WORLDCUP!BD59</f>
        <v>Bosnia y Herzegovina</v>
      </c>
      <c r="F479" s="9" t="str">
        <f ca="1">+WORLDCUP!BD60</f>
        <v>Escocia</v>
      </c>
      <c r="G479" s="9" t="str">
        <f ca="1">+WORLDCUP!BD58</f>
        <v>Sudáfrica</v>
      </c>
      <c r="H479" s="9" t="str">
        <f ca="1">+WORLDCUP!BD61</f>
        <v>Paraguay</v>
      </c>
      <c r="I479" s="9" t="str">
        <f ca="1">+WORLDCUP!BD62</f>
        <v>Ecuador</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Egipto</v>
      </c>
      <c r="E480" s="9" t="str">
        <f ca="1">+WORLDCUP!BD59</f>
        <v>Bosnia y Herzegovina</v>
      </c>
      <c r="F480" s="9" t="str">
        <f ca="1">+WORLDCUP!BD60</f>
        <v>Escocia</v>
      </c>
      <c r="G480" s="9" t="str">
        <f ca="1">+WORLDCUP!BD58</f>
        <v>Sudáfrica</v>
      </c>
      <c r="H480" s="9" t="str">
        <f ca="1">+WORLDCUP!BD61</f>
        <v>Paraguay</v>
      </c>
      <c r="I480" s="9" t="str">
        <f ca="1">+WORLDCUP!BD62</f>
        <v>Ecuador</v>
      </c>
      <c r="J480" s="9" t="str">
        <f ca="1">+WORLDCUP!BD67</f>
        <v>Austria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Egipto</v>
      </c>
      <c r="E481" s="9" t="str">
        <f ca="1">+WORLDCUP!BD59</f>
        <v>Bosnia y Herzegovina</v>
      </c>
      <c r="F481" s="9" t="str">
        <f ca="1">+WORLDCUP!BD60</f>
        <v>Escocia</v>
      </c>
      <c r="G481" s="9" t="str">
        <f ca="1">+WORLDCUP!BD58</f>
        <v>Sudáfrica</v>
      </c>
      <c r="H481" s="9" t="str">
        <f ca="1">+WORLDCUP!BD61</f>
        <v>Paraguay</v>
      </c>
      <c r="I481" s="9" t="str">
        <f ca="1">+WORLDCUP!BD62</f>
        <v>Ecuador</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Sudáfrica</v>
      </c>
      <c r="H482" s="9" t="str">
        <f ca="1">+WORLDCUP!BD63</f>
        <v>Japón</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Bosnia y Herzegovina</v>
      </c>
      <c r="F483" s="9" t="str">
        <f ca="1">+WORLDCUP!BD61</f>
        <v>Paraguay</v>
      </c>
      <c r="G483" s="9" t="str">
        <f ca="1">+WORLDCUP!BD58</f>
        <v>Sudáfrica</v>
      </c>
      <c r="H483" s="9" t="str">
        <f ca="1">+WORLDCUP!BD63</f>
        <v>Japón</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Bosnia y Herzegovina</v>
      </c>
      <c r="F484" s="9" t="str">
        <f ca="1">+WORLDCUP!BD61</f>
        <v>Paraguay</v>
      </c>
      <c r="G484" s="9" t="str">
        <f ca="1">+WORLDCUP!BD58</f>
        <v>Sudáfrica</v>
      </c>
      <c r="H484" s="9" t="str">
        <f ca="1">+WORLDCUP!BD63</f>
        <v>Japón</v>
      </c>
      <c r="I484" s="9" t="str">
        <f ca="1">+WORLDCUP!BD62</f>
        <v>Ecuador</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Sudáfrica</v>
      </c>
      <c r="H485" s="9" t="str">
        <f ca="1">+WORLDCUP!BD63</f>
        <v>Japón</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Sudáfrica</v>
      </c>
      <c r="H486" s="9" t="str">
        <f ca="1">+WORLDCUP!BD63</f>
        <v>Japón</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Bosnia y Herzegovina</v>
      </c>
      <c r="F487" s="9" t="str">
        <f ca="1">+WORLDCUP!BD61</f>
        <v>Paraguay</v>
      </c>
      <c r="G487" s="9" t="str">
        <f ca="1">+WORLDCUP!BD58</f>
        <v>Sudáfrica</v>
      </c>
      <c r="H487" s="9" t="str">
        <f ca="1">+WORLDCUP!BD63</f>
        <v>Japón</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Sudáfrica</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Sudáfrica</v>
      </c>
      <c r="H489" s="9" t="str">
        <f ca="1">+WORLDCUP!BD63</f>
        <v>Japón</v>
      </c>
      <c r="I489" s="9" t="str">
        <f ca="1">+WORLDCUP!BD61</f>
        <v>Paraguay</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Bosnia y Herzegovina</v>
      </c>
      <c r="F490" s="9" t="str">
        <f ca="1">+WORLDCUP!BD60</f>
        <v>Escocia</v>
      </c>
      <c r="G490" s="9" t="str">
        <f ca="1">+WORLDCUP!BD58</f>
        <v>Sudáfrica</v>
      </c>
      <c r="H490" s="9" t="str">
        <f ca="1">+WORLDCUP!BD63</f>
        <v>Japón</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Sudáfrica</v>
      </c>
      <c r="H491" s="9" t="str">
        <f ca="1">+WORLDCUP!BD63</f>
        <v>Japón</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Egipto</v>
      </c>
      <c r="E492" s="9" t="str">
        <f ca="1">+WORLDCUP!BD59</f>
        <v>Bosnia y Herzegovina</v>
      </c>
      <c r="F492" s="9" t="str">
        <f ca="1">+WORLDCUP!BD61</f>
        <v>Paraguay</v>
      </c>
      <c r="G492" s="9" t="str">
        <f ca="1">+WORLDCUP!BD58</f>
        <v>Sudáfrica</v>
      </c>
      <c r="H492" s="9" t="str">
        <f ca="1">+WORLDCUP!BD63</f>
        <v>Japón</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Egipto</v>
      </c>
      <c r="E493" s="9" t="str">
        <f ca="1">+WORLDCUP!BD59</f>
        <v>Bosnia y Herzegovina</v>
      </c>
      <c r="F493" s="9" t="str">
        <f ca="1">+WORLDCUP!BD61</f>
        <v>Paraguay</v>
      </c>
      <c r="G493" s="9" t="str">
        <f ca="1">+WORLDCUP!BD58</f>
        <v>Sudáfrica</v>
      </c>
      <c r="H493" s="9" t="str">
        <f ca="1">+WORLDCUP!BD63</f>
        <v>Japón</v>
      </c>
      <c r="I493" s="9" t="str">
        <f ca="1">+WORLDCUP!BD62</f>
        <v>Ecuador</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Egipto</v>
      </c>
      <c r="E494" s="9" t="str">
        <f ca="1">+WORLDCUP!BD59</f>
        <v>Bosnia y Herzegovina</v>
      </c>
      <c r="F494" s="9" t="str">
        <f ca="1">+WORLDCUP!BD61</f>
        <v>Paraguay</v>
      </c>
      <c r="G494" s="9" t="str">
        <f ca="1">+WORLDCUP!BD58</f>
        <v>Sudáfrica</v>
      </c>
      <c r="H494" s="9" t="str">
        <f ca="1">+WORLDCUP!BD63</f>
        <v>Japón</v>
      </c>
      <c r="I494" s="9" t="str">
        <f ca="1">+WORLDCUP!BD62</f>
        <v>Ecuador</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Egipto</v>
      </c>
      <c r="E495" s="9" t="str">
        <f ca="1">+WORLDCUP!BD59</f>
        <v>Bosnia y Herzegovina</v>
      </c>
      <c r="F495" s="9" t="str">
        <f ca="1">+WORLDCUP!BD61</f>
        <v>Paraguay</v>
      </c>
      <c r="G495" s="9" t="str">
        <f ca="1">+WORLDCUP!BD58</f>
        <v>Sudáfrica</v>
      </c>
      <c r="H495" s="9" t="str">
        <f ca="1">+WORLDCUP!BD63</f>
        <v>Japón</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Bosnia y Herzegovina</v>
      </c>
      <c r="F496" s="9" t="str">
        <f ca="1">+WORLDCUP!BD60</f>
        <v>Escocia</v>
      </c>
      <c r="G496" s="9" t="str">
        <f ca="1">+WORLDCUP!BD58</f>
        <v>Sudáfrica</v>
      </c>
      <c r="H496" s="9" t="str">
        <f ca="1">+WORLDCUP!BD63</f>
        <v>Japón</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3">
        <v>#VALUE!</v>
      </c>
      <c r="Y87" s="9">
        <v>3.5</v>
      </c>
      <c r="Z87" s="6"/>
      <c r="AA87" s="6"/>
      <c r="AB87" s="6"/>
    </row>
    <row r="88" spans="12:28">
      <c r="L88" s="3"/>
      <c r="M88" s="3"/>
      <c r="N88" s="3"/>
      <c r="O88" s="6"/>
      <c r="P88" s="6"/>
      <c r="Q88" s="6"/>
      <c r="R88" s="6"/>
      <c r="T88" s="16" t="s">
        <v>1479</v>
      </c>
      <c r="U88" s="9" t="s">
        <v>1464</v>
      </c>
      <c r="V88" s="9" t="s">
        <v>1465</v>
      </c>
      <c r="W88" s="9" t="s">
        <v>1466</v>
      </c>
      <c r="X88" s="560" t="e" vm="4">
        <v>#VALUE!</v>
      </c>
      <c r="Y88" s="9">
        <v>4</v>
      </c>
      <c r="Z88" s="6"/>
      <c r="AA88" s="6"/>
      <c r="AB88" s="6"/>
    </row>
    <row r="89" spans="12:28" ht="15.6">
      <c r="L89" s="3"/>
      <c r="M89" s="3"/>
      <c r="N89" s="3"/>
      <c r="O89" s="6"/>
      <c r="P89" s="6"/>
      <c r="Q89" s="6"/>
      <c r="R89" s="6"/>
      <c r="T89" s="16" t="s">
        <v>1480</v>
      </c>
      <c r="U89" s="9" t="s">
        <v>1467</v>
      </c>
      <c r="V89" s="9" t="s">
        <v>1467</v>
      </c>
      <c r="W89" s="561" t="s">
        <v>1469</v>
      </c>
      <c r="X89" s="560" t="e" vm="5">
        <v>#VALUE!</v>
      </c>
      <c r="Y89" s="9">
        <v>-4</v>
      </c>
      <c r="Z89" s="6"/>
      <c r="AA89" s="6"/>
      <c r="AB89" s="6"/>
    </row>
    <row r="90" spans="12:28" ht="15.6">
      <c r="L90" s="3"/>
      <c r="M90" s="3"/>
      <c r="N90" s="3"/>
      <c r="O90" s="6"/>
      <c r="P90" s="6"/>
      <c r="Q90" s="6"/>
      <c r="R90" s="6"/>
      <c r="T90" s="16" t="s">
        <v>1481</v>
      </c>
      <c r="U90" s="9" t="s">
        <v>1468</v>
      </c>
      <c r="V90" s="9" t="s">
        <v>1471</v>
      </c>
      <c r="W90" s="562" t="s">
        <v>1470</v>
      </c>
      <c r="X90" s="560" t="e" vm="6">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7">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8">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9">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10">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11">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12">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3">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14">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15">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16">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17">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18">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19">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20">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1">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22">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23">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24">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5">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6">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27">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8">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29">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30">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1">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2">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33">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34">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35">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36">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7">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38">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9">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40">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41">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2">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43">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44">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5">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46">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47">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48">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49">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50">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51">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52">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53">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54">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Juan Carlos Ruiz Fernández</cp:lastModifiedBy>
  <cp:lastPrinted>2018-12-06T18:06:35Z</cp:lastPrinted>
  <dcterms:created xsi:type="dcterms:W3CDTF">2015-10-31T09:41:54Z</dcterms:created>
  <dcterms:modified xsi:type="dcterms:W3CDTF">2026-06-07T10:41:46Z</dcterms:modified>
</cp:coreProperties>
</file>