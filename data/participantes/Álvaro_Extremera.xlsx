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alvar\Downloads\"/>
    </mc:Choice>
  </mc:AlternateContent>
  <xr:revisionPtr revIDLastSave="0" documentId="13_ncr:1_{6DC74024-9DC6-45B9-B8C9-241C519CE7E6}" xr6:coauthVersionLast="47" xr6:coauthVersionMax="47" xr10:uidLastSave="{00000000-0000-0000-0000-000000000000}"/>
  <bookViews>
    <workbookView xWindow="28680" yWindow="-120" windowWidth="29040" windowHeight="1572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BW28" i="3" s="1"/>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BW43" i="3" s="1"/>
  <c r="E77" i="3"/>
  <c r="F78" i="3"/>
  <c r="E61" i="3"/>
  <c r="F62" i="3"/>
  <c r="F64" i="3"/>
  <c r="F72" i="3"/>
  <c r="E68" i="3"/>
  <c r="E70" i="3"/>
  <c r="BU34" i="3" l="1"/>
  <c r="BU26"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53" i="3" l="1"/>
  <c r="BX26" i="3"/>
  <c r="BX42" i="3"/>
  <c r="BX38"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I76" i="3"/>
  <c r="I52" i="3"/>
  <c r="H86" i="3"/>
  <c r="I55" i="3"/>
  <c r="H84" i="3"/>
  <c r="I21" i="3"/>
  <c r="CA16" i="3" s="1"/>
  <c r="CB26" i="3"/>
  <c r="CA26" i="3"/>
  <c r="CB44" i="3" l="1"/>
  <c r="CB19" i="3"/>
  <c r="CB14" i="3"/>
  <c r="CB17" i="3"/>
  <c r="CC17" i="3" s="1"/>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4" i="3" l="1"/>
  <c r="CC19" i="3"/>
  <c r="CC14"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7" i="3" l="1"/>
  <c r="CF45" i="3"/>
  <c r="CF14" i="3"/>
  <c r="CF22"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H40" i="3"/>
  <c r="CK40" i="3" s="1"/>
  <c r="CH11" i="3"/>
  <c r="O12" i="3" s="1"/>
  <c r="CH14" i="3"/>
  <c r="CH13" i="3"/>
  <c r="O13" i="3" s="1"/>
  <c r="O94" i="3" l="1"/>
  <c r="O64" i="3"/>
  <c r="CI35" i="3" s="1"/>
  <c r="N79" i="3"/>
  <c r="O93" i="3"/>
  <c r="N95" i="3"/>
  <c r="N96" i="3"/>
  <c r="O47" i="3"/>
  <c r="N61" i="3"/>
  <c r="O97" i="3"/>
  <c r="O44" i="3"/>
  <c r="N56" i="3"/>
  <c r="O95" i="3"/>
  <c r="CI51" i="3"/>
  <c r="N29" i="3"/>
  <c r="CJ50" i="3"/>
  <c r="CI22" i="3"/>
  <c r="O55" i="3"/>
  <c r="O33" i="3"/>
  <c r="CJ19" i="3" s="1"/>
  <c r="N9" i="3"/>
  <c r="N36" i="3"/>
  <c r="O41" i="3"/>
  <c r="O4" i="3"/>
  <c r="O69" i="3"/>
  <c r="N72" i="3"/>
  <c r="O30" i="3"/>
  <c r="N32" i="3"/>
  <c r="CJ18" i="3" s="1"/>
  <c r="N7" i="3"/>
  <c r="O29" i="3"/>
  <c r="N49" i="3"/>
  <c r="N52" i="3"/>
  <c r="N54" i="3"/>
  <c r="N37" i="3"/>
  <c r="N8" i="3"/>
  <c r="CI6" i="3" s="1"/>
  <c r="CK41" i="3"/>
  <c r="O52" i="3"/>
  <c r="CK30" i="3" s="1"/>
  <c r="N97" i="3"/>
  <c r="O77" i="3"/>
  <c r="N80" i="3"/>
  <c r="N55" i="3"/>
  <c r="CI31" i="3" s="1"/>
  <c r="N81" i="3"/>
  <c r="N84" i="3"/>
  <c r="O5" i="3"/>
  <c r="CK8" i="3" s="1"/>
  <c r="N47" i="3"/>
  <c r="CK46" i="3"/>
  <c r="CI33" i="3"/>
  <c r="O53" i="3"/>
  <c r="O79" i="3"/>
  <c r="CI45" i="3" s="1"/>
  <c r="N6" i="3"/>
  <c r="N86" i="3"/>
  <c r="O32" i="3"/>
  <c r="CI12" i="3"/>
  <c r="CI43" i="3"/>
  <c r="N88" i="3"/>
  <c r="N30" i="3"/>
  <c r="CI25" i="3"/>
  <c r="CK6" i="3"/>
  <c r="CK18" i="3"/>
  <c r="CI18" i="3"/>
  <c r="CK25" i="3"/>
  <c r="N73" i="3"/>
  <c r="CI34" i="3"/>
  <c r="N15" i="3"/>
  <c r="CI11" i="3"/>
  <c r="O96" i="3"/>
  <c r="CJ53" i="3" s="1"/>
  <c r="CL53" i="3" s="1"/>
  <c r="N68" i="3"/>
  <c r="CK50" i="3"/>
  <c r="O40" i="3"/>
  <c r="O15" i="3"/>
  <c r="N65" i="3"/>
  <c r="O9" i="3"/>
  <c r="CI23" i="3"/>
  <c r="O36" i="3"/>
  <c r="CJ22" i="3" s="1"/>
  <c r="O61" i="3"/>
  <c r="CJ36" i="3" s="1"/>
  <c r="CI8" i="3"/>
  <c r="CI47" i="3"/>
  <c r="N13" i="3"/>
  <c r="O68" i="3"/>
  <c r="O57" i="3"/>
  <c r="O65" i="3"/>
  <c r="CK37" i="3" s="1"/>
  <c r="N40" i="3"/>
  <c r="O31" i="3"/>
  <c r="CJ21" i="3" s="1"/>
  <c r="N92" i="3"/>
  <c r="CK51" i="3" s="1"/>
  <c r="CK12" i="3"/>
  <c r="N77" i="3"/>
  <c r="CI19" i="3"/>
  <c r="CI50" i="3"/>
  <c r="O25" i="3"/>
  <c r="O37" i="3"/>
  <c r="CI24" i="3" s="1"/>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N85" i="3"/>
  <c r="N44" i="3"/>
  <c r="CK27" i="3" s="1"/>
  <c r="N12" i="3"/>
  <c r="O54" i="3"/>
  <c r="CI30" i="3" s="1"/>
  <c r="O89" i="3"/>
  <c r="O56" i="3"/>
  <c r="N24" i="3"/>
  <c r="O46" i="3"/>
  <c r="CI28" i="3"/>
  <c r="O21" i="3"/>
  <c r="CI16" i="3" s="1"/>
  <c r="N45" i="3"/>
  <c r="CK29" i="3" s="1"/>
  <c r="CK32" i="3"/>
  <c r="N16" i="3"/>
  <c r="CI48" i="3"/>
  <c r="CK26" i="3"/>
  <c r="CJ48" i="3"/>
  <c r="O20" i="3"/>
  <c r="N33" i="3"/>
  <c r="CK10" i="3"/>
  <c r="N69" i="3"/>
  <c r="O73" i="3"/>
  <c r="O60" i="3"/>
  <c r="CK34" i="3" s="1"/>
  <c r="O63" i="3"/>
  <c r="CI40" i="3"/>
  <c r="O70" i="3"/>
  <c r="CK17" i="3"/>
  <c r="N22" i="3"/>
  <c r="CK42" i="3"/>
  <c r="N78" i="3"/>
  <c r="CK44" i="3" s="1"/>
  <c r="O81" i="3"/>
  <c r="CI13" i="3"/>
  <c r="N14" i="3"/>
  <c r="CK13" i="3"/>
  <c r="N23" i="3"/>
  <c r="N20" i="3"/>
  <c r="CK15" i="3" s="1"/>
  <c r="O24" i="3"/>
  <c r="N17" i="3"/>
  <c r="O14" i="3"/>
  <c r="CK33" i="3"/>
  <c r="CK53" i="3"/>
  <c r="CK49" i="3"/>
  <c r="CK31" i="3"/>
  <c r="CK48" i="3" l="1"/>
  <c r="CI26" i="3"/>
  <c r="CI49" i="3"/>
  <c r="CK47" i="3"/>
  <c r="CI44" i="3"/>
  <c r="CI39" i="3"/>
  <c r="CI37" i="3"/>
  <c r="CK36" i="3"/>
  <c r="CI27" i="3"/>
  <c r="CK24" i="3"/>
  <c r="CK23" i="3"/>
  <c r="CK21" i="3"/>
  <c r="CK11" i="3"/>
  <c r="CI21" i="3"/>
  <c r="CI20" i="3"/>
  <c r="CK20" i="3"/>
  <c r="CI14" i="3"/>
  <c r="CI10" i="3"/>
  <c r="CI15" i="3"/>
  <c r="CK45" i="3"/>
  <c r="CK43" i="3"/>
  <c r="CI36" i="3"/>
  <c r="CL36" i="3" s="1"/>
  <c r="CK14" i="3"/>
  <c r="CK22" i="3"/>
  <c r="CI9" i="3"/>
  <c r="CL9" i="3" s="1"/>
  <c r="CI7" i="3"/>
  <c r="CL50" i="3"/>
  <c r="CL22" i="3"/>
  <c r="CJ30" i="3"/>
  <c r="CL30" i="3" s="1"/>
  <c r="CJ32" i="3"/>
  <c r="CL32" i="3" s="1"/>
  <c r="CJ52" i="3"/>
  <c r="CL52" i="3" s="1"/>
  <c r="CJ40" i="3"/>
  <c r="CL40" i="3" s="1"/>
  <c r="CJ26" i="3"/>
  <c r="CJ51" i="3"/>
  <c r="CL51" i="3" s="1"/>
  <c r="CJ45" i="3"/>
  <c r="CL45" i="3" s="1"/>
  <c r="CJ42" i="3"/>
  <c r="CL42" i="3" s="1"/>
  <c r="CL48" i="3"/>
  <c r="CJ47" i="3"/>
  <c r="CL47" i="3" s="1"/>
  <c r="CJ13" i="3"/>
  <c r="CL13" i="3" s="1"/>
  <c r="CJ44" i="3"/>
  <c r="CJ49" i="3"/>
  <c r="CL43" i="3"/>
  <c r="CJ46" i="3"/>
  <c r="CL46" i="3" s="1"/>
  <c r="CJ38" i="3"/>
  <c r="CL38" i="3" s="1"/>
  <c r="CJ33" i="3"/>
  <c r="CL33" i="3" s="1"/>
  <c r="CJ35" i="3"/>
  <c r="CL35" i="3" s="1"/>
  <c r="CJ31" i="3"/>
  <c r="CL31" i="3" s="1"/>
  <c r="CJ34" i="3"/>
  <c r="CL34" i="3" s="1"/>
  <c r="CL28" i="3"/>
  <c r="CJ17" i="3"/>
  <c r="CL17" i="3" s="1"/>
  <c r="CJ24" i="3"/>
  <c r="CL24" i="3" s="1"/>
  <c r="CJ11" i="3"/>
  <c r="CL11" i="3" s="1"/>
  <c r="CJ20" i="3"/>
  <c r="CJ15" i="3"/>
  <c r="CJ14" i="3"/>
  <c r="CL19" i="3"/>
  <c r="CJ16" i="3"/>
  <c r="CL16" i="3" s="1"/>
  <c r="CL18" i="3"/>
  <c r="CK9" i="3"/>
  <c r="CJ10" i="3"/>
  <c r="CJ12" i="3"/>
  <c r="CL12" i="3" s="1"/>
  <c r="CJ25" i="3"/>
  <c r="CL25" i="3" s="1"/>
  <c r="CJ8" i="3"/>
  <c r="CL8" i="3" s="1"/>
  <c r="CJ6" i="3"/>
  <c r="CL6" i="3" s="1"/>
  <c r="CJ7" i="3"/>
  <c r="CJ23" i="3"/>
  <c r="CL23" i="3" s="1"/>
  <c r="CJ37" i="3"/>
  <c r="CJ39" i="3"/>
  <c r="CJ41" i="3"/>
  <c r="CL41" i="3" s="1"/>
  <c r="CJ29" i="3"/>
  <c r="CL29" i="3" s="1"/>
  <c r="CJ27" i="3"/>
  <c r="CL26" i="3" l="1"/>
  <c r="CL44" i="3"/>
  <c r="CL49" i="3"/>
  <c r="CL39" i="3"/>
  <c r="CL37" i="3"/>
  <c r="CL27" i="3"/>
  <c r="CL20" i="3"/>
  <c r="CL14" i="3"/>
  <c r="CL21" i="3"/>
  <c r="CL15" i="3"/>
  <c r="CL10" i="3"/>
  <c r="CL7" i="3"/>
  <c r="CM48" i="3"/>
  <c r="CM43" i="3"/>
  <c r="CM52" i="3"/>
  <c r="CM51" i="3" l="1"/>
  <c r="CM38" i="3"/>
  <c r="CM53" i="3"/>
  <c r="CM40" i="3"/>
  <c r="CM49" i="3"/>
  <c r="CM44" i="3"/>
  <c r="CM41" i="3"/>
  <c r="CM35" i="3"/>
  <c r="CM42" i="3"/>
  <c r="CM30" i="3"/>
  <c r="CM36" i="3"/>
  <c r="CM37" i="3"/>
  <c r="CM33" i="3"/>
  <c r="CM28" i="3"/>
  <c r="CM23" i="3"/>
  <c r="CM19" i="3"/>
  <c r="CM20" i="3"/>
  <c r="CM14" i="3"/>
  <c r="CM15" i="3"/>
  <c r="CM16" i="3"/>
  <c r="CM13" i="3"/>
  <c r="CM45" i="3"/>
  <c r="CM47" i="3"/>
  <c r="CM21" i="3"/>
  <c r="CM18" i="3"/>
  <c r="CM12" i="3"/>
  <c r="CM27" i="3"/>
  <c r="CM50" i="3"/>
  <c r="CM46" i="3"/>
  <c r="CM34" i="3"/>
  <c r="CM22" i="3"/>
  <c r="CM24" i="3"/>
  <c r="CM10" i="3"/>
  <c r="CM32" i="3"/>
  <c r="CM9" i="3"/>
  <c r="CM8" i="3"/>
  <c r="CM7" i="3"/>
  <c r="CM6" i="3"/>
  <c r="CM39" i="3"/>
  <c r="CM17" i="3"/>
  <c r="CM31" i="3"/>
  <c r="CM26" i="3"/>
  <c r="CM11" i="3"/>
  <c r="CM29" i="3"/>
  <c r="CM25" i="3"/>
  <c r="CN11" i="3" l="1"/>
  <c r="Q17" i="3" s="1"/>
  <c r="CN25" i="3"/>
  <c r="Q39" i="3" s="1"/>
  <c r="CN36" i="3"/>
  <c r="R64" i="3" s="1"/>
  <c r="CN48" i="3"/>
  <c r="Q85" i="3" s="1"/>
  <c r="CN33" i="3"/>
  <c r="Q57" i="3" s="1"/>
  <c r="CN32" i="3"/>
  <c r="Q53" i="3" s="1"/>
  <c r="CN43" i="3"/>
  <c r="R76" i="3" s="1"/>
  <c r="CN47" i="3"/>
  <c r="Q89" i="3" s="1"/>
  <c r="CN38" i="3"/>
  <c r="Q70" i="3" s="1"/>
  <c r="CN21" i="3"/>
  <c r="Q32" i="3" s="1"/>
  <c r="CN51" i="3"/>
  <c r="R92" i="3" s="1"/>
  <c r="CN26" i="3"/>
  <c r="Q44" i="3" s="1"/>
  <c r="CN37" i="3"/>
  <c r="R61" i="3" s="1"/>
  <c r="CN7" i="3"/>
  <c r="R4" i="3" s="1"/>
  <c r="CN49" i="3"/>
  <c r="Q87" i="3" s="1"/>
  <c r="CN14" i="3"/>
  <c r="Q20" i="3" s="1"/>
  <c r="CN13" i="3"/>
  <c r="R13" i="3" s="1"/>
  <c r="CN23" i="3"/>
  <c r="R36" i="3" s="1"/>
  <c r="CN50" i="3"/>
  <c r="Q94" i="3" s="1"/>
  <c r="CN46" i="3"/>
  <c r="Q84" i="3" s="1"/>
  <c r="CN44" i="3"/>
  <c r="Q77" i="3" s="1"/>
  <c r="CN19" i="3"/>
  <c r="Q33" i="3" s="1"/>
  <c r="CN52" i="3"/>
  <c r="R97" i="3" s="1"/>
  <c r="CN28" i="3"/>
  <c r="R46" i="3" s="1"/>
  <c r="CN17" i="3"/>
  <c r="Q24" i="3" s="1"/>
  <c r="CN24" i="3"/>
  <c r="Q37" i="3" s="1"/>
  <c r="CN42" i="3"/>
  <c r="Q76" i="3" s="1"/>
  <c r="CN16" i="3"/>
  <c r="R25" i="3" s="1"/>
  <c r="CN40" i="3"/>
  <c r="R73" i="3" s="1"/>
  <c r="CN41" i="3"/>
  <c r="Q71" i="3" s="1"/>
  <c r="CN22" i="3"/>
  <c r="Q36" i="3" s="1"/>
  <c r="CN45" i="3"/>
  <c r="Q79" i="3" s="1"/>
  <c r="CN10" i="3"/>
  <c r="Q15" i="3" s="1"/>
  <c r="CN12" i="3"/>
  <c r="R15" i="3" s="1"/>
  <c r="CN9" i="3"/>
  <c r="Q6" i="3" s="1"/>
  <c r="CN8" i="3"/>
  <c r="Q5" i="3" s="1"/>
  <c r="CN31" i="3"/>
  <c r="R52" i="3" s="1"/>
  <c r="CN15" i="3"/>
  <c r="Q25" i="3" s="1"/>
  <c r="CN34" i="3"/>
  <c r="R65" i="3" s="1"/>
  <c r="CN53" i="3"/>
  <c r="Q95" i="3" s="1"/>
  <c r="CN30" i="3"/>
  <c r="R57" i="3" s="1"/>
  <c r="CN20" i="3"/>
  <c r="R33" i="3" s="1"/>
  <c r="CN6" i="3"/>
  <c r="Q7" i="3" s="1"/>
  <c r="CN39" i="3"/>
  <c r="R71" i="3" s="1"/>
  <c r="CN29" i="3"/>
  <c r="Q47" i="3" s="1"/>
  <c r="CN35" i="3"/>
  <c r="R63" i="3" s="1"/>
  <c r="CN27" i="3"/>
  <c r="R47" i="3" s="1"/>
  <c r="CN18" i="3"/>
  <c r="Q28" i="3" s="1"/>
  <c r="Q97" i="3" l="1"/>
  <c r="R96" i="3"/>
  <c r="Q96" i="3"/>
  <c r="R95" i="3"/>
  <c r="R94" i="3"/>
  <c r="Q93" i="3"/>
  <c r="R93" i="3"/>
  <c r="Q92" i="3"/>
  <c r="R89" i="3"/>
  <c r="R88" i="3"/>
  <c r="Q88" i="3"/>
  <c r="R87" i="3"/>
  <c r="R86" i="3"/>
  <c r="Q86" i="3"/>
  <c r="R85" i="3"/>
  <c r="R84" i="3"/>
  <c r="R81" i="3"/>
  <c r="Q81" i="3"/>
  <c r="R80" i="3"/>
  <c r="Q80" i="3"/>
  <c r="R79" i="3"/>
  <c r="Q78" i="3"/>
  <c r="R78" i="3"/>
  <c r="R77" i="3"/>
  <c r="Q72" i="3"/>
  <c r="R72" i="3"/>
  <c r="Q73" i="3"/>
  <c r="Q69" i="3"/>
  <c r="R70" i="3"/>
  <c r="R69" i="3"/>
  <c r="Q68" i="3"/>
  <c r="R68" i="3"/>
  <c r="Q65" i="3"/>
  <c r="Q64" i="3"/>
  <c r="Q63" i="3"/>
  <c r="Q62" i="3"/>
  <c r="R62" i="3"/>
  <c r="Q60" i="3"/>
  <c r="Q61" i="3"/>
  <c r="R60" i="3"/>
  <c r="R56" i="3"/>
  <c r="Q56" i="3"/>
  <c r="Q55" i="3"/>
  <c r="R55" i="3"/>
  <c r="R54" i="3"/>
  <c r="Q54" i="3"/>
  <c r="R53" i="3"/>
  <c r="Q52" i="3"/>
  <c r="R49" i="3"/>
  <c r="Q49" i="3"/>
  <c r="R48" i="3"/>
  <c r="Q48" i="3"/>
  <c r="Q46" i="3"/>
  <c r="Q45" i="3"/>
  <c r="R45" i="3"/>
  <c r="Q41" i="3"/>
  <c r="R44" i="3"/>
  <c r="R41" i="3"/>
  <c r="R40" i="3"/>
  <c r="Q40" i="3"/>
  <c r="R39" i="3"/>
  <c r="R37" i="3"/>
  <c r="R38" i="3"/>
  <c r="Q38" i="3"/>
  <c r="R32" i="3"/>
  <c r="R31" i="3"/>
  <c r="Q31" i="3"/>
  <c r="Q30" i="3"/>
  <c r="R30" i="3"/>
  <c r="R29" i="3"/>
  <c r="Q29" i="3"/>
  <c r="R28" i="3"/>
  <c r="R24" i="3"/>
  <c r="Q23" i="3"/>
  <c r="R23" i="3"/>
  <c r="Q22" i="3"/>
  <c r="R22" i="3"/>
  <c r="R12" i="3"/>
  <c r="R14" i="3"/>
  <c r="Q21" i="3"/>
  <c r="R21" i="3"/>
  <c r="R20" i="3"/>
  <c r="R17" i="3"/>
  <c r="Q16" i="3"/>
  <c r="R16" i="3"/>
  <c r="Q14" i="3"/>
  <c r="Q13" i="3"/>
  <c r="Q12" i="3"/>
  <c r="Q9" i="3"/>
  <c r="Q8" i="3"/>
  <c r="R8" i="3"/>
  <c r="R9" i="3"/>
  <c r="R7" i="3"/>
  <c r="R6" i="3"/>
  <c r="R5" i="3"/>
  <c r="Q4" i="3"/>
  <c r="CP43" i="3"/>
  <c r="CP23" i="3"/>
  <c r="CP33" i="3"/>
  <c r="CP39" i="3"/>
  <c r="CO53" i="3"/>
  <c r="CO19" i="3"/>
  <c r="CP12" i="3"/>
  <c r="CP51" i="3"/>
  <c r="CP50" i="3"/>
  <c r="CP42" i="3"/>
  <c r="CO9" i="3"/>
  <c r="CP30" i="3"/>
  <c r="CP53" i="3"/>
  <c r="CO30" i="3"/>
  <c r="CO12" i="3"/>
  <c r="CO43" i="3"/>
  <c r="CP36" i="3"/>
  <c r="CO23" i="3"/>
  <c r="CP49" i="3"/>
  <c r="CP35" i="3"/>
  <c r="CP34" i="3"/>
  <c r="CO37" i="3"/>
  <c r="CO50" i="3"/>
  <c r="CP40" i="3"/>
  <c r="CO46" i="3"/>
  <c r="CP24" i="3"/>
  <c r="CO40" i="3"/>
  <c r="CO49" i="3"/>
  <c r="CP31" i="3"/>
  <c r="CP32" i="3"/>
  <c r="CP16" i="3"/>
  <c r="CO42" i="3"/>
  <c r="CO31" i="3"/>
  <c r="CO32" i="3"/>
  <c r="CP28" i="3"/>
  <c r="CP17" i="3"/>
  <c r="CO28" i="3"/>
  <c r="CP9" i="3"/>
  <c r="CP13" i="3"/>
  <c r="CO17" i="3"/>
  <c r="CO16" i="3"/>
  <c r="CP19" i="3"/>
  <c r="CO13" i="3"/>
  <c r="CO7" i="3"/>
  <c r="CO6" i="3"/>
  <c r="CP6" i="3"/>
  <c r="CP8" i="3"/>
  <c r="CP7" i="3"/>
  <c r="CP52" i="3"/>
  <c r="CO52" i="3"/>
  <c r="CO41" i="3"/>
  <c r="CO29" i="3"/>
  <c r="CP29" i="3"/>
  <c r="CO51" i="3"/>
  <c r="CO33" i="3"/>
  <c r="CP41" i="3"/>
  <c r="CO36" i="3"/>
  <c r="CP47" i="3" l="1"/>
  <c r="CO48" i="3"/>
  <c r="CO47" i="3"/>
  <c r="CP46" i="3"/>
  <c r="CP48" i="3"/>
  <c r="CO45" i="3"/>
  <c r="CP45" i="3"/>
  <c r="CO44" i="3"/>
  <c r="CP44" i="3"/>
  <c r="CP38" i="3"/>
  <c r="CO38" i="3"/>
  <c r="CO39" i="3"/>
  <c r="CP37" i="3"/>
  <c r="CO35" i="3"/>
  <c r="CO34" i="3"/>
  <c r="CO26" i="3"/>
  <c r="CO27" i="3"/>
  <c r="CP27" i="3"/>
  <c r="CP26" i="3"/>
  <c r="CP22" i="3"/>
  <c r="CO24" i="3"/>
  <c r="CO22" i="3"/>
  <c r="CP25" i="3"/>
  <c r="CO25" i="3"/>
  <c r="CO15" i="3"/>
  <c r="CO18" i="3"/>
  <c r="CP20" i="3"/>
  <c r="CO21" i="3"/>
  <c r="CP15" i="3"/>
  <c r="CP21" i="3"/>
  <c r="CP18" i="3"/>
  <c r="CP14" i="3"/>
  <c r="CO20" i="3"/>
  <c r="CO14" i="3"/>
  <c r="CO10" i="3"/>
  <c r="CP10" i="3"/>
  <c r="CO11" i="3"/>
  <c r="CP11" i="3"/>
  <c r="CO8" i="3"/>
  <c r="CQ42" i="3"/>
  <c r="CQ50" i="3"/>
  <c r="CQ19" i="3"/>
  <c r="CQ43" i="3"/>
  <c r="CQ23" i="3"/>
  <c r="CQ30" i="3"/>
  <c r="CQ9" i="3"/>
  <c r="CQ12" i="3"/>
  <c r="CQ53" i="3"/>
  <c r="CQ51" i="3"/>
  <c r="CQ33" i="3"/>
  <c r="CQ36" i="3"/>
  <c r="CQ49" i="3"/>
  <c r="CQ16" i="3"/>
  <c r="CQ40" i="3"/>
  <c r="CQ31" i="3"/>
  <c r="CQ32" i="3"/>
  <c r="CQ28" i="3"/>
  <c r="CQ13" i="3"/>
  <c r="CQ17" i="3"/>
  <c r="CQ7" i="3"/>
  <c r="CQ6" i="3"/>
  <c r="CQ41" i="3"/>
  <c r="CQ52" i="3"/>
  <c r="CQ29" i="3"/>
  <c r="CQ47" i="3" l="1"/>
  <c r="CQ46" i="3"/>
  <c r="CQ48" i="3"/>
  <c r="CQ45" i="3"/>
  <c r="CQ44" i="3"/>
  <c r="CQ39" i="3"/>
  <c r="CQ38" i="3"/>
  <c r="CQ35" i="3"/>
  <c r="CQ37" i="3"/>
  <c r="CQ34" i="3"/>
  <c r="CQ27" i="3"/>
  <c r="CQ26" i="3"/>
  <c r="CQ22" i="3"/>
  <c r="CQ24" i="3"/>
  <c r="CQ25" i="3"/>
  <c r="CQ15" i="3"/>
  <c r="CQ21" i="3"/>
  <c r="CQ18" i="3"/>
  <c r="CQ20" i="3"/>
  <c r="CQ14" i="3"/>
  <c r="CQ10" i="3"/>
  <c r="CQ11" i="3"/>
  <c r="CQ8" i="3"/>
  <c r="CR53" i="3"/>
  <c r="CR49" i="3"/>
  <c r="CR32" i="3"/>
  <c r="CR52" i="3"/>
  <c r="CR51" i="3" l="1"/>
  <c r="CR50" i="3"/>
  <c r="CR40" i="3"/>
  <c r="CR46" i="3"/>
  <c r="CR48" i="3"/>
  <c r="CR47" i="3"/>
  <c r="CR45" i="3"/>
  <c r="CR43" i="3"/>
  <c r="CR42" i="3"/>
  <c r="CR44" i="3"/>
  <c r="CR41" i="3"/>
  <c r="CR31" i="3"/>
  <c r="CR38" i="3"/>
  <c r="CR39" i="3"/>
  <c r="CR33" i="3"/>
  <c r="CR36" i="3"/>
  <c r="CR34" i="3"/>
  <c r="CR37" i="3"/>
  <c r="CR35" i="3"/>
  <c r="CR30" i="3"/>
  <c r="CR27" i="3"/>
  <c r="CR29" i="3"/>
  <c r="CR22" i="3"/>
  <c r="CR26" i="3"/>
  <c r="CR28" i="3"/>
  <c r="CR24" i="3"/>
  <c r="CR23" i="3"/>
  <c r="CR25" i="3"/>
  <c r="CR15" i="3"/>
  <c r="CR16" i="3"/>
  <c r="CR12" i="3"/>
  <c r="CR9" i="3"/>
  <c r="CR6" i="3"/>
  <c r="CR21" i="3"/>
  <c r="CR20" i="3"/>
  <c r="CR18" i="3"/>
  <c r="CR19" i="3"/>
  <c r="CR17" i="3"/>
  <c r="CR14" i="3"/>
  <c r="CR11" i="3"/>
  <c r="CR13" i="3"/>
  <c r="CR10" i="3"/>
  <c r="CR7" i="3"/>
  <c r="CR8" i="3"/>
  <c r="CS46" i="3" l="1"/>
  <c r="U88" i="3" s="1"/>
  <c r="CS30" i="3"/>
  <c r="T52" i="3" s="1"/>
  <c r="CS10" i="3"/>
  <c r="T15" i="3" s="1"/>
  <c r="CS47" i="3"/>
  <c r="U84" i="3" s="1"/>
  <c r="CS16" i="3"/>
  <c r="U23" i="3" s="1"/>
  <c r="CS13" i="3"/>
  <c r="T14" i="3" s="1"/>
  <c r="CS35" i="3"/>
  <c r="U63" i="3" s="1"/>
  <c r="CS39" i="3"/>
  <c r="U71" i="3" s="1"/>
  <c r="CS25" i="3"/>
  <c r="T39" i="3" s="1"/>
  <c r="CS7" i="3"/>
  <c r="U4" i="3" s="1"/>
  <c r="CS49" i="3"/>
  <c r="U85" i="3" s="1"/>
  <c r="CS11" i="3"/>
  <c r="T17" i="3" s="1"/>
  <c r="CS32" i="3"/>
  <c r="U56" i="3" s="1"/>
  <c r="CS42" i="3"/>
  <c r="T78" i="3" s="1"/>
  <c r="CS45" i="3"/>
  <c r="T79" i="3" s="1"/>
  <c r="CS40" i="3"/>
  <c r="U70" i="3" s="1"/>
  <c r="CS52" i="3"/>
  <c r="T93" i="3" s="1"/>
  <c r="CS53" i="3"/>
  <c r="T95" i="3" s="1"/>
  <c r="CS15" i="3"/>
  <c r="U22" i="3" s="1"/>
  <c r="CS34" i="3"/>
  <c r="U65" i="3" s="1"/>
  <c r="CS50" i="3"/>
  <c r="T92" i="3" s="1"/>
  <c r="CS24" i="3"/>
  <c r="U40" i="3" s="1"/>
  <c r="CS29" i="3"/>
  <c r="U45" i="3" s="1"/>
  <c r="CS36" i="3"/>
  <c r="U62" i="3" s="1"/>
  <c r="CS48" i="3"/>
  <c r="U89" i="3" s="1"/>
  <c r="CS20" i="3"/>
  <c r="U30" i="3" s="1"/>
  <c r="CS51" i="3"/>
  <c r="U92" i="3" s="1"/>
  <c r="CS12" i="3"/>
  <c r="T13" i="3" s="1"/>
  <c r="CS22" i="3"/>
  <c r="T38" i="3" s="1"/>
  <c r="CS31" i="3"/>
  <c r="U55" i="3" s="1"/>
  <c r="CS37" i="3"/>
  <c r="T63" i="3" s="1"/>
  <c r="CS41" i="3"/>
  <c r="T71" i="3" s="1"/>
  <c r="CS26" i="3"/>
  <c r="T46" i="3" s="1"/>
  <c r="CS28" i="3"/>
  <c r="U48" i="3" s="1"/>
  <c r="CS23" i="3"/>
  <c r="T40" i="3" s="1"/>
  <c r="CS9" i="3"/>
  <c r="U5" i="3" s="1"/>
  <c r="CS8" i="3"/>
  <c r="U9" i="3" s="1"/>
  <c r="CS43" i="3"/>
  <c r="T80" i="3" s="1"/>
  <c r="CS17" i="3"/>
  <c r="T22" i="3" s="1"/>
  <c r="CS44" i="3"/>
  <c r="U80" i="3" s="1"/>
  <c r="CS38" i="3"/>
  <c r="T70" i="3" s="1"/>
  <c r="CS33" i="3"/>
  <c r="U53" i="3" s="1"/>
  <c r="CS27" i="3"/>
  <c r="U47" i="3" s="1"/>
  <c r="CS6" i="3"/>
  <c r="U8" i="3" s="1"/>
  <c r="CS18" i="3"/>
  <c r="T30" i="3" s="1"/>
  <c r="CS21" i="3"/>
  <c r="T31" i="3" s="1"/>
  <c r="CS19" i="3"/>
  <c r="U31" i="3" s="1"/>
  <c r="CS14" i="3"/>
  <c r="U24" i="3" s="1"/>
  <c r="T97" i="3" l="1"/>
  <c r="U97" i="3"/>
  <c r="U96" i="3"/>
  <c r="T96" i="3"/>
  <c r="U95" i="3"/>
  <c r="T94" i="3"/>
  <c r="U94" i="3"/>
  <c r="U93" i="3"/>
  <c r="T89" i="3"/>
  <c r="T88" i="3"/>
  <c r="U87" i="3"/>
  <c r="T87" i="3"/>
  <c r="T86" i="3"/>
  <c r="U86" i="3"/>
  <c r="T84" i="3"/>
  <c r="T85" i="3"/>
  <c r="T81" i="3"/>
  <c r="U81" i="3"/>
  <c r="U79" i="3"/>
  <c r="U78" i="3"/>
  <c r="U77" i="3"/>
  <c r="T77" i="3"/>
  <c r="T76" i="3"/>
  <c r="U76" i="3"/>
  <c r="U72" i="3"/>
  <c r="T72" i="3"/>
  <c r="U73" i="3"/>
  <c r="T73" i="3"/>
  <c r="T69" i="3"/>
  <c r="U69" i="3"/>
  <c r="U68" i="3"/>
  <c r="T68" i="3"/>
  <c r="T65" i="3"/>
  <c r="U64" i="3"/>
  <c r="T64" i="3"/>
  <c r="T62" i="3"/>
  <c r="T61" i="3"/>
  <c r="U61" i="3"/>
  <c r="U57" i="3"/>
  <c r="U60" i="3"/>
  <c r="T60" i="3"/>
  <c r="T57" i="3"/>
  <c r="T56" i="3"/>
  <c r="T55" i="3"/>
  <c r="T54" i="3"/>
  <c r="U54" i="3"/>
  <c r="T53" i="3"/>
  <c r="U52" i="3"/>
  <c r="U49" i="3"/>
  <c r="T49" i="3"/>
  <c r="T48" i="3"/>
  <c r="T47" i="3"/>
  <c r="U46" i="3"/>
  <c r="T45" i="3"/>
  <c r="T44" i="3"/>
  <c r="U44" i="3"/>
  <c r="T41" i="3"/>
  <c r="U41" i="3"/>
  <c r="U38" i="3"/>
  <c r="U39" i="3"/>
  <c r="U37" i="3"/>
  <c r="T37" i="3"/>
  <c r="T36" i="3"/>
  <c r="U36" i="3"/>
  <c r="U33" i="3"/>
  <c r="T33" i="3"/>
  <c r="U32" i="3"/>
  <c r="T32" i="3"/>
  <c r="T29" i="3"/>
  <c r="U29" i="3"/>
  <c r="T28" i="3"/>
  <c r="U28" i="3"/>
  <c r="U25" i="3"/>
  <c r="T25" i="3"/>
  <c r="T24" i="3"/>
  <c r="T23" i="3"/>
  <c r="T21" i="3"/>
  <c r="U21" i="3"/>
  <c r="T20" i="3"/>
  <c r="U20" i="3"/>
  <c r="U17" i="3"/>
  <c r="U16" i="3"/>
  <c r="T16" i="3"/>
  <c r="U15" i="3"/>
  <c r="U14" i="3"/>
  <c r="U13" i="3"/>
  <c r="T12" i="3"/>
  <c r="U12" i="3"/>
  <c r="T8" i="3"/>
  <c r="T9" i="3"/>
  <c r="U7" i="3"/>
  <c r="T7" i="3"/>
  <c r="T6" i="3"/>
  <c r="CT32" i="3"/>
  <c r="CT40" i="3"/>
  <c r="CT53" i="3"/>
  <c r="U6" i="3"/>
  <c r="CT34" i="3"/>
  <c r="CT35" i="3"/>
  <c r="T4" i="3"/>
  <c r="CT7" i="3" s="1"/>
  <c r="CT49" i="3"/>
  <c r="CT12" i="3"/>
  <c r="CT51" i="3"/>
  <c r="CT37" i="3"/>
  <c r="CT17" i="3"/>
  <c r="CT33" i="3"/>
  <c r="T5" i="3"/>
  <c r="CT28" i="3"/>
  <c r="CT31" i="3"/>
  <c r="CT19" i="3"/>
  <c r="CT21" i="3"/>
  <c r="CT6" i="3"/>
  <c r="CT46" i="3"/>
  <c r="CT42" i="3"/>
  <c r="CT20" i="3"/>
  <c r="CT18" i="3"/>
  <c r="CT16" i="3"/>
  <c r="CT13" i="3"/>
  <c r="CT41" i="3"/>
  <c r="CT52" i="3"/>
  <c r="CT29" i="3"/>
  <c r="CT36" i="3"/>
  <c r="CT8" i="3"/>
  <c r="CT50" i="3" l="1"/>
  <c r="CT48" i="3"/>
  <c r="CT47" i="3"/>
  <c r="CT45" i="3"/>
  <c r="CT44" i="3"/>
  <c r="CT43" i="3"/>
  <c r="CT38" i="3"/>
  <c r="CT39" i="3"/>
  <c r="CT27" i="3"/>
  <c r="CT30" i="3"/>
  <c r="CT26" i="3"/>
  <c r="CT22" i="3"/>
  <c r="CT25" i="3"/>
  <c r="CT24" i="3"/>
  <c r="CT23" i="3"/>
  <c r="CT15" i="3"/>
  <c r="CT14" i="3"/>
  <c r="CT11" i="3"/>
  <c r="CT10" i="3"/>
  <c r="CT9" i="3"/>
  <c r="CU53" i="3" l="1"/>
  <c r="CU50" i="3"/>
  <c r="CU52" i="3"/>
  <c r="CU51" i="3"/>
  <c r="CU47" i="3"/>
  <c r="CU48" i="3"/>
  <c r="CU49" i="3"/>
  <c r="CU46" i="3"/>
  <c r="CU36" i="3"/>
  <c r="CU43" i="3"/>
  <c r="CU44" i="3"/>
  <c r="CU45" i="3"/>
  <c r="CU42" i="3"/>
  <c r="CU35" i="3"/>
  <c r="CU40" i="3"/>
  <c r="CU41" i="3"/>
  <c r="CU38" i="3"/>
  <c r="CU39" i="3"/>
  <c r="CU34" i="3"/>
  <c r="CU37" i="3"/>
  <c r="CU32" i="3"/>
  <c r="CU33" i="3"/>
  <c r="CU31" i="3"/>
  <c r="CU30" i="3"/>
  <c r="CU28" i="3"/>
  <c r="CU29" i="3"/>
  <c r="CU27" i="3"/>
  <c r="CU26" i="3"/>
  <c r="CU24" i="3"/>
  <c r="CU20" i="3"/>
  <c r="CU22" i="3"/>
  <c r="CU25" i="3"/>
  <c r="CU23" i="3"/>
  <c r="CU18" i="3"/>
  <c r="CU21" i="3"/>
  <c r="CU19" i="3"/>
  <c r="CU15" i="3"/>
  <c r="CU14" i="3"/>
  <c r="CU17" i="3"/>
  <c r="CU16" i="3"/>
  <c r="CU8" i="3"/>
  <c r="CU13" i="3"/>
  <c r="CU12" i="3"/>
  <c r="CU10" i="3"/>
  <c r="CU11" i="3"/>
  <c r="CU7" i="3"/>
  <c r="CU6" i="3"/>
  <c r="CU9" i="3"/>
  <c r="CV28" i="3" l="1"/>
  <c r="CW28" i="3" s="1"/>
  <c r="CV8" i="3"/>
  <c r="CW8" i="3" s="1"/>
  <c r="CV25" i="3"/>
  <c r="CW25" i="3" s="1"/>
  <c r="CV10" i="3"/>
  <c r="CW10" i="3" s="1"/>
  <c r="CV51" i="3"/>
  <c r="CW51" i="3" s="1"/>
  <c r="CV45" i="3"/>
  <c r="CW45" i="3" s="1"/>
  <c r="CV49" i="3"/>
  <c r="CW49" i="3" s="1"/>
  <c r="CV35" i="3"/>
  <c r="CW35" i="3" s="1"/>
  <c r="CV18" i="3"/>
  <c r="CW18" i="3" s="1"/>
  <c r="CV13" i="3"/>
  <c r="CW13" i="3" s="1"/>
  <c r="CV24" i="3"/>
  <c r="CW24" i="3" s="1"/>
  <c r="CV16" i="3"/>
  <c r="CW16" i="3" s="1"/>
  <c r="CV38" i="3"/>
  <c r="CW38" i="3" s="1"/>
  <c r="CV47" i="3"/>
  <c r="CW47" i="3" s="1"/>
  <c r="CV48" i="3"/>
  <c r="CW48" i="3" s="1"/>
  <c r="CV33" i="3"/>
  <c r="CW33" i="3" s="1"/>
  <c r="CV9" i="3"/>
  <c r="CW9" i="3" s="1"/>
  <c r="CV7" i="3"/>
  <c r="CW7" i="3" s="1"/>
  <c r="CV44" i="3"/>
  <c r="CW44" i="3" s="1"/>
  <c r="CV20" i="3"/>
  <c r="CW20" i="3" s="1"/>
  <c r="CV52" i="3"/>
  <c r="CW52" i="3" s="1"/>
  <c r="CV12" i="3"/>
  <c r="CW12" i="3" s="1"/>
  <c r="CV29" i="3"/>
  <c r="CW29" i="3" s="1"/>
  <c r="CV46" i="3"/>
  <c r="CW46" i="3" s="1"/>
  <c r="CV37" i="3"/>
  <c r="CW37" i="3" s="1"/>
  <c r="CV31" i="3"/>
  <c r="CW31" i="3" s="1"/>
  <c r="CV39" i="3"/>
  <c r="CW39" i="3" s="1"/>
  <c r="CV50" i="3"/>
  <c r="CW50" i="3" s="1"/>
  <c r="CV15" i="3"/>
  <c r="CW15" i="3" s="1"/>
  <c r="CV6" i="3"/>
  <c r="CW6" i="3" s="1"/>
  <c r="CV53" i="3"/>
  <c r="CW53" i="3" s="1"/>
  <c r="CV43" i="3"/>
  <c r="CW43" i="3" s="1"/>
  <c r="CV32" i="3"/>
  <c r="CW32" i="3" s="1"/>
  <c r="CV40" i="3"/>
  <c r="CW40" i="3" s="1"/>
  <c r="CV34" i="3"/>
  <c r="CW34" i="3" s="1"/>
  <c r="CV27" i="3"/>
  <c r="CW27" i="3" s="1"/>
  <c r="CV17" i="3"/>
  <c r="CW17" i="3" s="1"/>
  <c r="CV42" i="3"/>
  <c r="CW42" i="3" s="1"/>
  <c r="CV36" i="3"/>
  <c r="CW36" i="3" s="1"/>
  <c r="CV19" i="3"/>
  <c r="CW19" i="3" s="1"/>
  <c r="CV30" i="3"/>
  <c r="CW30" i="3" s="1"/>
  <c r="CV11" i="3"/>
  <c r="CW11" i="3" s="1"/>
  <c r="CV26" i="3"/>
  <c r="CW26" i="3" s="1"/>
  <c r="CV22" i="3"/>
  <c r="CW22" i="3" s="1"/>
  <c r="CV21" i="3"/>
  <c r="CW21" i="3" s="1"/>
  <c r="CV23" i="3"/>
  <c r="CW23" i="3" s="1"/>
  <c r="CV14" i="3"/>
  <c r="CW14" i="3" s="1"/>
  <c r="CV41" i="3"/>
  <c r="CW41" i="3" s="1"/>
  <c r="CX14" i="3" l="1"/>
  <c r="CX13" i="3"/>
  <c r="CX44" i="3"/>
  <c r="CX52" i="3"/>
  <c r="CX22" i="3"/>
  <c r="CX42" i="3"/>
  <c r="CX46" i="3"/>
  <c r="CX33" i="3"/>
  <c r="CX27" i="3"/>
  <c r="CX37" i="3"/>
  <c r="CX28" i="3"/>
  <c r="CX26" i="3"/>
  <c r="CX20" i="3"/>
  <c r="CX40" i="3"/>
  <c r="CX41" i="3"/>
  <c r="CX47" i="3"/>
  <c r="CX15" i="3"/>
  <c r="CX6" i="3"/>
  <c r="CX31" i="3"/>
  <c r="CX10" i="3"/>
  <c r="CX43" i="3"/>
  <c r="CX51" i="3"/>
  <c r="CX36" i="3"/>
  <c r="CX19" i="3"/>
  <c r="CX39" i="3"/>
  <c r="CX24" i="3"/>
  <c r="CX50" i="3"/>
  <c r="CX35" i="3"/>
  <c r="CX34" i="3"/>
  <c r="CX18" i="3"/>
  <c r="CX7" i="3"/>
  <c r="CX32" i="3"/>
  <c r="CX8" i="3"/>
  <c r="CX48" i="3"/>
  <c r="CX53" i="3"/>
  <c r="CX23" i="3"/>
  <c r="CX25" i="3"/>
  <c r="CX21" i="3"/>
  <c r="CX16" i="3"/>
  <c r="CX12" i="3"/>
  <c r="CX30" i="3"/>
  <c r="CX49" i="3"/>
  <c r="CX38"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46" i="3"/>
  <c r="DA41" i="3"/>
  <c r="DA52" i="3"/>
  <c r="DA51" i="3"/>
  <c r="DA49" i="3"/>
  <c r="DA31" i="3"/>
  <c r="DA18" i="3"/>
  <c r="DA47" i="3"/>
  <c r="DA19" i="3"/>
  <c r="DA12" i="3"/>
  <c r="DA13" i="3"/>
  <c r="DA39" i="3"/>
  <c r="DA43" i="3"/>
  <c r="DA15" i="3"/>
  <c r="DA26" i="3"/>
  <c r="DA40" i="3"/>
  <c r="DA32" i="3"/>
  <c r="DA14" i="3"/>
  <c r="DA16" i="3"/>
  <c r="DA28" i="3"/>
  <c r="DA34" i="3"/>
  <c r="DA24" i="3"/>
  <c r="DA45" i="3"/>
  <c r="DA10" i="3"/>
  <c r="DA30" i="3"/>
  <c r="DA25" i="3"/>
  <c r="DA17" i="3"/>
  <c r="DA42" i="3"/>
  <c r="DA48" i="3"/>
  <c r="DA6" i="3"/>
  <c r="DA36" i="3"/>
  <c r="DA20" i="3"/>
  <c r="DA21" i="3"/>
  <c r="DA37" i="3"/>
  <c r="DA33" i="3"/>
  <c r="DA44" i="3"/>
  <c r="DA29" i="3"/>
  <c r="DA7" i="3"/>
  <c r="DA22" i="3"/>
  <c r="DA38" i="3"/>
  <c r="DA9" i="3"/>
  <c r="DA11" i="3"/>
  <c r="DA50" i="3"/>
  <c r="DA23" i="3"/>
  <c r="DA53" i="3"/>
  <c r="DA8" i="3"/>
  <c r="DA27" i="3"/>
  <c r="DB38" i="3" l="1"/>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33" i="3"/>
  <c r="DC33"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44" i="3"/>
  <c r="DC44" i="3" s="1"/>
  <c r="DB13" i="3"/>
  <c r="DC13" i="3" s="1"/>
  <c r="DB6" i="3"/>
  <c r="DC6" i="3" s="1"/>
  <c r="DB36" i="3"/>
  <c r="DC36" i="3" s="1"/>
  <c r="DB39" i="3"/>
  <c r="DC39" i="3" s="1"/>
  <c r="DB24" i="3"/>
  <c r="DC24"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12" i="3"/>
  <c r="BM12" i="3" s="1"/>
  <c r="DD17" i="3"/>
  <c r="BM17" i="3" s="1"/>
  <c r="DD14" i="3"/>
  <c r="BM14" i="3" s="1"/>
  <c r="DD21" i="3"/>
  <c r="BM21" i="3" s="1"/>
  <c r="DD23" i="3"/>
  <c r="BM23" i="3" s="1"/>
  <c r="DD52" i="3"/>
  <c r="BM52" i="3" s="1"/>
  <c r="DD36" i="3"/>
  <c r="BM36" i="3" s="1"/>
  <c r="DD45" i="3"/>
  <c r="BM45" i="3" s="1"/>
  <c r="DD10" i="3"/>
  <c r="BM10" i="3" s="1"/>
  <c r="DD6" i="3"/>
  <c r="BM6" i="3" s="1"/>
  <c r="DD15" i="3"/>
  <c r="BM15" i="3" s="1"/>
  <c r="DD18" i="3"/>
  <c r="BM18" i="3" s="1"/>
  <c r="DD41" i="3"/>
  <c r="BM41" i="3" s="1"/>
  <c r="DD29" i="3"/>
  <c r="BM29" i="3" s="1"/>
  <c r="DD8" i="3"/>
  <c r="BM8" i="3" s="1"/>
  <c r="DD26" i="3"/>
  <c r="BM26" i="3" s="1"/>
  <c r="DD49" i="3"/>
  <c r="BM49" i="3" s="1"/>
  <c r="DD16" i="3"/>
  <c r="BM16" i="3" s="1"/>
  <c r="DD22" i="3"/>
  <c r="BM22" i="3" s="1"/>
  <c r="DD33" i="3"/>
  <c r="BM33" i="3" s="1"/>
  <c r="DD27" i="3"/>
  <c r="BM27" i="3" s="1"/>
  <c r="DD30" i="3"/>
  <c r="BM30" i="3" s="1"/>
  <c r="DD39" i="3"/>
  <c r="BM39" i="3" s="1"/>
  <c r="DD20" i="3"/>
  <c r="BM20" i="3" s="1"/>
  <c r="DD34" i="3"/>
  <c r="BM34" i="3" s="1"/>
  <c r="DD9" i="3"/>
  <c r="BM9" i="3" s="1"/>
  <c r="DD37" i="3"/>
  <c r="BM37" i="3" s="1"/>
  <c r="DD19" i="3"/>
  <c r="BM19" i="3" s="1"/>
  <c r="DD11" i="3"/>
  <c r="BM11" i="3" s="1"/>
  <c r="DD38" i="3"/>
  <c r="BM38" i="3" s="1"/>
  <c r="DD25" i="3"/>
  <c r="BM25" i="3" s="1"/>
  <c r="DD46" i="3"/>
  <c r="BM46" i="3" s="1"/>
  <c r="DD48" i="3"/>
  <c r="BM48" i="3" s="1"/>
  <c r="DD7" i="3"/>
  <c r="BM7" i="3" s="1"/>
  <c r="DD50" i="3"/>
  <c r="BM50"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DQ53" i="3"/>
  <c r="DJ53" i="3" s="1"/>
  <c r="AV54" i="3"/>
  <c r="DQ27" i="3"/>
  <c r="DJ27" i="3" s="1"/>
  <c r="DQ19" i="3"/>
  <c r="DJ19" i="3" s="1"/>
  <c r="AV57" i="3"/>
  <c r="DQ14" i="3"/>
  <c r="DJ14" i="3" s="1"/>
  <c r="AV62" i="3"/>
  <c r="AV40" i="3"/>
  <c r="AV95" i="3"/>
  <c r="AV15" i="3"/>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AV30" i="3"/>
  <c r="DQ29" i="3"/>
  <c r="DJ29" i="3" s="1"/>
  <c r="AV97" i="3"/>
  <c r="AV96" i="3"/>
  <c r="DQ42" i="3"/>
  <c r="DJ42" i="3" s="1"/>
  <c r="AV94" i="3"/>
  <c r="AV48" i="3"/>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DQ34" i="3"/>
  <c r="DJ34" i="3" s="1"/>
  <c r="DQ24" i="3"/>
  <c r="DJ24" i="3" s="1"/>
  <c r="AV6" i="3"/>
  <c r="DQ46" i="3"/>
  <c r="DJ46" i="3" s="1"/>
  <c r="AV63" i="3"/>
  <c r="AV81" i="3"/>
  <c r="DQ10" i="3"/>
  <c r="DJ10" i="3" s="1"/>
  <c r="DQ52" i="3"/>
  <c r="DJ52" i="3" s="1"/>
  <c r="AV7" i="3"/>
  <c r="DQ51" i="3"/>
  <c r="DJ51" i="3" s="1"/>
  <c r="AV73" i="3"/>
  <c r="AV23" i="3"/>
  <c r="DQ13" i="3"/>
  <c r="DJ13" i="3" s="1"/>
  <c r="DL52" i="3" l="1"/>
  <c r="AU96" i="3" s="1"/>
  <c r="DL50" i="3"/>
  <c r="DL51" i="3"/>
  <c r="AU95" i="3" s="1"/>
  <c r="DL53" i="3"/>
  <c r="AU97" i="3" s="1"/>
  <c r="DL49" i="3"/>
  <c r="AU89" i="3" s="1"/>
  <c r="DL46" i="3"/>
  <c r="AU86" i="3" s="1"/>
  <c r="DL48" i="3"/>
  <c r="AU88" i="3" s="1"/>
  <c r="DL47" i="3"/>
  <c r="AU87" i="3" s="1"/>
  <c r="DL43" i="3"/>
  <c r="AU79" i="3" s="1"/>
  <c r="DL45" i="3"/>
  <c r="DL42" i="3"/>
  <c r="AU78" i="3" s="1"/>
  <c r="DL44" i="3"/>
  <c r="AU80" i="3" s="1"/>
  <c r="DL40" i="3"/>
  <c r="AU72" i="3" s="1"/>
  <c r="DL41" i="3"/>
  <c r="DL39" i="3"/>
  <c r="AU71" i="3" s="1"/>
  <c r="DL38" i="3"/>
  <c r="AU70" i="3" s="1"/>
  <c r="DL37" i="3"/>
  <c r="AU65" i="3" s="1"/>
  <c r="DL36" i="3"/>
  <c r="AU64" i="3" s="1"/>
  <c r="DL35" i="3"/>
  <c r="AU63" i="3" s="1"/>
  <c r="DL34" i="3"/>
  <c r="AU62" i="3" s="1"/>
  <c r="DL33" i="3"/>
  <c r="AU57" i="3" s="1"/>
  <c r="DL31" i="3"/>
  <c r="AU55" i="3" s="1"/>
  <c r="DL32" i="3"/>
  <c r="AU56" i="3" s="1"/>
  <c r="DL30" i="3"/>
  <c r="AU54" i="3" s="1"/>
  <c r="DL27" i="3"/>
  <c r="AU47" i="3" s="1"/>
  <c r="DL28" i="3"/>
  <c r="AU48" i="3" s="1"/>
  <c r="DL26" i="3"/>
  <c r="DL29" i="3"/>
  <c r="DL25" i="3"/>
  <c r="AU41" i="3" s="1"/>
  <c r="DL22" i="3"/>
  <c r="AU38" i="3" s="1"/>
  <c r="DL24" i="3"/>
  <c r="AU40" i="3" s="1"/>
  <c r="DL23" i="3"/>
  <c r="AU39" i="3" s="1"/>
  <c r="DL18" i="3"/>
  <c r="AU30" i="3" s="1"/>
  <c r="DL21" i="3"/>
  <c r="AU33" i="3" s="1"/>
  <c r="DL20" i="3"/>
  <c r="DL19" i="3"/>
  <c r="AU31" i="3" s="1"/>
  <c r="DL14" i="3"/>
  <c r="DL16" i="3"/>
  <c r="AU24" i="3" s="1"/>
  <c r="DL15" i="3"/>
  <c r="AU23" i="3" s="1"/>
  <c r="DL17" i="3"/>
  <c r="AU25" i="3" s="1"/>
  <c r="DL11" i="3"/>
  <c r="DL13" i="3"/>
  <c r="AU17" i="3" s="1"/>
  <c r="DL10" i="3"/>
  <c r="AU14" i="3" s="1"/>
  <c r="DL12" i="3"/>
  <c r="AU16" i="3" s="1"/>
  <c r="DL9" i="3"/>
  <c r="AU9" i="3" s="1"/>
  <c r="DL8" i="3"/>
  <c r="AU8" i="3" s="1"/>
  <c r="DL6" i="3"/>
  <c r="AU6" i="3" s="1"/>
  <c r="DL7" i="3"/>
  <c r="DF8" i="3"/>
  <c r="DF7" i="3"/>
  <c r="DN52" i="3" l="1" a="1"/>
  <c r="DN52" i="3" s="1"/>
  <c r="AU94" i="3"/>
  <c r="DN50" i="3" a="1"/>
  <c r="DN50" i="3" s="1"/>
  <c r="DN51" i="3" a="1"/>
  <c r="DN51" i="3" s="1"/>
  <c r="DM53" i="3"/>
  <c r="DM50" i="3"/>
  <c r="DM52" i="3"/>
  <c r="DM51" i="3"/>
  <c r="DN53" i="3" a="1"/>
  <c r="DN53" i="3" s="1"/>
  <c r="DN47" i="3" a="1"/>
  <c r="DN47" i="3" s="1"/>
  <c r="DN49" i="3" a="1"/>
  <c r="DN49" i="3" s="1"/>
  <c r="DN46" i="3" a="1"/>
  <c r="DN46" i="3" s="1"/>
  <c r="DM46" i="3"/>
  <c r="DM49" i="3"/>
  <c r="DM48" i="3"/>
  <c r="DN48" i="3" a="1"/>
  <c r="DN48" i="3" s="1"/>
  <c r="AU85" i="3"/>
  <c r="AV84" i="3" s="1"/>
  <c r="DM47" i="3"/>
  <c r="DN43" i="3" a="1"/>
  <c r="DN45" i="3" a="1"/>
  <c r="DN45" i="3" s="1"/>
  <c r="DN42" i="3" a="1"/>
  <c r="DN42" i="3" s="1"/>
  <c r="DM42" i="3"/>
  <c r="DM44" i="3"/>
  <c r="DM43" i="3"/>
  <c r="AU81" i="3"/>
  <c r="AU77" i="3" s="1"/>
  <c r="AV76" i="3" s="1"/>
  <c r="DM45" i="3"/>
  <c r="DN44" i="3" a="1"/>
  <c r="DM40" i="3"/>
  <c r="DN40" i="3" a="1"/>
  <c r="DN40" i="3" s="1"/>
  <c r="DN38" i="3" a="1"/>
  <c r="DN38" i="3" s="1"/>
  <c r="DN39" i="3" a="1"/>
  <c r="DN39" i="3" s="1"/>
  <c r="DM38" i="3"/>
  <c r="DM39" i="3"/>
  <c r="AU73" i="3"/>
  <c r="AU69" i="3" s="1"/>
  <c r="AV68" i="3" s="1"/>
  <c r="DM41" i="3"/>
  <c r="DN41" i="3" a="1"/>
  <c r="DN41" i="3" s="1"/>
  <c r="DM34" i="3"/>
  <c r="DN34" i="3" a="1"/>
  <c r="DN34" i="3" s="1"/>
  <c r="DM37" i="3"/>
  <c r="DN37" i="3" a="1"/>
  <c r="DN37" i="3" s="1"/>
  <c r="DM35" i="3"/>
  <c r="DM36" i="3"/>
  <c r="DN35" i="3" a="1"/>
  <c r="DN35" i="3" s="1"/>
  <c r="AU61" i="3"/>
  <c r="AV60" i="3" s="1"/>
  <c r="DN36" i="3" a="1"/>
  <c r="DN36" i="3" s="1"/>
  <c r="DN31" i="3" a="1"/>
  <c r="DN31" i="3" s="1"/>
  <c r="DN33" i="3" a="1"/>
  <c r="DN33" i="3" s="1"/>
  <c r="DM33" i="3"/>
  <c r="DN32" i="3" a="1"/>
  <c r="DN32" i="3" s="1"/>
  <c r="DN30" i="3" a="1"/>
  <c r="DN30" i="3" s="1"/>
  <c r="DM32" i="3"/>
  <c r="DM31" i="3"/>
  <c r="DM30" i="3"/>
  <c r="AU53" i="3"/>
  <c r="AV52" i="3" s="1"/>
  <c r="DN29" i="3" a="1"/>
  <c r="DN29" i="3" s="1"/>
  <c r="DM28" i="3"/>
  <c r="DN28" i="3" a="1"/>
  <c r="DN28" i="3" s="1"/>
  <c r="DN27" i="3" a="1"/>
  <c r="DN27" i="3" s="1"/>
  <c r="DM26" i="3"/>
  <c r="DN26" i="3" a="1"/>
  <c r="DN26" i="3" s="1"/>
  <c r="DM27" i="3"/>
  <c r="DM29" i="3"/>
  <c r="AU46" i="3"/>
  <c r="AU49" i="3"/>
  <c r="DM25" i="3"/>
  <c r="DN25" i="3" a="1"/>
  <c r="DN25" i="3" s="1"/>
  <c r="AU37" i="3"/>
  <c r="AV36" i="3" s="1"/>
  <c r="DM24" i="3"/>
  <c r="DN22" i="3" a="1"/>
  <c r="DN22" i="3" s="1"/>
  <c r="DM22" i="3"/>
  <c r="DM23" i="3"/>
  <c r="DN24" i="3" a="1"/>
  <c r="DN24" i="3" s="1"/>
  <c r="DN23" i="3" a="1"/>
  <c r="DN23" i="3" s="1"/>
  <c r="DN20" i="3" a="1"/>
  <c r="DN20" i="3" s="1"/>
  <c r="AU32" i="3"/>
  <c r="AU29" i="3" s="1"/>
  <c r="AV28" i="3" s="1"/>
  <c r="DN21" i="3" a="1"/>
  <c r="DN21" i="3" s="1"/>
  <c r="DM18" i="3"/>
  <c r="DN19" i="3" a="1"/>
  <c r="DN19" i="3" s="1"/>
  <c r="DM19" i="3"/>
  <c r="DN18" i="3" a="1"/>
  <c r="DN18" i="3" s="1"/>
  <c r="DM21" i="3"/>
  <c r="DM20" i="3"/>
  <c r="DM14" i="3"/>
  <c r="DN16" i="3" a="1"/>
  <c r="DN16" i="3" s="1"/>
  <c r="DN17" i="3" a="1"/>
  <c r="DN17" i="3" s="1"/>
  <c r="DM15" i="3"/>
  <c r="DM16" i="3"/>
  <c r="DM17" i="3"/>
  <c r="DN15" i="3" a="1"/>
  <c r="DN15" i="3" s="1"/>
  <c r="AU22" i="3"/>
  <c r="AU21" i="3" s="1"/>
  <c r="AV20" i="3" s="1"/>
  <c r="DN14" i="3" a="1"/>
  <c r="DN14" i="3" s="1"/>
  <c r="DM13" i="3"/>
  <c r="DM10" i="3"/>
  <c r="DN11" i="3" a="1"/>
  <c r="DN11" i="3" s="1"/>
  <c r="AU15" i="3"/>
  <c r="AU13" i="3" s="1"/>
  <c r="AV12" i="3" s="1"/>
  <c r="DN12" i="3" a="1"/>
  <c r="DN12" i="3" s="1"/>
  <c r="DN10" i="3" a="1"/>
  <c r="DN10" i="3" s="1"/>
  <c r="DN13" i="3" a="1"/>
  <c r="DN13" i="3" s="1"/>
  <c r="DM12" i="3"/>
  <c r="DM11" i="3"/>
  <c r="DN8" i="3" a="1"/>
  <c r="DN8" i="3" s="1"/>
  <c r="DM8" i="3"/>
  <c r="DM6" i="3"/>
  <c r="DN6" i="3" a="1"/>
  <c r="DN6" i="3" s="1"/>
  <c r="DN7" i="3" a="1"/>
  <c r="DN7" i="3" s="1"/>
  <c r="DM9" i="3"/>
  <c r="DM7" i="3"/>
  <c r="DN9" i="3" a="1"/>
  <c r="DN9" i="3" s="1"/>
  <c r="AU7" i="3"/>
  <c r="AU5" i="3" s="1"/>
  <c r="AV4" i="3" s="1"/>
  <c r="DF9" i="3"/>
  <c r="AU93" i="3" l="1"/>
  <c r="AV92" i="3" s="1"/>
  <c r="DN43" i="3"/>
  <c r="DN44" i="3"/>
  <c r="AU45" i="3"/>
  <c r="AV44" i="3" s="1"/>
  <c r="DF16" i="3"/>
  <c r="DF12" i="3"/>
  <c r="DF10" i="3"/>
  <c r="DF14" i="3"/>
  <c r="DF24" i="3"/>
  <c r="DF21" i="3"/>
  <c r="DF23" i="3"/>
  <c r="DF19" i="3"/>
  <c r="DF25" i="3"/>
  <c r="DF22" i="3"/>
  <c r="DF18" i="3"/>
  <c r="DF20" i="3"/>
  <c r="DF15" i="3"/>
  <c r="DF11" i="3"/>
  <c r="DF6" i="3"/>
  <c r="DF17" i="3"/>
  <c r="DF13" i="3"/>
  <c r="DF41" i="3" l="1"/>
  <c r="DF28" i="3"/>
  <c r="DF40" i="3"/>
  <c r="DF27" i="3"/>
  <c r="DF37" i="3"/>
  <c r="DF34" i="3"/>
  <c r="DF45" i="3"/>
  <c r="DF50" i="3"/>
  <c r="DF31" i="3"/>
  <c r="DF51" i="3"/>
  <c r="DF29" i="3"/>
  <c r="DF47" i="3"/>
  <c r="DF43" i="3"/>
  <c r="DF26" i="3"/>
  <c r="DF44" i="3"/>
  <c r="DF38" i="3"/>
  <c r="DF39" i="3"/>
  <c r="DF36" i="3"/>
  <c r="DF33" i="3"/>
  <c r="DF42" i="3"/>
  <c r="DF48" i="3"/>
  <c r="DF35" i="3"/>
  <c r="DF30" i="3"/>
  <c r="DF49" i="3"/>
  <c r="DF52" i="3"/>
  <c r="DF53" i="3"/>
  <c r="DF32" i="3"/>
  <c r="DF46" i="3"/>
  <c r="DG14" i="3"/>
  <c r="DG18" i="3"/>
  <c r="DG17" i="3"/>
  <c r="DG15" i="3"/>
  <c r="DG16" i="3"/>
  <c r="DG23" i="3"/>
  <c r="DG20" i="3"/>
  <c r="DG21" i="3"/>
  <c r="DG19" i="3"/>
  <c r="DG25" i="3"/>
  <c r="DG22" i="3"/>
  <c r="DG27" i="3"/>
  <c r="DG24" i="3"/>
  <c r="DG28" i="3"/>
  <c r="DG26" i="3"/>
  <c r="DG29" i="3"/>
  <c r="DG13" i="3"/>
  <c r="DG11" i="3"/>
  <c r="DG7" i="3"/>
  <c r="DG6" i="3"/>
  <c r="DG9" i="3"/>
  <c r="DG8" i="3"/>
  <c r="DG12" i="3"/>
  <c r="DG10" i="3"/>
  <c r="DG32" i="3" l="1"/>
  <c r="DG48" i="3"/>
  <c r="DG53" i="3"/>
  <c r="DG37" i="3"/>
  <c r="DG44" i="3"/>
  <c r="DG45" i="3"/>
  <c r="DG47" i="3"/>
  <c r="DG50" i="3"/>
  <c r="DG35" i="3"/>
  <c r="DG31" i="3"/>
  <c r="DG33" i="3"/>
  <c r="DG30" i="3"/>
  <c r="DG38" i="3"/>
  <c r="DG52" i="3"/>
  <c r="DG39" i="3"/>
  <c r="DG49" i="3"/>
  <c r="DG40" i="3"/>
  <c r="DG36" i="3"/>
  <c r="DG34" i="3"/>
  <c r="DG41" i="3"/>
  <c r="DG42" i="3"/>
  <c r="DG43" i="3"/>
  <c r="DG46" i="3"/>
  <c r="DG51" i="3"/>
  <c r="DH12" i="3" l="1"/>
  <c r="BN12" i="3" s="1"/>
  <c r="DH19" i="3"/>
  <c r="BN19" i="3" s="1"/>
  <c r="DH25" i="3"/>
  <c r="BN25" i="3" s="1"/>
  <c r="DH18" i="3"/>
  <c r="BN18" i="3" s="1"/>
  <c r="DH21" i="3"/>
  <c r="BN21" i="3" s="1"/>
  <c r="DH10" i="3"/>
  <c r="BN10" i="3" s="1"/>
  <c r="DH23" i="3"/>
  <c r="BN23" i="3" s="1"/>
  <c r="DH20" i="3"/>
  <c r="BN20" i="3" s="1"/>
  <c r="DH22" i="3"/>
  <c r="BN22" i="3" s="1"/>
  <c r="DH13" i="3"/>
  <c r="BN13" i="3" s="1"/>
  <c r="DH11" i="3"/>
  <c r="BN11" i="3" s="1"/>
  <c r="DH14" i="3"/>
  <c r="BN14" i="3" s="1"/>
  <c r="DH16" i="3"/>
  <c r="BN16" i="3" s="1"/>
  <c r="DH7" i="3"/>
  <c r="BN7" i="3" s="1"/>
  <c r="DH27" i="3"/>
  <c r="BN27" i="3" s="1"/>
  <c r="DH17" i="3"/>
  <c r="BN17" i="3" s="1"/>
  <c r="DH26" i="3"/>
  <c r="BN26" i="3" s="1"/>
  <c r="DH29" i="3"/>
  <c r="BN29" i="3" s="1"/>
  <c r="DH28" i="3"/>
  <c r="BN28" i="3" s="1"/>
  <c r="DH15" i="3"/>
  <c r="BN15" i="3" s="1"/>
  <c r="DH24" i="3"/>
  <c r="BN24" i="3" s="1"/>
  <c r="DH6" i="3"/>
  <c r="BN6" i="3" s="1"/>
  <c r="DH8" i="3"/>
  <c r="BN8" i="3" s="1"/>
  <c r="DH9" i="3"/>
  <c r="BN9" i="3" s="1"/>
  <c r="DH33" i="3"/>
  <c r="BN33" i="3" s="1"/>
  <c r="DH32" i="3"/>
  <c r="BN32" i="3" s="1"/>
  <c r="DH31" i="3"/>
  <c r="BN31" i="3" s="1"/>
  <c r="DH42" i="3"/>
  <c r="BN42" i="3" s="1"/>
  <c r="DH53" i="3"/>
  <c r="BN53" i="3" s="1"/>
  <c r="DH44" i="3"/>
  <c r="BN44" i="3" s="1"/>
  <c r="DH34" i="3"/>
  <c r="BN34" i="3" s="1"/>
  <c r="DH41" i="3"/>
  <c r="BN41" i="3" s="1"/>
  <c r="DH48" i="3"/>
  <c r="BN48" i="3" s="1"/>
  <c r="DH36" i="3"/>
  <c r="BN36" i="3" s="1"/>
  <c r="DH51" i="3"/>
  <c r="BN51" i="3" s="1"/>
  <c r="DH39" i="3"/>
  <c r="BN39" i="3" s="1"/>
  <c r="DH49" i="3"/>
  <c r="BN49" i="3" s="1"/>
  <c r="DH35" i="3"/>
  <c r="BN35" i="3" s="1"/>
  <c r="DH45" i="3"/>
  <c r="BN45" i="3" s="1"/>
  <c r="DH52" i="3"/>
  <c r="BN52" i="3" s="1"/>
  <c r="DH47" i="3"/>
  <c r="BN47" i="3" s="1"/>
  <c r="DH38" i="3"/>
  <c r="BN38" i="3" s="1"/>
  <c r="DH46" i="3"/>
  <c r="BN46" i="3" s="1"/>
  <c r="DH40" i="3"/>
  <c r="BN40" i="3" s="1"/>
  <c r="DH37" i="3"/>
  <c r="BN37" i="3" s="1"/>
  <c r="DH43" i="3"/>
  <c r="BN43" i="3" s="1"/>
  <c r="DH50" i="3"/>
  <c r="BN50" i="3" s="1"/>
  <c r="DH30" i="3"/>
  <c r="BN30" i="3" s="1"/>
  <c r="AL6" i="3" l="1"/>
  <c r="AL14" i="3"/>
  <c r="AL8" i="3"/>
  <c r="BD58" i="3"/>
  <c r="BI58" i="3" s="1"/>
  <c r="AL7" i="3"/>
  <c r="AL9" i="3"/>
  <c r="D117" i="46" s="1"/>
  <c r="AL15" i="3"/>
  <c r="D119" i="46" s="1"/>
  <c r="AL38" i="3"/>
  <c r="D130" i="46" s="1"/>
  <c r="AL49" i="3"/>
  <c r="D137" i="46" s="1"/>
  <c r="BD60" i="3"/>
  <c r="BG60" i="3" s="1"/>
  <c r="AL25" i="3"/>
  <c r="D125" i="46" s="1"/>
  <c r="AL16" i="3"/>
  <c r="D120" i="46" s="1"/>
  <c r="AL24" i="3"/>
  <c r="D124" i="46" s="1"/>
  <c r="AL32" i="3"/>
  <c r="D128" i="46" s="1"/>
  <c r="BD62" i="3"/>
  <c r="BG62" i="3" s="1"/>
  <c r="AL47" i="3"/>
  <c r="D135" i="46" s="1"/>
  <c r="AL23" i="3"/>
  <c r="D123" i="46" s="1"/>
  <c r="BH60" i="3"/>
  <c r="AL46" i="3"/>
  <c r="D134" i="46" s="1"/>
  <c r="AL17" i="3"/>
  <c r="D121" i="46" s="1"/>
  <c r="AL40" i="3"/>
  <c r="D132" i="46" s="1"/>
  <c r="BD61" i="3"/>
  <c r="BG61" i="3" s="1"/>
  <c r="AL22" i="3"/>
  <c r="D122" i="46" s="1"/>
  <c r="BD63" i="3"/>
  <c r="BG63" i="3" s="1"/>
  <c r="AL31" i="3"/>
  <c r="D127" i="46" s="1"/>
  <c r="AL30" i="3"/>
  <c r="D126" i="46" s="1"/>
  <c r="AL39" i="3"/>
  <c r="D131" i="46" s="1"/>
  <c r="AL41" i="3"/>
  <c r="D133" i="46" s="1"/>
  <c r="BI60" i="3"/>
  <c r="AL33" i="3"/>
  <c r="D129" i="46" s="1"/>
  <c r="BD59" i="3"/>
  <c r="BH59" i="3" s="1"/>
  <c r="AL48" i="3"/>
  <c r="D136" i="46" s="1"/>
  <c r="AL88" i="3"/>
  <c r="D156" i="46" s="1"/>
  <c r="AL97" i="3"/>
  <c r="D161" i="46" s="1"/>
  <c r="BD69" i="3"/>
  <c r="BI69" i="3" s="1"/>
  <c r="AL70" i="3"/>
  <c r="D146" i="46" s="1"/>
  <c r="BD66" i="3"/>
  <c r="BG66" i="3" s="1"/>
  <c r="AL54" i="3"/>
  <c r="D138" i="46" s="1"/>
  <c r="AL65" i="3"/>
  <c r="D145" i="46" s="1"/>
  <c r="AL56" i="3"/>
  <c r="D140" i="46" s="1"/>
  <c r="AL63" i="3"/>
  <c r="D143" i="46" s="1"/>
  <c r="AL80" i="3"/>
  <c r="D152" i="46" s="1"/>
  <c r="BD65" i="3"/>
  <c r="BI65" i="3" s="1"/>
  <c r="AL57" i="3"/>
  <c r="D141" i="46" s="1"/>
  <c r="AL96" i="3"/>
  <c r="D160" i="46" s="1"/>
  <c r="AL71" i="3"/>
  <c r="D147" i="46" s="1"/>
  <c r="BD68" i="3"/>
  <c r="BH68" i="3" s="1"/>
  <c r="AL73" i="3"/>
  <c r="D149" i="46" s="1"/>
  <c r="AL64" i="3"/>
  <c r="D144" i="46" s="1"/>
  <c r="AL94" i="3"/>
  <c r="D158" i="46" s="1"/>
  <c r="AL81" i="3"/>
  <c r="D153" i="46" s="1"/>
  <c r="AL79" i="3"/>
  <c r="D151" i="46" s="1"/>
  <c r="BD67" i="3"/>
  <c r="AL55" i="3"/>
  <c r="D139" i="46" s="1"/>
  <c r="AL72" i="3"/>
  <c r="D148" i="46" s="1"/>
  <c r="AL89" i="3"/>
  <c r="D157" i="46" s="1"/>
  <c r="AL95" i="3"/>
  <c r="D159" i="46" s="1"/>
  <c r="BD64" i="3"/>
  <c r="BH64" i="3" s="1"/>
  <c r="AL86" i="3"/>
  <c r="D154" i="46" s="1"/>
  <c r="AL87" i="3"/>
  <c r="D155" i="46" s="1"/>
  <c r="AL78" i="3"/>
  <c r="D150" i="46" s="1"/>
  <c r="AL62" i="3"/>
  <c r="D142" i="46" s="1"/>
  <c r="BG69" i="3"/>
  <c r="BG64" i="3"/>
  <c r="BG65" i="3"/>
  <c r="BI63" i="3"/>
  <c r="BH65" i="3"/>
  <c r="BI59" i="3"/>
  <c r="BG58" i="3"/>
  <c r="BH62" i="3"/>
  <c r="BG68" i="3"/>
  <c r="BH69" i="3"/>
  <c r="BH58" i="3"/>
  <c r="BH66" i="3"/>
  <c r="BI62" i="3"/>
  <c r="BI68" i="3"/>
  <c r="BI61" i="3"/>
  <c r="BH61" i="3"/>
  <c r="BI64" i="3"/>
  <c r="BG67" i="3"/>
  <c r="BI66" i="3"/>
  <c r="BH63" i="3"/>
  <c r="BH67" i="3"/>
  <c r="BG59" i="3"/>
  <c r="BI67" i="3"/>
  <c r="N111" i="3" l="1"/>
  <c r="AF112" i="3" s="1"/>
  <c r="C85" i="46" s="1"/>
  <c r="M108" i="3"/>
  <c r="AA108" i="3" s="1"/>
  <c r="B81" i="46" s="1"/>
  <c r="M111" i="3"/>
  <c r="AA112" i="3" s="1"/>
  <c r="B85" i="46" s="1"/>
  <c r="M115" i="3"/>
  <c r="AA116" i="3" s="1"/>
  <c r="B89" i="46" s="1"/>
  <c r="M114" i="3"/>
  <c r="AA115" i="3" s="1"/>
  <c r="B88" i="46" s="1"/>
  <c r="N112" i="3"/>
  <c r="AF111" i="3" s="1"/>
  <c r="C84" i="46" s="1"/>
  <c r="N106" i="3"/>
  <c r="AF105" i="3" s="1"/>
  <c r="C78" i="46" s="1"/>
  <c r="N114" i="3"/>
  <c r="AF115" i="3" s="1"/>
  <c r="C88" i="46" s="1"/>
  <c r="M105" i="3"/>
  <c r="AA106" i="3" s="1"/>
  <c r="B79" i="46" s="1"/>
  <c r="M112" i="3"/>
  <c r="AA111" i="3" s="1"/>
  <c r="B84" i="46" s="1"/>
  <c r="D114" i="46"/>
  <c r="M107" i="3"/>
  <c r="AA107" i="3" s="1"/>
  <c r="M110" i="3"/>
  <c r="AA109" i="3" s="1"/>
  <c r="B82" i="46" s="1"/>
  <c r="N116" i="3"/>
  <c r="AF114" i="3" s="1"/>
  <c r="C87" i="46" s="1"/>
  <c r="H4" i="45"/>
  <c r="AO6" i="3"/>
  <c r="AK14" i="3" a="1"/>
  <c r="AK14" i="3" s="1"/>
  <c r="AK38" i="3" a="1"/>
  <c r="AK38" i="3" s="1"/>
  <c r="AS38" i="3"/>
  <c r="AO38" i="3"/>
  <c r="AQ38" i="3"/>
  <c r="AN38" i="3"/>
  <c r="AR38" i="3"/>
  <c r="AP38" i="3"/>
  <c r="AK8" i="3" a="1"/>
  <c r="AK8" i="3" s="1"/>
  <c r="M102" i="3"/>
  <c r="AA103" i="3" s="1"/>
  <c r="B76" i="46" s="1"/>
  <c r="AK6" i="3" a="1"/>
  <c r="AK6" i="3" s="1"/>
  <c r="AO8" i="3"/>
  <c r="AP8" i="3"/>
  <c r="AM14" i="3"/>
  <c r="I12" i="45" s="1"/>
  <c r="AM8" i="3"/>
  <c r="I6" i="45" s="1"/>
  <c r="AO14" i="3"/>
  <c r="AT8" i="3"/>
  <c r="J6" i="45" s="1"/>
  <c r="G176" i="40"/>
  <c r="G221" i="40"/>
  <c r="G401" i="40"/>
  <c r="G273" i="40"/>
  <c r="G333" i="40"/>
  <c r="G261" i="40"/>
  <c r="G330" i="40"/>
  <c r="G321" i="40"/>
  <c r="G174" i="40"/>
  <c r="G378" i="40"/>
  <c r="F342" i="40"/>
  <c r="G369" i="40"/>
  <c r="G484" i="40"/>
  <c r="G328" i="40"/>
  <c r="G194" i="40"/>
  <c r="G255" i="40"/>
  <c r="G216" i="40"/>
  <c r="G172" i="40"/>
  <c r="G349" i="40"/>
  <c r="G354" i="40"/>
  <c r="G351" i="40"/>
  <c r="G417" i="40"/>
  <c r="G384" i="40"/>
  <c r="G474" i="40"/>
  <c r="G200" i="40"/>
  <c r="G270" i="40"/>
  <c r="G495" i="40"/>
  <c r="G331" i="40"/>
  <c r="G450" i="40"/>
  <c r="G460" i="40"/>
  <c r="G386" i="40"/>
  <c r="G263" i="40"/>
  <c r="G278" i="40"/>
  <c r="G305" i="40"/>
  <c r="G379" i="40"/>
  <c r="G237" i="40"/>
  <c r="G437" i="40"/>
  <c r="G385" i="40"/>
  <c r="G241" i="40"/>
  <c r="G317" i="40"/>
  <c r="G405" i="40"/>
  <c r="G303" i="40"/>
  <c r="G236" i="40"/>
  <c r="G250" i="40"/>
  <c r="G189" i="40"/>
  <c r="G353" i="40"/>
  <c r="G173" i="40"/>
  <c r="G271" i="40"/>
  <c r="G277" i="40"/>
  <c r="G436" i="40"/>
  <c r="G481" i="40"/>
  <c r="G400" i="40"/>
  <c r="G370" i="40"/>
  <c r="G406" i="40"/>
  <c r="G483" i="40"/>
  <c r="G316" i="40"/>
  <c r="G471" i="40"/>
  <c r="G337" i="40"/>
  <c r="G233" i="40"/>
  <c r="G368" i="40"/>
  <c r="G442" i="40"/>
  <c r="G280" i="40"/>
  <c r="G312" i="40"/>
  <c r="G229" i="40"/>
  <c r="G374" i="40"/>
  <c r="G223" i="40"/>
  <c r="G446" i="40"/>
  <c r="G445" i="40"/>
  <c r="G457" i="40"/>
  <c r="F398" i="40"/>
  <c r="G427" i="40"/>
  <c r="G380" i="40"/>
  <c r="G212" i="40"/>
  <c r="G234" i="40"/>
  <c r="G249" i="40"/>
  <c r="G246" i="40"/>
  <c r="G377" i="40"/>
  <c r="G486" i="40"/>
  <c r="G489" i="40"/>
  <c r="G397" i="40"/>
  <c r="G326" i="40"/>
  <c r="G324" i="40"/>
  <c r="G428" i="40"/>
  <c r="G319" i="40"/>
  <c r="F297" i="40"/>
  <c r="G259" i="40"/>
  <c r="G472" i="40"/>
  <c r="G373" i="40"/>
  <c r="G409" i="40"/>
  <c r="G253" i="40"/>
  <c r="G468" i="40"/>
  <c r="G219" i="40"/>
  <c r="G482" i="40"/>
  <c r="G283" i="40"/>
  <c r="G441" i="40"/>
  <c r="G307" i="40"/>
  <c r="G496" i="40"/>
  <c r="G443" i="40"/>
  <c r="G383" i="40"/>
  <c r="G167" i="40"/>
  <c r="G456" i="40"/>
  <c r="G230" i="40"/>
  <c r="G290" i="40"/>
  <c r="G419" i="40"/>
  <c r="G289" i="40"/>
  <c r="G209" i="40"/>
  <c r="G399" i="40"/>
  <c r="G315" i="40"/>
  <c r="G247" i="40"/>
  <c r="G258" i="40"/>
  <c r="G318" i="40"/>
  <c r="G415" i="40"/>
  <c r="G199" i="40"/>
  <c r="G375" i="40"/>
  <c r="G381" i="40"/>
  <c r="H13" i="45"/>
  <c r="G411" i="40"/>
  <c r="G360" i="40"/>
  <c r="G220" i="40"/>
  <c r="G185" i="40"/>
  <c r="G309" i="40"/>
  <c r="G475" i="40"/>
  <c r="N101" i="3"/>
  <c r="AF101" i="3" s="1"/>
  <c r="AM15" i="3"/>
  <c r="I13" i="45" s="1"/>
  <c r="AQ15" i="3"/>
  <c r="AP15" i="3"/>
  <c r="AM38" i="3"/>
  <c r="I36" i="45" s="1"/>
  <c r="AT38" i="3"/>
  <c r="J36" i="45" s="1"/>
  <c r="H36" i="45"/>
  <c r="G244" i="40"/>
  <c r="G412" i="40"/>
  <c r="G213" i="40"/>
  <c r="F298" i="40"/>
  <c r="G347" i="40"/>
  <c r="G389" i="40"/>
  <c r="G345" i="40"/>
  <c r="G192" i="40"/>
  <c r="G433" i="40"/>
  <c r="G366" i="40"/>
  <c r="F300" i="40"/>
  <c r="G491" i="40"/>
  <c r="G387" i="40"/>
  <c r="G311" i="40"/>
  <c r="G440" i="40"/>
  <c r="G190" i="40"/>
  <c r="G197" i="40"/>
  <c r="G422" i="40"/>
  <c r="G449" i="40"/>
  <c r="G395" i="40"/>
  <c r="G269" i="40"/>
  <c r="G178" i="40"/>
  <c r="G356" i="40"/>
  <c r="G469" i="40"/>
  <c r="G367" i="40"/>
  <c r="G407" i="40"/>
  <c r="G183" i="40"/>
  <c r="G171" i="40"/>
  <c r="G240" i="40"/>
  <c r="G227" i="40"/>
  <c r="G339" i="40"/>
  <c r="G187" i="40"/>
  <c r="G425" i="40"/>
  <c r="G459" i="40"/>
  <c r="G284" i="40"/>
  <c r="G285" i="40"/>
  <c r="G260" i="40"/>
  <c r="G494" i="40"/>
  <c r="G226" i="40"/>
  <c r="G350" i="40"/>
  <c r="G492" i="40"/>
  <c r="G169" i="40"/>
  <c r="G329" i="40"/>
  <c r="G323" i="40"/>
  <c r="G325" i="40"/>
  <c r="G207" i="40"/>
  <c r="G466" i="40"/>
  <c r="G439" i="40"/>
  <c r="G251" i="40"/>
  <c r="G193" i="40"/>
  <c r="AO15" i="3"/>
  <c r="H248" i="40"/>
  <c r="F384" i="40"/>
  <c r="AK25" i="3" a="1"/>
  <c r="AK25" i="3" s="1"/>
  <c r="G224" i="40"/>
  <c r="G396" i="40"/>
  <c r="G334" i="40"/>
  <c r="G177" i="40"/>
  <c r="G196" i="40"/>
  <c r="G463" i="40"/>
  <c r="G340" i="40"/>
  <c r="G418" i="40"/>
  <c r="G217" i="40"/>
  <c r="G454" i="40"/>
  <c r="G343" i="40"/>
  <c r="G371" i="40"/>
  <c r="G301" i="40"/>
  <c r="G266" i="40"/>
  <c r="G195" i="40"/>
  <c r="G210" i="40"/>
  <c r="G211" i="40"/>
  <c r="G476" i="40"/>
  <c r="G267" i="40"/>
  <c r="G352" i="40"/>
  <c r="G414" i="40"/>
  <c r="G420" i="40"/>
  <c r="AS15" i="3"/>
  <c r="AN15" i="3"/>
  <c r="H454" i="40"/>
  <c r="G188" i="40"/>
  <c r="G382" i="40"/>
  <c r="G376" i="40"/>
  <c r="G204" i="40"/>
  <c r="G388" i="40"/>
  <c r="G364" i="40"/>
  <c r="G274" i="40"/>
  <c r="G281" i="40"/>
  <c r="G218" i="40"/>
  <c r="G268" i="40"/>
  <c r="G451" i="40"/>
  <c r="G473" i="40"/>
  <c r="G447" i="40"/>
  <c r="G365" i="40"/>
  <c r="G310" i="40"/>
  <c r="G293" i="40"/>
  <c r="G408" i="40"/>
  <c r="G359" i="40"/>
  <c r="G198" i="40"/>
  <c r="G338" i="40"/>
  <c r="G393" i="40"/>
  <c r="G275" i="40"/>
  <c r="G452" i="40"/>
  <c r="G423" i="40"/>
  <c r="G201" i="40"/>
  <c r="G429" i="40"/>
  <c r="G344" i="40"/>
  <c r="G206" i="40"/>
  <c r="F291" i="40"/>
  <c r="F287" i="40"/>
  <c r="G432" i="40"/>
  <c r="G232" i="40"/>
  <c r="G390" i="40"/>
  <c r="G462" i="40"/>
  <c r="G186" i="40"/>
  <c r="G179" i="40"/>
  <c r="G464" i="40"/>
  <c r="AR15" i="3"/>
  <c r="H364" i="40"/>
  <c r="H34" i="40"/>
  <c r="G363" i="40"/>
  <c r="G480" i="40"/>
  <c r="G184" i="40"/>
  <c r="H409" i="40"/>
  <c r="H355" i="40"/>
  <c r="F302" i="40"/>
  <c r="H150" i="40"/>
  <c r="H460" i="40"/>
  <c r="AT14" i="3"/>
  <c r="J12" i="45" s="1"/>
  <c r="D118" i="46"/>
  <c r="M101" i="3"/>
  <c r="AA101" i="3" s="1"/>
  <c r="AA9" i="45" s="1"/>
  <c r="AM6" i="3"/>
  <c r="I4" i="45" s="1"/>
  <c r="AN6" i="3"/>
  <c r="AR6" i="3"/>
  <c r="AP14" i="3"/>
  <c r="AQ14" i="3"/>
  <c r="AQ6" i="3"/>
  <c r="AP6" i="3"/>
  <c r="AS6" i="3"/>
  <c r="AT6" i="3"/>
  <c r="J4" i="45" s="1"/>
  <c r="H12" i="45"/>
  <c r="G430" i="40"/>
  <c r="G313" i="40"/>
  <c r="G402" i="40"/>
  <c r="G181" i="40"/>
  <c r="F288" i="40"/>
  <c r="G304" i="40"/>
  <c r="G308" i="40"/>
  <c r="G203" i="40"/>
  <c r="G453" i="40"/>
  <c r="F306" i="40"/>
  <c r="G438" i="40"/>
  <c r="G239" i="40"/>
  <c r="G404" i="40"/>
  <c r="G477" i="40"/>
  <c r="G245" i="40"/>
  <c r="G257" i="40"/>
  <c r="G435" i="40"/>
  <c r="G322" i="40"/>
  <c r="G434" i="40"/>
  <c r="G292" i="40"/>
  <c r="G444" i="40"/>
  <c r="G348" i="40"/>
  <c r="G235" i="40"/>
  <c r="G205" i="40"/>
  <c r="G346" i="40"/>
  <c r="G228" i="40"/>
  <c r="G426" i="40"/>
  <c r="G465" i="40"/>
  <c r="G314" i="40"/>
  <c r="G256" i="40"/>
  <c r="G467" i="40"/>
  <c r="G262" i="40"/>
  <c r="AO40" i="3"/>
  <c r="AT40" i="3"/>
  <c r="J38" i="45" s="1"/>
  <c r="G391" i="40"/>
  <c r="G252" i="40"/>
  <c r="G182" i="40"/>
  <c r="G282" i="40"/>
  <c r="G248" i="40"/>
  <c r="G254" i="40"/>
  <c r="F392" i="40"/>
  <c r="G208" i="40"/>
  <c r="G479" i="40"/>
  <c r="G332" i="40"/>
  <c r="G448" i="40"/>
  <c r="G286" i="40"/>
  <c r="F294" i="40"/>
  <c r="G341" i="40"/>
  <c r="G470" i="40"/>
  <c r="G231" i="40"/>
  <c r="G461" i="40"/>
  <c r="G372" i="40"/>
  <c r="AM25" i="3"/>
  <c r="I23" i="45" s="1"/>
  <c r="AP40" i="3"/>
  <c r="AS40" i="3"/>
  <c r="AN40" i="3"/>
  <c r="G431" i="40"/>
  <c r="F299" i="40"/>
  <c r="G487" i="40"/>
  <c r="G416" i="40"/>
  <c r="G421" i="40"/>
  <c r="AK9" i="3" a="1"/>
  <c r="AK9" i="3" s="1"/>
  <c r="AO9" i="3"/>
  <c r="H7" i="45"/>
  <c r="AQ9" i="3"/>
  <c r="AN9" i="3"/>
  <c r="AP9" i="3"/>
  <c r="AS9" i="3"/>
  <c r="AK15" i="3" a="1"/>
  <c r="AK15" i="3" s="1"/>
  <c r="AT15" i="3"/>
  <c r="J13" i="45" s="1"/>
  <c r="AQ40" i="3"/>
  <c r="H38" i="45"/>
  <c r="H33" i="40"/>
  <c r="E271" i="40"/>
  <c r="AP25" i="3"/>
  <c r="AO25" i="3"/>
  <c r="AS25" i="3"/>
  <c r="AQ25" i="3"/>
  <c r="AT25" i="3"/>
  <c r="J23" i="45" s="1"/>
  <c r="AN25" i="3"/>
  <c r="H23" i="45"/>
  <c r="AR25" i="3"/>
  <c r="AM40" i="3"/>
  <c r="I38" i="45" s="1"/>
  <c r="AK40" i="3" a="1"/>
  <c r="AK40" i="3" s="1"/>
  <c r="AR40" i="3"/>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AK49" i="3" a="1"/>
  <c r="AK49" i="3" s="1"/>
  <c r="D115" i="46"/>
  <c r="H6" i="45"/>
  <c r="D116" i="46"/>
  <c r="G225" i="40"/>
  <c r="G202" i="40"/>
  <c r="G394" i="40"/>
  <c r="G424" i="40"/>
  <c r="F168" i="40"/>
  <c r="G357" i="40"/>
  <c r="G276" i="40"/>
  <c r="G490" i="40"/>
  <c r="G413" i="40"/>
  <c r="G478" i="40"/>
  <c r="G265" i="40"/>
  <c r="G362" i="40"/>
  <c r="G215" i="40"/>
  <c r="F336" i="40"/>
  <c r="G279" i="40"/>
  <c r="G214" i="40"/>
  <c r="G355" i="40"/>
  <c r="G222" i="40"/>
  <c r="H321" i="40"/>
  <c r="F173" i="40"/>
  <c r="G175" i="40"/>
  <c r="F296" i="40"/>
  <c r="G320" i="40"/>
  <c r="G455" i="40"/>
  <c r="G493" i="40"/>
  <c r="G243" i="40"/>
  <c r="G170" i="40"/>
  <c r="G488" i="40"/>
  <c r="G335" i="40"/>
  <c r="F295" i="40"/>
  <c r="D446" i="40"/>
  <c r="H277" i="40"/>
  <c r="H221" i="40"/>
  <c r="H60" i="40"/>
  <c r="H369" i="40"/>
  <c r="H218" i="40"/>
  <c r="G180" i="40"/>
  <c r="G238" i="40"/>
  <c r="G358" i="40"/>
  <c r="G403" i="40"/>
  <c r="G242" i="40"/>
  <c r="G302" i="40"/>
  <c r="G361" i="40"/>
  <c r="G485" i="40"/>
  <c r="H176" i="40"/>
  <c r="H495" i="40"/>
  <c r="H359" i="40"/>
  <c r="H103" i="40"/>
  <c r="H38" i="40"/>
  <c r="H247" i="40"/>
  <c r="H417" i="40"/>
  <c r="H85" i="40"/>
  <c r="H225" i="40"/>
  <c r="H418" i="40"/>
  <c r="H148" i="40"/>
  <c r="F50" i="40"/>
  <c r="H483" i="40"/>
  <c r="E283" i="40"/>
  <c r="H117" i="40"/>
  <c r="H189" i="40"/>
  <c r="H413" i="40"/>
  <c r="H109" i="40"/>
  <c r="H39" i="40"/>
  <c r="H243" i="40"/>
  <c r="H151" i="40"/>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AK47" i="3" a="1"/>
  <c r="AK47" i="3" s="1"/>
  <c r="M103" i="3"/>
  <c r="AA104" i="3" s="1"/>
  <c r="B77" i="46" s="1"/>
  <c r="J285" i="40"/>
  <c r="E200" i="40"/>
  <c r="C361" i="40"/>
  <c r="C50" i="40"/>
  <c r="D359" i="40"/>
  <c r="E35" i="40"/>
  <c r="C336" i="40"/>
  <c r="C394" i="40"/>
  <c r="I166" i="40"/>
  <c r="C342" i="40"/>
  <c r="E38" i="40"/>
  <c r="C7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H45" i="45"/>
  <c r="AR47" i="3"/>
  <c r="AO47" i="3"/>
  <c r="AS47" i="3"/>
  <c r="AN47" i="3"/>
  <c r="AP46" i="3"/>
  <c r="AO46" i="3"/>
  <c r="AM46" i="3"/>
  <c r="I44" i="45" s="1"/>
  <c r="AT46" i="3"/>
  <c r="J44" i="45" s="1"/>
  <c r="AQ16" i="3"/>
  <c r="H14" i="45"/>
  <c r="AO16" i="3"/>
  <c r="AM16" i="3"/>
  <c r="I14" i="45" s="1"/>
  <c r="AR16" i="3"/>
  <c r="AS16" i="3"/>
  <c r="AT47" i="3"/>
  <c r="J45" i="45" s="1"/>
  <c r="N104" i="3"/>
  <c r="AF102" i="3" s="1"/>
  <c r="C75" i="46" s="1"/>
  <c r="AQ47" i="3"/>
  <c r="AP47" i="3"/>
  <c r="AR46" i="3"/>
  <c r="AK46" i="3" a="1"/>
  <c r="AK46" i="3" s="1"/>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F404" i="40"/>
  <c r="C119" i="40"/>
  <c r="F261" i="40"/>
  <c r="F488" i="40"/>
  <c r="AQ49" i="3"/>
  <c r="AN49" i="3"/>
  <c r="AS49" i="3"/>
  <c r="AM49" i="3"/>
  <c r="I47" i="45" s="1"/>
  <c r="AK23" i="3" a="1"/>
  <c r="AK23" i="3" s="1"/>
  <c r="C149" i="40"/>
  <c r="C120" i="40"/>
  <c r="F376" i="40"/>
  <c r="F213" i="40"/>
  <c r="F95" i="40"/>
  <c r="F491" i="40"/>
  <c r="F397" i="40"/>
  <c r="C443" i="40"/>
  <c r="F104" i="40"/>
  <c r="F476" i="40"/>
  <c r="C43" i="40"/>
  <c r="F106" i="40"/>
  <c r="C269"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29" i="40"/>
  <c r="C125" i="40"/>
  <c r="C130" i="40"/>
  <c r="AT23" i="3"/>
  <c r="J21" i="45" s="1"/>
  <c r="H21" i="45"/>
  <c r="AO23" i="3"/>
  <c r="N103" i="3"/>
  <c r="AF104" i="3" s="1"/>
  <c r="C77" i="46" s="1"/>
  <c r="AP23" i="3"/>
  <c r="AS23" i="3"/>
  <c r="AQ23" i="3"/>
  <c r="AN23" i="3"/>
  <c r="AR23" i="3"/>
  <c r="AM23" i="3"/>
  <c r="I21" i="45" s="1"/>
  <c r="AS46" i="3"/>
  <c r="AQ46" i="3"/>
  <c r="AN46" i="3"/>
  <c r="H44" i="45"/>
  <c r="M113" i="3"/>
  <c r="AA113" i="3" s="1"/>
  <c r="B86" i="46" s="1"/>
  <c r="I315" i="40"/>
  <c r="I69" i="40"/>
  <c r="I90" i="40"/>
  <c r="I29" i="40"/>
  <c r="F310" i="40"/>
  <c r="H105" i="40"/>
  <c r="H23" i="40"/>
  <c r="H229" i="40"/>
  <c r="H390" i="40"/>
  <c r="H11" i="40"/>
  <c r="H389" i="40"/>
  <c r="H58" i="40"/>
  <c r="H457" i="40"/>
  <c r="H387" i="40"/>
  <c r="H181" i="40"/>
  <c r="H270" i="40"/>
  <c r="H324" i="40"/>
  <c r="I443" i="40"/>
  <c r="I65" i="40"/>
  <c r="I52" i="40"/>
  <c r="I214" i="40"/>
  <c r="I247" i="40"/>
  <c r="I224" i="40"/>
  <c r="E8" i="40"/>
  <c r="C427" i="40"/>
  <c r="J75" i="40"/>
  <c r="C383"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H159" i="40"/>
  <c r="F309" i="40"/>
  <c r="H335" i="40"/>
  <c r="C326" i="40"/>
  <c r="H412" i="40"/>
  <c r="H487" i="40"/>
  <c r="H217" i="40"/>
  <c r="H325" i="40"/>
  <c r="H419" i="40"/>
  <c r="I151" i="40"/>
  <c r="I190" i="40"/>
  <c r="I77" i="40"/>
  <c r="I168" i="40"/>
  <c r="I423" i="40"/>
  <c r="I102" i="40"/>
  <c r="I203" i="40"/>
  <c r="I418" i="40"/>
  <c r="I312"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F198" i="40"/>
  <c r="H141" i="40"/>
  <c r="I59"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H446" i="40"/>
  <c r="H475" i="40"/>
  <c r="F334" i="40"/>
  <c r="F323" i="40"/>
  <c r="F365" i="40"/>
  <c r="AS48" i="3"/>
  <c r="AP48" i="3"/>
  <c r="AQ48" i="3"/>
  <c r="AT48" i="3"/>
  <c r="J46" i="45" s="1"/>
  <c r="H46" i="45"/>
  <c r="E416" i="40"/>
  <c r="E74" i="40"/>
  <c r="E71" i="40"/>
  <c r="E423" i="40"/>
  <c r="E371" i="40"/>
  <c r="E53" i="40"/>
  <c r="E301" i="40"/>
  <c r="E310" i="40"/>
  <c r="E344" i="40"/>
  <c r="E472" i="40"/>
  <c r="E483" i="40"/>
  <c r="E140" i="40"/>
  <c r="E435" i="40"/>
  <c r="E82" i="40"/>
  <c r="E448" i="40"/>
  <c r="E143" i="40"/>
  <c r="I394" i="40"/>
  <c r="I291" i="40"/>
  <c r="I257" i="40"/>
  <c r="I163" i="40"/>
  <c r="I433" i="40"/>
  <c r="I99" i="40"/>
  <c r="I195" i="40"/>
  <c r="I39" i="40"/>
  <c r="I16" i="40"/>
  <c r="I170"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H138" i="40"/>
  <c r="F443" i="40"/>
  <c r="F347" i="40"/>
  <c r="H449" i="40"/>
  <c r="F36" i="40"/>
  <c r="F492" i="40"/>
  <c r="F192" i="40"/>
  <c r="H140" i="40"/>
  <c r="F339" i="40"/>
  <c r="F278" i="40"/>
  <c r="F321" i="40"/>
  <c r="H236" i="40"/>
  <c r="AM48" i="3"/>
  <c r="I46" i="45" s="1"/>
  <c r="E362" i="40"/>
  <c r="E365" i="40"/>
  <c r="E480" i="40"/>
  <c r="E109" i="40"/>
  <c r="E342" i="40"/>
  <c r="E386" i="40"/>
  <c r="E134" i="40"/>
  <c r="E331" i="40"/>
  <c r="E120" i="40"/>
  <c r="E436" i="40"/>
  <c r="E57" i="40"/>
  <c r="E332" i="40"/>
  <c r="E76" i="40"/>
  <c r="E475" i="40"/>
  <c r="E495" i="40"/>
  <c r="E445" i="40"/>
  <c r="E343" i="40"/>
  <c r="E456" i="40"/>
  <c r="E358" i="40"/>
  <c r="E447" i="40"/>
  <c r="E485" i="40"/>
  <c r="E326" i="40"/>
  <c r="E409" i="40"/>
  <c r="E493" i="40"/>
  <c r="E388" i="40"/>
  <c r="E391" i="40"/>
  <c r="E393" i="40"/>
  <c r="E306" i="40"/>
  <c r="E164" i="40"/>
  <c r="I466" i="40"/>
  <c r="I324" i="40"/>
  <c r="I384" i="40"/>
  <c r="I244" i="40"/>
  <c r="I277" i="40"/>
  <c r="I158" i="40"/>
  <c r="I233" i="40"/>
  <c r="I144"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BF60" i="3"/>
  <c r="BE60" i="3" s="1"/>
  <c r="BR60" i="3" s="1"/>
  <c r="AR48" i="3"/>
  <c r="AO48" i="3"/>
  <c r="AN48" i="3"/>
  <c r="AK48" i="3" a="1"/>
  <c r="AK48" i="3" s="1"/>
  <c r="E476" i="40"/>
  <c r="E97" i="40"/>
  <c r="E384" i="40"/>
  <c r="E323" i="40"/>
  <c r="E95" i="40"/>
  <c r="E336" i="40"/>
  <c r="E425" i="40"/>
  <c r="E488" i="40"/>
  <c r="E496" i="40"/>
  <c r="E401" i="40"/>
  <c r="E474" i="40"/>
  <c r="E104" i="40"/>
  <c r="E396" i="40"/>
  <c r="E87" i="40"/>
  <c r="E400" i="40"/>
  <c r="E354" i="40"/>
  <c r="E131" i="40"/>
  <c r="E377" i="40"/>
  <c r="E290" i="40"/>
  <c r="E133" i="40"/>
  <c r="E394" i="40"/>
  <c r="E319" i="40"/>
  <c r="E464" i="40"/>
  <c r="E335" i="40"/>
  <c r="E142" i="40"/>
  <c r="E165" i="40"/>
  <c r="E340" i="40"/>
  <c r="E421" i="40"/>
  <c r="E64" i="40"/>
  <c r="E397" i="40"/>
  <c r="E311" i="40"/>
  <c r="E147" i="40"/>
  <c r="E66" i="40"/>
  <c r="E49" i="40"/>
  <c r="E455" i="40"/>
  <c r="I434" i="40"/>
  <c r="I23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398" i="40"/>
  <c r="E419" i="40"/>
  <c r="E414" i="40"/>
  <c r="E452" i="40"/>
  <c r="E154" i="40"/>
  <c r="E378" i="40"/>
  <c r="E307" i="40"/>
  <c r="E161" i="40"/>
  <c r="E459" i="40"/>
  <c r="E461" i="40"/>
  <c r="E159" i="40"/>
  <c r="E415" i="40"/>
  <c r="E91" i="40"/>
  <c r="E72" i="40"/>
  <c r="E420" i="40"/>
  <c r="E106" i="40"/>
  <c r="E114" i="40"/>
  <c r="E141" i="40"/>
  <c r="E430" i="40"/>
  <c r="E347" i="40"/>
  <c r="E58" i="40"/>
  <c r="E65" i="40"/>
  <c r="E107" i="40"/>
  <c r="E299" i="40"/>
  <c r="E69" i="40"/>
  <c r="E153" i="40"/>
  <c r="E63" i="40"/>
  <c r="E494" i="40"/>
  <c r="E327" i="40"/>
  <c r="E139" i="40"/>
  <c r="E389" i="40"/>
  <c r="E305" i="40"/>
  <c r="E487" i="40"/>
  <c r="E75" i="40"/>
  <c r="E373" i="40"/>
  <c r="E341" i="40"/>
  <c r="E462" i="40"/>
  <c r="E438" i="40"/>
  <c r="E60" i="40"/>
  <c r="E482" i="40"/>
  <c r="E355" i="40"/>
  <c r="I351" i="40"/>
  <c r="I177" i="40"/>
  <c r="I393" i="40"/>
  <c r="I407" i="40"/>
  <c r="I37" i="40"/>
  <c r="I127" i="40"/>
  <c r="I267" i="40"/>
  <c r="I154" i="40"/>
  <c r="I17" i="40"/>
  <c r="I175" i="40"/>
  <c r="I270" i="40"/>
  <c r="D394" i="40"/>
  <c r="I365" i="40"/>
  <c r="D443" i="40"/>
  <c r="J88" i="40"/>
  <c r="I265" i="40"/>
  <c r="E434" i="40"/>
  <c r="E440" i="40"/>
  <c r="E360" i="40"/>
  <c r="E367" i="40"/>
  <c r="E349" i="40"/>
  <c r="E403" i="40"/>
  <c r="E446" i="40"/>
  <c r="E363" i="40"/>
  <c r="E151" i="40"/>
  <c r="E468" i="40"/>
  <c r="E478" i="40"/>
  <c r="E166" i="40"/>
  <c r="E433" i="40"/>
  <c r="E432" i="40"/>
  <c r="E157" i="40"/>
  <c r="E345" i="40"/>
  <c r="E449" i="40"/>
  <c r="E121" i="40"/>
  <c r="E68" i="40"/>
  <c r="E132" i="40"/>
  <c r="E73" i="40"/>
  <c r="E387" i="40"/>
  <c r="E489" i="40"/>
  <c r="E287" i="40"/>
  <c r="E404" i="40"/>
  <c r="E148" i="40"/>
  <c r="E325" i="40"/>
  <c r="E390" i="40"/>
  <c r="E418" i="40"/>
  <c r="E309" i="40"/>
  <c r="E465" i="40"/>
  <c r="E463" i="40"/>
  <c r="E145" i="40"/>
  <c r="E490" i="40"/>
  <c r="E359" i="40"/>
  <c r="E372" i="40"/>
  <c r="I157" i="40"/>
  <c r="I142" i="40"/>
  <c r="I336" i="40"/>
  <c r="I341"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I379" i="40"/>
  <c r="I307" i="40"/>
  <c r="I138" i="40"/>
  <c r="I467" i="40"/>
  <c r="I98" i="40"/>
  <c r="I353" i="40"/>
  <c r="I472" i="40"/>
  <c r="I57"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H28" i="45"/>
  <c r="AN30" i="3"/>
  <c r="AK30" i="3" a="1"/>
  <c r="AK30" i="3" s="1"/>
  <c r="AP30" i="3"/>
  <c r="AQ30" i="3"/>
  <c r="AT30" i="3"/>
  <c r="J28" i="45" s="1"/>
  <c r="AM30" i="3"/>
  <c r="I28" i="45" s="1"/>
  <c r="AO30" i="3"/>
  <c r="AS30" i="3"/>
  <c r="AR30" i="3"/>
  <c r="M109" i="3"/>
  <c r="AA110" i="3" s="1"/>
  <c r="B83" i="46" s="1"/>
  <c r="J135" i="40"/>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AO97" i="3"/>
  <c r="AR39" i="3"/>
  <c r="AM39" i="3"/>
  <c r="I37" i="45" s="1"/>
  <c r="M106" i="3"/>
  <c r="AA105" i="3" s="1"/>
  <c r="B78" i="46" s="1"/>
  <c r="AQ39" i="3"/>
  <c r="AS39" i="3"/>
  <c r="AN39" i="3"/>
  <c r="AT39" i="3"/>
  <c r="J37" i="45" s="1"/>
  <c r="H37" i="45"/>
  <c r="AM88" i="3"/>
  <c r="U38" i="45" s="1"/>
  <c r="AO88" i="3"/>
  <c r="AT88" i="3"/>
  <c r="V38" i="45" s="1"/>
  <c r="AR88" i="3"/>
  <c r="AQ88" i="3"/>
  <c r="AN88" i="3"/>
  <c r="AP88" i="3"/>
  <c r="T38" i="45"/>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AN41" i="3"/>
  <c r="H39" i="45"/>
  <c r="AT41" i="3"/>
  <c r="J39" i="45" s="1"/>
  <c r="AP41" i="3"/>
  <c r="AQ41" i="3"/>
  <c r="AS41" i="3"/>
  <c r="AO41" i="3"/>
  <c r="AM41" i="3"/>
  <c r="I39" i="45" s="1"/>
  <c r="AK41" i="3" a="1"/>
  <c r="AK41" i="3" s="1"/>
  <c r="AK97" i="3" a="1"/>
  <c r="AK97" i="3" s="1"/>
  <c r="AQ97" i="3"/>
  <c r="AO39" i="3"/>
  <c r="I161" i="40"/>
  <c r="J195" i="40"/>
  <c r="J328" i="40"/>
  <c r="I181" i="40"/>
  <c r="E23"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R41" i="3"/>
  <c r="AN97" i="3"/>
  <c r="AS97" i="3"/>
  <c r="AR97" i="3"/>
  <c r="AM97" i="3"/>
  <c r="U47" i="45" s="1"/>
  <c r="AP97" i="3"/>
  <c r="AT97" i="3"/>
  <c r="V47" i="45" s="1"/>
  <c r="T47" i="45"/>
  <c r="AP39" i="3"/>
  <c r="AK39" i="3" a="1"/>
  <c r="AK39" i="3" s="1"/>
  <c r="AK88" i="3" a="1"/>
  <c r="AK88" i="3" s="1"/>
  <c r="AS88" i="3"/>
  <c r="I442" i="40"/>
  <c r="I71" i="40"/>
  <c r="I352" i="40"/>
  <c r="I26" i="40"/>
  <c r="I212" i="40"/>
  <c r="I179" i="40"/>
  <c r="I55" i="40"/>
  <c r="I373" i="40"/>
  <c r="I22" i="40"/>
  <c r="I50" i="40"/>
  <c r="I4" i="40"/>
  <c r="I111" i="40"/>
  <c r="I322" i="40"/>
  <c r="I23" i="40"/>
  <c r="I35"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T7" i="45"/>
  <c r="T45" i="45"/>
  <c r="E223" i="40"/>
  <c r="J387" i="40"/>
  <c r="E260" i="40"/>
  <c r="D83" i="40"/>
  <c r="D220" i="40"/>
  <c r="D382" i="40"/>
  <c r="D402" i="40"/>
  <c r="AT63" i="3"/>
  <c r="V13" i="45" s="1"/>
  <c r="D253" i="40"/>
  <c r="E187" i="40"/>
  <c r="D64" i="40"/>
  <c r="D147" i="40"/>
  <c r="AO63" i="3"/>
  <c r="AN57" i="3"/>
  <c r="AK95" i="3" a="1"/>
  <c r="AK95" i="3" s="1"/>
  <c r="D307" i="40"/>
  <c r="E10" i="40"/>
  <c r="AN63" i="3"/>
  <c r="AR57" i="3"/>
  <c r="AP57" i="3"/>
  <c r="AO57" i="3"/>
  <c r="D380" i="40"/>
  <c r="AP54" i="3"/>
  <c r="AQ54" i="3"/>
  <c r="T4" i="45"/>
  <c r="AS54" i="3"/>
  <c r="AN54" i="3"/>
  <c r="AM54" i="3"/>
  <c r="U4" i="45" s="1"/>
  <c r="AT54" i="3"/>
  <c r="V4" i="45" s="1"/>
  <c r="AK54" i="3" a="1"/>
  <c r="AK54" i="3" s="1"/>
  <c r="AR54" i="3"/>
  <c r="AO54" i="3"/>
  <c r="AK57" i="3" a="1"/>
  <c r="AK57" i="3" s="1"/>
  <c r="E199" i="40"/>
  <c r="D156" i="40"/>
  <c r="E22" i="40"/>
  <c r="D464" i="40"/>
  <c r="D326" i="40"/>
  <c r="D296" i="40"/>
  <c r="D189" i="40"/>
  <c r="D360" i="40"/>
  <c r="E196" i="40"/>
  <c r="G140" i="40"/>
  <c r="D357" i="40"/>
  <c r="D407" i="40"/>
  <c r="E184" i="40"/>
  <c r="AQ57" i="3"/>
  <c r="AT57" i="3"/>
  <c r="V7" i="45" s="1"/>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AS57" i="3"/>
  <c r="G101" i="40"/>
  <c r="D32" i="40"/>
  <c r="E251" i="40"/>
  <c r="AM57" i="3"/>
  <c r="U7" i="45" s="1"/>
  <c r="D84" i="40"/>
  <c r="E186" i="40"/>
  <c r="D62"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D81" i="40"/>
  <c r="D478" i="40"/>
  <c r="H295" i="40"/>
  <c r="D200" i="40"/>
  <c r="D244" i="40"/>
  <c r="H83" i="40"/>
  <c r="H375" i="40"/>
  <c r="D286" i="40"/>
  <c r="H290" i="40"/>
  <c r="D16" i="40"/>
  <c r="D309" i="40"/>
  <c r="D19" i="40"/>
  <c r="D433" i="40"/>
  <c r="D14" i="40"/>
  <c r="D475" i="40"/>
  <c r="D383" i="40"/>
  <c r="H211" i="40"/>
  <c r="D139" i="40"/>
  <c r="D160" i="40"/>
  <c r="D145" i="40"/>
  <c r="H298" i="40"/>
  <c r="D222" i="40"/>
  <c r="D479" i="40"/>
  <c r="H175" i="40"/>
  <c r="D257" i="40"/>
  <c r="D137" i="40"/>
  <c r="D221" i="40"/>
  <c r="D285" i="40"/>
  <c r="D41" i="40"/>
  <c r="D454" i="40"/>
  <c r="D115" i="40"/>
  <c r="D460" i="40"/>
  <c r="D227" i="40"/>
  <c r="D368" i="40"/>
  <c r="D38" i="40"/>
  <c r="D260" i="40"/>
  <c r="D201" i="40"/>
  <c r="D173" i="40"/>
  <c r="D17" i="40"/>
  <c r="D143" i="40"/>
  <c r="H376" i="40"/>
  <c r="D27" i="40"/>
  <c r="D474" i="40"/>
  <c r="D363" i="40"/>
  <c r="D426" i="40"/>
  <c r="D144" i="40"/>
  <c r="H168" i="40"/>
  <c r="D258" i="40"/>
  <c r="D103" i="40"/>
  <c r="H307" i="40"/>
  <c r="D184" i="40"/>
  <c r="H170" i="40"/>
  <c r="D25" i="40"/>
  <c r="D88" i="40"/>
  <c r="H51" i="40"/>
  <c r="D11" i="40"/>
  <c r="H384" i="40"/>
  <c r="D124" i="40"/>
  <c r="D250" i="40"/>
  <c r="D259" i="40"/>
  <c r="H346" i="40"/>
  <c r="D390" i="40"/>
  <c r="H305" i="40"/>
  <c r="D45" i="40"/>
  <c r="H373" i="40"/>
  <c r="D313" i="40"/>
  <c r="D280" i="40"/>
  <c r="H12" i="40"/>
  <c r="D265" i="40"/>
  <c r="D7" i="40"/>
  <c r="D425" i="40"/>
  <c r="D57" i="40"/>
  <c r="D493" i="40"/>
  <c r="D261" i="40"/>
  <c r="H350" i="40"/>
  <c r="H292" i="40"/>
  <c r="D234" i="40"/>
  <c r="D37" i="40"/>
  <c r="H328" i="40"/>
  <c r="D206" i="40"/>
  <c r="D199" i="40"/>
  <c r="H372" i="40"/>
  <c r="D187" i="40"/>
  <c r="D422" i="40"/>
  <c r="D166" i="40"/>
  <c r="D123" i="40"/>
  <c r="D225" i="40"/>
  <c r="D262" i="40"/>
  <c r="AS95" i="3"/>
  <c r="T13" i="45"/>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O95" i="3"/>
  <c r="AK62" i="3" a="1"/>
  <c r="AK62" i="3" s="1"/>
  <c r="T12" i="45"/>
  <c r="AM86" i="3"/>
  <c r="U36" i="45" s="1"/>
  <c r="AS86" i="3"/>
  <c r="AR86" i="3"/>
  <c r="AP95" i="3"/>
  <c r="AP62" i="3"/>
  <c r="AR62" i="3"/>
  <c r="AQ86" i="3"/>
  <c r="AN86" i="3"/>
  <c r="AK86" i="3" a="1"/>
  <c r="AK86" i="3" s="1"/>
  <c r="AM95" i="3"/>
  <c r="U45" i="45" s="1"/>
  <c r="AQ95" i="3"/>
  <c r="AT95" i="3"/>
  <c r="V45" i="45" s="1"/>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AQ62" i="3"/>
  <c r="AO62" i="3"/>
  <c r="AT62" i="3"/>
  <c r="V12" i="45" s="1"/>
  <c r="AS62" i="3"/>
  <c r="AN62" i="3"/>
  <c r="AM62" i="3"/>
  <c r="U12" i="45" s="1"/>
  <c r="AT86" i="3"/>
  <c r="V36" i="45" s="1"/>
  <c r="AO86" i="3"/>
  <c r="AP86" i="3"/>
  <c r="T36" i="45"/>
  <c r="AR95" i="3"/>
  <c r="AN95" i="3"/>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AT71" i="3"/>
  <c r="V21" i="45" s="1"/>
  <c r="AO78" i="3"/>
  <c r="AM78" i="3"/>
  <c r="U28" i="45" s="1"/>
  <c r="AN78" i="3"/>
  <c r="T28" i="45"/>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AN71" i="3"/>
  <c r="AQ78" i="3"/>
  <c r="AR78" i="3"/>
  <c r="AS78" i="3"/>
  <c r="AP78" i="3"/>
  <c r="AT78" i="3"/>
  <c r="V28" i="45" s="1"/>
  <c r="AR72" i="3"/>
  <c r="J148" i="40"/>
  <c r="J433" i="40"/>
  <c r="J233" i="40"/>
  <c r="J408" i="40"/>
  <c r="J117" i="40"/>
  <c r="AN80" i="3"/>
  <c r="AS80" i="3"/>
  <c r="AT80" i="3"/>
  <c r="V30" i="45" s="1"/>
  <c r="AP80" i="3"/>
  <c r="AQ80" i="3"/>
  <c r="AM80" i="3"/>
  <c r="U30" i="45" s="1"/>
  <c r="AK80" i="3" a="1"/>
  <c r="AK80" i="3" s="1"/>
  <c r="AO80" i="3"/>
  <c r="AR80" i="3"/>
  <c r="T30" i="45"/>
  <c r="AK71" i="3" a="1"/>
  <c r="AK71" i="3" s="1"/>
  <c r="AK78" i="3" a="1"/>
  <c r="AK78" i="3" s="1"/>
  <c r="AN72" i="3"/>
  <c r="T22" i="45"/>
  <c r="AM71" i="3"/>
  <c r="U21" i="45" s="1"/>
  <c r="AS71" i="3"/>
  <c r="AP71" i="3"/>
  <c r="AR71" i="3"/>
  <c r="AO71" i="3"/>
  <c r="AQ71" i="3"/>
  <c r="T21" i="45"/>
  <c r="AT72" i="3"/>
  <c r="V22" i="45" s="1"/>
  <c r="AS72" i="3"/>
  <c r="AP72" i="3"/>
  <c r="AK72" i="3" a="1"/>
  <c r="AK72" i="3" s="1"/>
  <c r="AM72" i="3"/>
  <c r="U22" i="45" s="1"/>
  <c r="AO72" i="3"/>
  <c r="AQ72" i="3"/>
  <c r="AS87" i="3"/>
  <c r="AN87" i="3"/>
  <c r="T37" i="45"/>
  <c r="AP87" i="3"/>
  <c r="AO87" i="3"/>
  <c r="AQ87" i="3"/>
  <c r="AK87" i="3" a="1"/>
  <c r="AK87" i="3" s="1"/>
  <c r="AT87" i="3"/>
  <c r="V37" i="45" s="1"/>
  <c r="AR87" i="3"/>
  <c r="AM87" i="3"/>
  <c r="U37" i="45" s="1"/>
  <c r="I205" i="40"/>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AK64" i="3" a="1"/>
  <c r="AK64" i="3" s="1"/>
  <c r="AR64" i="3"/>
  <c r="AT64" i="3"/>
  <c r="V14" i="45" s="1"/>
  <c r="AM64" i="3"/>
  <c r="U14" i="45" s="1"/>
  <c r="AQ64" i="3"/>
  <c r="AN64" i="3"/>
  <c r="AO64" i="3"/>
  <c r="AP64" i="3"/>
  <c r="T14" i="45"/>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S64" i="3"/>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BF63" i="3"/>
  <c r="BJ63" i="3" s="1"/>
  <c r="BF65" i="3"/>
  <c r="BJ65" i="3" s="1"/>
  <c r="BF59" i="3"/>
  <c r="BJ59" i="3" s="1"/>
  <c r="BF69" i="3"/>
  <c r="BE69" i="3" s="1"/>
  <c r="BR69" i="3" s="1"/>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15" i="3" l="1"/>
  <c r="AG115" i="3" s="1"/>
  <c r="D114" i="3"/>
  <c r="AG114" i="3" s="1"/>
  <c r="D112" i="3"/>
  <c r="AG112" i="3" s="1"/>
  <c r="D111" i="3"/>
  <c r="AG111" i="3" s="1"/>
  <c r="D101" i="3"/>
  <c r="AG101" i="3" s="1"/>
  <c r="D105" i="3"/>
  <c r="N122" i="3" s="1"/>
  <c r="AF122" i="3" s="1"/>
  <c r="C92" i="46" s="1"/>
  <c r="D104" i="3"/>
  <c r="AG104" i="3" s="1"/>
  <c r="AA16" i="45"/>
  <c r="C157" i="31"/>
  <c r="D102" i="3"/>
  <c r="M122" i="3" s="1"/>
  <c r="AA122" i="3" s="1"/>
  <c r="B92" i="46" s="1"/>
  <c r="AA27" i="45"/>
  <c r="C131" i="31"/>
  <c r="C137" i="31"/>
  <c r="AA36" i="45"/>
  <c r="C145" i="31"/>
  <c r="AA48" i="45"/>
  <c r="C141" i="31"/>
  <c r="B175" i="31"/>
  <c r="C175" i="31"/>
  <c r="AA15" i="45"/>
  <c r="C144" i="31"/>
  <c r="AA39" i="45"/>
  <c r="AA19" i="45"/>
  <c r="C156" i="31"/>
  <c r="AA6" i="45"/>
  <c r="C135" i="31"/>
  <c r="B178" i="31"/>
  <c r="C178" i="31"/>
  <c r="C160" i="31"/>
  <c r="AA40" i="45"/>
  <c r="C150" i="31"/>
  <c r="AA31" i="45"/>
  <c r="K15" i="45"/>
  <c r="C136" i="31"/>
  <c r="AA43" i="45"/>
  <c r="C159" i="31"/>
  <c r="B174" i="31"/>
  <c r="AA18" i="45"/>
  <c r="C174" i="31"/>
  <c r="C140" i="31"/>
  <c r="AA24" i="45"/>
  <c r="C138" i="31"/>
  <c r="AA3" i="45"/>
  <c r="AA33" i="45"/>
  <c r="B80" i="46"/>
  <c r="K36" i="45"/>
  <c r="C132" i="31"/>
  <c r="K29" i="45"/>
  <c r="C139" i="31"/>
  <c r="AA21" i="45"/>
  <c r="K37" i="45"/>
  <c r="W28" i="45"/>
  <c r="K46" i="45"/>
  <c r="C134" i="31"/>
  <c r="C168" i="31"/>
  <c r="C177" i="31"/>
  <c r="B177" i="31"/>
  <c r="C143" i="31"/>
  <c r="AA42" i="45"/>
  <c r="K22" i="45"/>
  <c r="B168" i="31"/>
  <c r="AA30" i="45"/>
  <c r="K23" i="45"/>
  <c r="K4" i="45"/>
  <c r="AA10" i="45"/>
  <c r="C164" i="31"/>
  <c r="C146" i="31"/>
  <c r="B164" i="31"/>
  <c r="K13" i="45"/>
  <c r="K38" i="45"/>
  <c r="C74" i="46"/>
  <c r="W7" i="45"/>
  <c r="B74" i="46"/>
  <c r="C130" i="31"/>
  <c r="K20" i="45"/>
  <c r="C99" i="31"/>
  <c r="C96" i="31"/>
  <c r="C98" i="31"/>
  <c r="C97" i="31"/>
  <c r="C91" i="31"/>
  <c r="C89" i="31"/>
  <c r="C88" i="31"/>
  <c r="K21" i="45"/>
  <c r="C116" i="31"/>
  <c r="C119" i="31"/>
  <c r="C117" i="31"/>
  <c r="W31" i="45"/>
  <c r="K31" i="45"/>
  <c r="C90" i="31"/>
  <c r="C118" i="31"/>
  <c r="AA13" i="45"/>
  <c r="C149" i="31"/>
  <c r="K47" i="45"/>
  <c r="C103" i="31"/>
  <c r="B165" i="31"/>
  <c r="C102" i="31"/>
  <c r="C94" i="31"/>
  <c r="C95" i="31"/>
  <c r="K45" i="45"/>
  <c r="AA28" i="45"/>
  <c r="C101" i="31"/>
  <c r="C93" i="31"/>
  <c r="C165" i="31"/>
  <c r="C147" i="31"/>
  <c r="C92" i="31"/>
  <c r="K14" i="45"/>
  <c r="W20" i="45"/>
  <c r="K44" i="45"/>
  <c r="B167" i="31"/>
  <c r="C167" i="31"/>
  <c r="C133" i="31"/>
  <c r="AA12" i="45"/>
  <c r="C100" i="31"/>
  <c r="K30" i="45"/>
  <c r="C86" i="31"/>
  <c r="C87" i="31"/>
  <c r="C85" i="31"/>
  <c r="K6" i="45"/>
  <c r="K5" i="45"/>
  <c r="C80" i="31"/>
  <c r="C82" i="31"/>
  <c r="C83" i="31"/>
  <c r="K7" i="45"/>
  <c r="K39" i="45"/>
  <c r="C84" i="31"/>
  <c r="C142" i="31"/>
  <c r="AA45" i="45"/>
  <c r="K28" i="45"/>
  <c r="K12" i="45"/>
  <c r="C81" i="31"/>
  <c r="W38" i="45"/>
  <c r="W47" i="45"/>
  <c r="C114" i="31"/>
  <c r="C115" i="31"/>
  <c r="W4" i="45"/>
  <c r="C105" i="31"/>
  <c r="C104" i="31"/>
  <c r="C106" i="31"/>
  <c r="C112" i="31"/>
  <c r="C113" i="31"/>
  <c r="W13" i="45"/>
  <c r="W39" i="45"/>
  <c r="W6" i="45"/>
  <c r="W23" i="45"/>
  <c r="W36" i="45"/>
  <c r="C120" i="31"/>
  <c r="C124" i="31"/>
  <c r="C110" i="31"/>
  <c r="C122" i="31"/>
  <c r="W15" i="45"/>
  <c r="C108" i="31"/>
  <c r="C127" i="31"/>
  <c r="C107" i="31"/>
  <c r="W12" i="45"/>
  <c r="W46" i="45"/>
  <c r="C121" i="31"/>
  <c r="C123" i="31"/>
  <c r="W45" i="45"/>
  <c r="C111" i="31"/>
  <c r="C109" i="31"/>
  <c r="C126" i="31"/>
  <c r="W21" i="45"/>
  <c r="W44" i="45"/>
  <c r="W30" i="45"/>
  <c r="C125" i="31"/>
  <c r="W37" i="45"/>
  <c r="W22" i="45"/>
  <c r="W14" i="45"/>
  <c r="W29" i="45"/>
  <c r="W5" i="45"/>
  <c r="BL63" i="3"/>
  <c r="BL65" i="3"/>
  <c r="BL59" i="3"/>
  <c r="BL64" i="3"/>
  <c r="BE58" i="3"/>
  <c r="BR58" i="3" s="1"/>
  <c r="BJ58" i="3"/>
  <c r="BL58" i="3" s="1"/>
  <c r="BE67" i="3"/>
  <c r="BR67" i="3" s="1"/>
  <c r="BK67" i="3"/>
  <c r="BL67" i="3" s="1"/>
  <c r="BK62" i="3"/>
  <c r="BL62" i="3" s="1"/>
  <c r="BE62" i="3"/>
  <c r="BR62" i="3" s="1"/>
  <c r="BL61" i="3"/>
  <c r="BL66" i="3"/>
  <c r="BL60" i="3"/>
  <c r="BL68" i="3"/>
  <c r="BL69" i="3"/>
  <c r="D122" i="3" l="1"/>
  <c r="AG122" i="3" s="1"/>
  <c r="M121" i="3"/>
  <c r="AA120" i="3" s="1"/>
  <c r="B90" i="46" s="1"/>
  <c r="M126" i="3"/>
  <c r="AA126" i="3" s="1"/>
  <c r="M124" i="3"/>
  <c r="AA124" i="3" s="1"/>
  <c r="N124" i="3"/>
  <c r="AF124" i="3" s="1"/>
  <c r="N126" i="3"/>
  <c r="AF126" i="3" s="1"/>
  <c r="C96" i="46" s="1"/>
  <c r="AG105" i="3"/>
  <c r="AE29" i="45"/>
  <c r="C192" i="31"/>
  <c r="N121" i="3"/>
  <c r="AF120" i="3" s="1"/>
  <c r="AE28" i="45"/>
  <c r="C184" i="31"/>
  <c r="C202" i="31"/>
  <c r="B202" i="31"/>
  <c r="AG102" i="3"/>
  <c r="BS63" i="3"/>
  <c r="BS68" i="3"/>
  <c r="BS66" i="3"/>
  <c r="BS65" i="3"/>
  <c r="BS58" i="3"/>
  <c r="BS69" i="3"/>
  <c r="BS60" i="3"/>
  <c r="BS64" i="3"/>
  <c r="BS67" i="3"/>
  <c r="BS62" i="3"/>
  <c r="BS61" i="3"/>
  <c r="BS59" i="3"/>
  <c r="M133" i="3" l="1"/>
  <c r="AA133" i="3" s="1"/>
  <c r="D126" i="3"/>
  <c r="M134" i="3" s="1"/>
  <c r="AA134" i="3" s="1"/>
  <c r="D124" i="3"/>
  <c r="M132" i="3" s="1"/>
  <c r="AA132" i="3" s="1"/>
  <c r="AE10" i="45"/>
  <c r="C182" i="31"/>
  <c r="D120" i="3"/>
  <c r="B96" i="46"/>
  <c r="C188" i="31"/>
  <c r="AE40" i="45"/>
  <c r="C186" i="31"/>
  <c r="B94" i="46"/>
  <c r="AE16" i="45"/>
  <c r="C94" i="46"/>
  <c r="AE17" i="45"/>
  <c r="C204" i="31"/>
  <c r="C194" i="31"/>
  <c r="B204" i="31"/>
  <c r="C206" i="31"/>
  <c r="B206" i="31"/>
  <c r="C196" i="31"/>
  <c r="AE41" i="45"/>
  <c r="AE11" i="45"/>
  <c r="C200" i="31"/>
  <c r="C90" i="46"/>
  <c r="B200" i="31"/>
  <c r="C190" i="3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C212" i="31" l="1"/>
  <c r="AI31" i="45"/>
  <c r="B100" i="46"/>
  <c r="AI43" i="45"/>
  <c r="B101" i="46"/>
  <c r="C213" i="31"/>
  <c r="AG126" i="3"/>
  <c r="AG124" i="3"/>
  <c r="C211" i="31"/>
  <c r="B99" i="46"/>
  <c r="AI19" i="45"/>
  <c r="AG120" i="3"/>
  <c r="N131" i="3"/>
  <c r="AF131" i="3" s="1"/>
  <c r="C98" i="46" s="1"/>
  <c r="BV61" i="3"/>
  <c r="BV60" i="3"/>
  <c r="BV66" i="3"/>
  <c r="BV69" i="3"/>
  <c r="BV65" i="3"/>
  <c r="BV68" i="3"/>
  <c r="BV62" i="3"/>
  <c r="BV59" i="3"/>
  <c r="BV64" i="3"/>
  <c r="BV58" i="3"/>
  <c r="BV67" i="3"/>
  <c r="BV63" i="3"/>
  <c r="AI8" i="45" l="1"/>
  <c r="C214"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M68" i="3"/>
  <c r="DN63" i="3" a="1"/>
  <c r="DM60" i="3"/>
  <c r="CE63" i="3"/>
  <c r="CE61" i="3"/>
  <c r="DN61" i="3" a="1"/>
  <c r="DM64" i="3"/>
  <c r="DN59" i="3" a="1"/>
  <c r="CE65" i="3"/>
  <c r="CE62" i="3"/>
  <c r="DN64" i="3" a="1"/>
  <c r="DN62" i="3" a="1"/>
  <c r="DN62" i="3" s="1"/>
  <c r="DN60" i="3" l="1"/>
  <c r="DN63" i="3"/>
  <c r="DN61" i="3"/>
  <c r="DN59" i="3"/>
  <c r="DN64" i="3"/>
  <c r="CF62" i="3"/>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D138" i="3"/>
  <c r="AA147" i="3"/>
  <c r="B105" i="46" s="1"/>
  <c r="C228" i="31"/>
  <c r="AM14" i="45"/>
  <c r="C229" i="31"/>
  <c r="AM38" i="45" a="1"/>
  <c r="AM38" i="45" s="1"/>
  <c r="M138" i="3"/>
  <c r="AA138" i="3" s="1"/>
  <c r="B102" i="46" s="1"/>
  <c r="AG131" i="3"/>
  <c r="AM37" i="45" l="1"/>
  <c r="C233" i="31"/>
  <c r="H139" i="3"/>
  <c r="AF143" i="3"/>
  <c r="C104" i="46" s="1"/>
  <c r="C227" i="31"/>
  <c r="B233" i="31"/>
  <c r="H147" i="3"/>
  <c r="AA151" i="3"/>
  <c r="AA150" i="3"/>
  <c r="D147" i="3"/>
  <c r="AG147" i="3" s="1"/>
  <c r="N147" i="3"/>
  <c r="AG139" i="3"/>
  <c r="N143" i="3"/>
  <c r="AU26" i="45"/>
  <c r="C241" i="31"/>
  <c r="H138" i="3"/>
  <c r="AA143" i="3"/>
  <c r="B104" i="46" s="1"/>
  <c r="C240" i="31"/>
  <c r="B247" i="31"/>
  <c r="C247" i="31"/>
  <c r="AU25" i="45"/>
  <c r="M147" i="3"/>
  <c r="M143" i="3"/>
  <c r="AG138" i="3"/>
  <c r="C232" i="31"/>
  <c r="AM13" i="45"/>
  <c r="B232" i="31"/>
  <c r="C226" i="31"/>
  <c r="AQ32" i="45" l="1"/>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M10" i="45"/>
  <c r="BM35" i="45"/>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 r="BL14" i="45" l="1"/>
  <c r="BK14" i="45" s="1"/>
  <c r="BJ14" i="45" s="1"/>
  <c r="BI14" i="45" s="1"/>
  <c r="BH14" i="45" s="1"/>
  <c r="BL17" i="45"/>
  <c r="BK17" i="45" s="1"/>
  <c r="BJ17" i="45" s="1"/>
  <c r="BI17" i="45" s="1"/>
  <c r="BH17" i="45" s="1"/>
  <c r="BL35" i="45"/>
  <c r="BK35" i="45" s="1"/>
  <c r="BJ35" i="45" s="1"/>
  <c r="BI35" i="45" s="1"/>
  <c r="BH35" i="45" s="1"/>
  <c r="BL10" i="45"/>
  <c r="BK10" i="45" s="1"/>
  <c r="BJ10" i="45" s="1"/>
  <c r="BI10" i="45" s="1"/>
  <c r="BH1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<sst xmlns="http://schemas.openxmlformats.org/spreadsheetml/2006/main" count="6813" uniqueCount="1535">
  <si>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</si>
  <si>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</si>
  <si>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</si>
  <si>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</si>
  <si>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</si>
  <si>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</si>
  <si>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</si>
  <si>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</si>
  <si>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</si>
  <si>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</si>
  <si>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</si>
  <si>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</si>
  <si>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</si>
  <si>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</si>
  <si>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</si>
  <si>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</si>
  <si>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</si>
  <si>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</si>
  <si>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</si>
  <si>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</si>
  <si>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</si>
  <si>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</si>
  <si>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</si>
  <si>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</si>
  <si>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</si>
  <si>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</si>
  <si>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</si>
  <si>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</si>
  <si>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</si>
  <si>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</si>
  <si>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</si>
  <si>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</si>
  <si>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</si>
  <si>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</si>
  <si>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</si>
  <si>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</si>
  <si>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</si>
  <si>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</si>
  <si>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</si>
  <si>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</si>
  <si>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</si>
  <si>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</si>
  <si>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</si>
  <si>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</si>
  <si>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</si>
  <si>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</si>
  <si>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</si>
  <si>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</si>
  <si>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</si>
  <si>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</si>
  <si>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</si>
  <si>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</si>
  <si>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</si>
  <si>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</si>
  <si>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</si>
  <si>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</si>
  <si>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</si>
  <si>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</si>
  <si>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</si>
  <si>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</si>
  <si>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</si>
  <si>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</si>
  <si>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</si>
  <si>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</si>
  <si>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</si>
  <si>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</si>
  <si>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</si>
  <si>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</si>
  <si>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</si>
  <si>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</si>
  <si>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</si>
  <si>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</si>
  <si>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</si>
  <si>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</si>
  <si>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</si>
  <si>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</si>
  <si>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</si>
  <si>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</si>
  <si>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</si>
  <si>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</si>
  <si>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</si>
  <si>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</si>
  <si>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</si>
  <si>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</si>
  <si>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</si>
  <si>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</si>
  <si>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</si>
  <si>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</si>
  <si>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</si>
  <si>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</si>
  <si>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</si>
  <si>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</si>
  <si>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</si>
  <si>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</si>
  <si>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</si>
  <si>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</si>
  <si>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</si>
  <si>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</si>
  <si>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</si>
  <si>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</si>
  <si>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</si>
  <si>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</si>
  <si>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</si>
  <si>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</si>
  <si>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</si>
  <si>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</si>
  <si>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</si>
  <si>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</si>
  <si>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</si>
  <si>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</si>
  <si>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</si>
  <si>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</si>
  <si>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</si>
  <si>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</si>
  <si>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</si>
  <si>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</si>
  <si>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</si>
  <si>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</si>
  <si>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</si>
  <si>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</si>
  <si>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</si>
  <si>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</si>
  <si>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</si>
  <si>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</si>
  <si>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</si>
  <si>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</si>
  <si>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</si>
  <si>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</si>
  <si>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</si>
  <si>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</si>
  <si>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</si>
  <si>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</si>
  <si>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</si>
  <si>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</si>
  <si>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</si>
  <si>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</si>
  <si>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</si>
  <si>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</si>
  <si>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</si>
  <si>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</si>
  <si>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</si>
  <si>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</si>
  <si>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</si>
  <si>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</si>
  <si>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</si>
  <si>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</si>
  <si>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</si>
  <si>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</si>
  <si>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</si>
  <si>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</si>
  <si>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</si>
  <si>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</si>
  <si>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</si>
  <si>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</si>
  <si>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</si>
  <si>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</si>
  <si>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</si>
  <si>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</si>
  <si>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</si>
  <si>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</si>
  <si>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</si>
  <si>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</si>
  <si>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</si>
  <si>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</si>
  <si>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</si>
  <si>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</si>
  <si>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</si>
  <si>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</si>
  <si>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</si>
  <si>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</si>
  <si>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</si>
  <si>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</si>
  <si>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</si>
  <si>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</si>
  <si>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</si>
  <si>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</si>
  <si>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</si>
  <si>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</si>
  <si>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</si>
  <si>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</si>
  <si>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</si>
  <si>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</si>
  <si>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</si>
  <si>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</si>
  <si>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</si>
  <si>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</si>
  <si>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</si>
  <si>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</si>
  <si>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</si>
  <si>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</si>
  <si>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</si>
  <si>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</si>
  <si>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</si>
  <si>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</si>
  <si>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</si>
  <si>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</si>
  <si>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</si>
  <si>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</si>
  <si>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</si>
  <si>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</si>
  <si>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</si>
  <si>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</si>
  <si>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</si>
  <si>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</si>
  <si>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</si>
  <si>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</si>
  <si>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</si>
  <si>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</si>
  <si>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</si>
  <si>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</si>
  <si>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</si>
  <si>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</si>
  <si>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</si>
  <si>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</si>
  <si>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</si>
  <si>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</si>
  <si>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</si>
  <si>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</si>
  <si>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</si>
  <si>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</si>
  <si>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</si>
  <si>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</si>
  <si>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</si>
  <si>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</si>
  <si>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</si>
  <si>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</si>
  <si>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</si>
  <si>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</si>
  <si>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</si>
  <si>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</si>
  <si>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</si>
  <si>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</si>
  <si>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</si>
  <si>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</si>
  <si>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</si>
  <si>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</si>
  <si>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</si>
  <si>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</si>
  <si>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</si>
  <si>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</si>
  <si>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</si>
  <si>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</si>
  <si>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</si>
  <si>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</si>
  <si>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</si>
  <si>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</si>
  <si>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</si>
  <si>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</si>
  <si>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</si>
  <si>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</si>
  <si>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</si>
  <si>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</si>
  <si>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</si>
  <si>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</si>
  <si>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</si>
  <si>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</si>
  <si>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</si>
  <si>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</si>
  <si>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</si>
  <si>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</si>
  <si>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</si>
  <si>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</si>
  <si>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</si>
  <si>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</si>
  <si>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</si>
  <si>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</si>
  <si>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</si>
  <si>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</si>
  <si>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</si>
  <si>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</si>
  <si>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</si>
  <si>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</si>
  <si>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</si>
  <si>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</si>
  <si>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</si>
  <si>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</si>
  <si>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</si>
  <si>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</si>
  <si>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</si>
  <si>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</si>
  <si>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</si>
  <si>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</si>
  <si>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</si>
  <si>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</si>
  <si>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</si>
  <si>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</si>
  <si>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</si>
  <si>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</si>
  <si>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</si>
  <si>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</si>
  <si>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</si>
  <si>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</si>
  <si>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</si>
  <si>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</si>
  <si>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</si>
  <si>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</si>
  <si>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</si>
  <si>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</si>
  <si>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</si>
  <si>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</si>
  <si>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</si>
  <si>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</si>
  <si>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</si>
  <si>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</si>
  <si>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</si>
  <si>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</si>
  <si>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</si>
  <si>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</si>
  <si>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</si>
  <si>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</si>
  <si>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</si>
  <si>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</si>
  <si>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</si>
  <si>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</si>
  <si>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</si>
  <si>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</si>
  <si>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</si>
  <si>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</si>
  <si>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</si>
  <si>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</si>
  <si>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</si>
  <si>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</si>
  <si>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</si>
  <si>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</si>
  <si>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</si>
  <si>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</si>
  <si>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</si>
  <si>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</si>
  <si>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</si>
  <si>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</si>
  <si>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</si>
  <si>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</si>
  <si>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</si>
  <si>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</si>
  <si>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</si>
  <si>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</si>
  <si>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</si>
  <si>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</si>
  <si>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</si>
  <si>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</si>
  <si>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</si>
  <si>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</si>
  <si>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</si>
  <si>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</si>
  <si>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</si>
  <si>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</si>
  <si>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</si>
  <si>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</si>
  <si>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</si>
  <si>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</si>
  <si>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</si>
  <si>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</si>
  <si>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</si>
  <si>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</si>
  <si>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</si>
  <si>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</si>
  <si>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</si>
  <si>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</si>
  <si>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</si>
  <si>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</si>
  <si>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</si>
  <si>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</si>
  <si>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</si>
  <si>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</si>
  <si>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</si>
  <si>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</si>
  <si>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</si>
  <si>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</si>
  <si>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</si>
  <si>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</si>
  <si>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</si>
  <si>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</si>
  <si>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</si>
  <si>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</si>
  <si>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</si>
  <si>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</si>
  <si>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</si>
  <si>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</si>
  <si>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</si>
  <si>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</si>
  <si>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</si>
  <si>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</si>
  <si>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</si>
  <si>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</si>
  <si>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</si>
  <si>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</si>
  <si>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</si>
  <si>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</si>
  <si>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</si>
  <si>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</si>
  <si>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</si>
  <si>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</si>
  <si>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</si>
  <si>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</si>
  <si>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</si>
  <si>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</si>
  <si>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</si>
  <si>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</si>
  <si>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</si>
  <si>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</si>
  <si>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</si>
  <si>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</si>
  <si>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</si>
  <si>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</si>
  <si>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</si>
  <si>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</si>
  <si>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</si>
  <si>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</si>
  <si>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</si>
  <si>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</si>
  <si>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</si>
  <si>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</si>
  <si>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</si>
  <si>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</si>
  <si>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</si>
  <si>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</si>
  <si>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</si>
  <si>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</si>
  <si>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</si>
  <si>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</si>
  <si>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</si>
  <si>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</si>
  <si>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</si>
  <si>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</si>
  <si>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</si>
  <si>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</si>
  <si>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</si>
  <si>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</si>
  <si>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</si>
  <si>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</si>
  <si>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</si>
  <si>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</si>
  <si>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</si>
  <si>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</si>
  <si>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</si>
  <si>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</si>
  <si>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</si>
  <si>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</si>
  <si>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</si>
  <si>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</si>
  <si>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</si>
  <si>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</si>
  <si>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</si>
  <si>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</si>
  <si>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</si>
  <si>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</si>
  <si>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</si>
  <si>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</si>
  <si>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</si>
  <si>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</si>
  <si>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</si>
  <si>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</si>
  <si>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</si>
  <si>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</si>
  <si>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</si>
  <si>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</si>
  <si>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</si>
  <si>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</si>
  <si>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</si>
  <si>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</si>
  <si>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</si>
  <si>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</si>
  <si>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</si>
  <si>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</si>
  <si>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</si>
  <si>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</si>
  <si>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</si>
  <si>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</si>
  <si>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</si>
  <si>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</si>
  <si>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</si>
  <si>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</si>
  <si>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</si>
  <si>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</si>
  <si>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</si>
  <si>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</si>
  <si>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</si>
  <si>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</si>
  <si>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</si>
  <si>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</si>
  <si>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</si>
  <si>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</si>
  <si>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</si>
  <si>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</si>
  <si>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</si>
  <si>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</si>
  <si>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</si>
  <si>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</si>
  <si>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</si>
  <si>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</si>
  <si>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</si>
  <si>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</si>
  <si>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</si>
  <si>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</si>
  <si>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</si>
  <si>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</si>
  <si>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</si>
  <si>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</si>
  <si>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</si>
  <si>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</si>
  <si>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</si>
  <si>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</si>
  <si>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</si>
  <si>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</si>
  <si>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</si>
  <si>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</si>
  <si>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</si>
  <si>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</si>
  <si>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</si>
  <si>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</si>
  <si>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</si>
  <si>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</si>
  <si>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</si>
  <si>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</si>
  <si>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</si>
  <si>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</si>
  <si>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</si>
  <si>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</si>
  <si>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</si>
  <si>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</si>
  <si>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</si>
  <si>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</si>
  <si>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</si>
  <si>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</si>
  <si>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</si>
  <si>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</si>
  <si>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</si>
  <si>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</si>
  <si>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</si>
  <si>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</si>
  <si>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</si>
  <si>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</si>
  <si>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</si>
  <si>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</si>
  <si>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</si>
  <si>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</si>
  <si>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</si>
  <si>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</si>
  <si>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</si>
  <si>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</si>
  <si>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</si>
  <si>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</si>
  <si>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</si>
  <si>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</si>
  <si>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</si>
  <si>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</si>
  <si>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</si>
  <si>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</si>
  <si>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</si>
  <si>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</si>
  <si>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</si>
  <si>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</si>
  <si>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</si>
  <si>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</si>
  <si>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</si>
  <si>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</si>
  <si>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</si>
  <si>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</si>
  <si>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</si>
  <si>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</si>
  <si>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</si>
  <si>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</si>
  <si>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</si>
  <si>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</si>
  <si>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</si>
  <si>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</si>
  <si>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</si>
  <si>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</si>
  <si>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</si>
  <si>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</si>
  <si>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</si>
  <si>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</si>
  <si>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</si>
  <si>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</si>
  <si>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</si>
  <si>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</si>
  <si>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</si>
  <si>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</si>
  <si>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</si>
  <si>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</si>
  <si>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</si>
  <si>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</si>
  <si>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</si>
  <si>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</si>
  <si>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</si>
  <si>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</si>
  <si>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</si>
  <si>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</si>
  <si>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</si>
  <si>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</si>
  <si>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</si>
  <si>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</si>
  <si>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</si>
  <si>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</si>
  <si>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</si>
  <si>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</si>
  <si>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</si>
  <si>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</si>
  <si>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</si>
  <si>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</si>
  <si>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</si>
  <si>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</si>
  <si>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</si>
  <si>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</si>
  <si>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</si>
  <si>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</si>
  <si>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</si>
  <si>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</si>
  <si>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</si>
  <si>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</si>
  <si>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</si>
  <si>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</si>
  <si>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</si>
  <si>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</si>
  <si>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</si>
  <si>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</si>
  <si>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</si>
  <si>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</si>
  <si>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</si>
  <si>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</si>
  <si>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</si>
  <si>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</si>
  <si>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</si>
  <si>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</si>
  <si>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</si>
  <si>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</si>
  <si>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</si>
  <si>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</si>
  <si>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</si>
  <si>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</si>
  <si>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</si>
  <si>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</si>
  <si>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</si>
  <si>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</si>
  <si>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</si>
  <si>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</si>
  <si>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</si>
  <si>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</si>
  <si>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</si>
  <si>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</si>
  <si>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</si>
  <si>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</si>
  <si>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</si>
  <si>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</si>
  <si>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</si>
  <si>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</si>
  <si>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</si>
  <si>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</si>
  <si>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</si>
  <si>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</si>
  <si>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</si>
  <si>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</si>
  <si>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</si>
  <si>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</si>
  <si>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</si>
  <si>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</si>
  <si>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</si>
  <si>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</si>
  <si>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</si>
  <si>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</si>
  <si>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</si>
  <si>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</si>
  <si>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</si>
  <si>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</si>
  <si>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</si>
  <si>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</si>
  <si>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</si>
  <si>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</si>
  <si>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</si>
  <si>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</si>
  <si>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</si>
  <si>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</si>
  <si>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</si>
  <si>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</si>
  <si>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</si>
  <si>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</si>
  <si>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</si>
  <si>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</si>
  <si>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</si>
  <si>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</si>
  <si>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</si>
  <si>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</si>
  <si>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</si>
  <si>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</si>
  <si>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</si>
  <si>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</si>
  <si>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</si>
  <si>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</si>
  <si>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</si>
  <si>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</si>
  <si>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</si>
  <si>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</si>
  <si>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</si>
  <si>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</si>
  <si>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</si>
  <si>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</si>
  <si>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</si>
  <si>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</si>
  <si>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</si>
  <si>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</si>
  <si>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</si>
  <si>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</si>
  <si>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</si>
  <si>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</si>
  <si>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</si>
  <si>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</si>
  <si>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</si>
  <si>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</si>
  <si>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</si>
  <si>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</si>
  <si>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</si>
  <si>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</si>
  <si>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</si>
  <si>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</si>
  <si>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</si>
  <si>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</si>
  <si>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</si>
  <si>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</si>
  <si>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</si>
  <si>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</si>
  <si>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</si>
  <si>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</si>
  <si>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</si>
  <si>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</si>
  <si>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</si>
  <si>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</si>
  <si>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</si>
  <si>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</si>
  <si>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</si>
  <si>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</si>
  <si>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</si>
  <si>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</si>
  <si>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</si>
  <si>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</si>
  <si>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</si>
  <si>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</si>
  <si>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</si>
  <si>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</si>
  <si>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</si>
  <si>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</si>
  <si>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</si>
  <si>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</si>
  <si>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</si>
  <si>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</si>
  <si>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</si>
  <si>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</si>
  <si>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</si>
  <si>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</si>
  <si>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</si>
  <si>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</si>
  <si>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</si>
  <si>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</si>
  <si>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</si>
  <si>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</si>
  <si>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</si>
  <si>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</si>
  <si>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</si>
  <si>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</si>
  <si>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</si>
  <si>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</si>
  <si>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</si>
  <si>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</si>
  <si>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</si>
  <si>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</si>
  <si>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</si>
  <si>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</si>
  <si>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</si>
  <si>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</si>
  <si>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</si>
  <si>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</si>
  <si>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</si>
  <si>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</si>
  <si>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</si>
  <si>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</si>
  <si>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</si>
  <si>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</si>
  <si>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</si>
  <si>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</si>
  <si>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</si>
  <si>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</si>
  <si>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</si>
  <si>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</si>
  <si>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</si>
  <si>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</si>
  <si>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</si>
  <si>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</si>
  <si>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</si>
  <si>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</si>
  <si>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</si>
  <si>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</si>
  <si>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</si>
  <si>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</si>
  <si>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</si>
  <si>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</si>
  <si>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</si>
  <si>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</si>
  <si>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</si>
  <si>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</si>
  <si>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</si>
  <si>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</si>
  <si>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</si>
  <si>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</si>
  <si>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</si>
  <si>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</si>
  <si>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</si>
  <si>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</si>
  <si>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</si>
  <si>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</si>
  <si>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</si>
  <si>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</si>
  <si>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</si>
  <si>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</si>
  <si>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</si>
  <si>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</si>
  <si>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</si>
  <si>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</si>
  <si>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</si>
  <si>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</si>
  <si>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</si>
  <si>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</si>
  <si>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</si>
  <si>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</si>
  <si>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</si>
  <si>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</si>
  <si>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</si>
  <si>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</si>
  <si>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</si>
  <si>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</si>
  <si>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</si>
  <si>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</si>
  <si>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</si>
  <si>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</si>
  <si>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</si>
  <si>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</si>
  <si>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</si>
  <si>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</si>
  <si>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</si>
  <si>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</si>
  <si>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</si>
  <si>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</si>
  <si>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</si>
  <si>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</si>
  <si>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</si>
  <si>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</si>
  <si>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</si>
  <si>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</si>
  <si>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</si>
  <si>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</si>
  <si>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</si>
  <si>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</si>
  <si>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</si>
  <si>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</si>
  <si>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</si>
  <si>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</si>
  <si>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</si>
  <si>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</si>
  <si>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</si>
  <si>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</si>
  <si>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</si>
  <si>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</si>
  <si>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</si>
  <si>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</si>
  <si>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</si>
  <si>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</si>
  <si>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</si>
  <si>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</si>
  <si>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</si>
  <si>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</si>
  <si>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</si>
  <si>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</si>
  <si>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</si>
  <si>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</si>
  <si>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</si>
  <si>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</si>
  <si>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</si>
  <si>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</si>
  <si>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</si>
  <si>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</si>
  <si>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</si>
  <si>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</si>
  <si>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</si>
  <si>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</si>
  <si>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</si>
  <si>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</si>
  <si>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</si>
  <si>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</si>
  <si>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</si>
  <si>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</si>
  <si>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</si>
  <si>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</si>
  <si>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</si>
  <si>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</si>
  <si>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</si>
  <si>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</si>
  <si>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</si>
  <si>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</si>
  <si>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</si>
  <si>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</si>
  <si>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</si>
  <si>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</si>
  <si>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</si>
  <si>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</si>
  <si>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</si>
  <si>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</si>
  <si>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</si>
  <si>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</si>
  <si>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</si>
  <si>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</si>
  <si>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</si>
  <si>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</si>
  <si>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</si>
  <si>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</si>
  <si>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</si>
  <si>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</si>
  <si>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</si>
  <si>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</si>
  <si>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</si>
  <si>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</si>
  <si>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</si>
  <si>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</si>
  <si>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</si>
  <si>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</si>
  <si>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</si>
  <si>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</si>
  <si>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</si>
  <si>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</si>
  <si>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</si>
  <si>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</si>
  <si>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</si>
  <si>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</si>
  <si>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</si>
  <si>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</si>
  <si>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</si>
  <si>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</si>
  <si>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</si>
  <si>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</si>
  <si>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</si>
  <si>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</si>
  <si>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</si>
  <si>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</si>
  <si>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</si>
  <si>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</si>
  <si>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</si>
  <si>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</si>
  <si>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</si>
  <si>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</si>
  <si>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</si>
  <si>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</si>
  <si>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</si>
  <si>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</si>
  <si>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</si>
  <si>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</si>
  <si>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</si>
  <si>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</si>
  <si>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</si>
  <si>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</si>
  <si>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</si>
  <si>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</si>
  <si>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</si>
  <si>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</si>
  <si>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</si>
  <si>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</si>
  <si>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</si>
  <si>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</si>
  <si>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</si>
  <si>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</si>
  <si>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</si>
  <si>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</si>
  <si>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</si>
  <si>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</si>
  <si>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</si>
  <si>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</si>
  <si>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</si>
  <si>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</si>
  <si>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</si>
  <si>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</si>
  <si>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</si>
  <si>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</si>
  <si>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</si>
  <si>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</si>
  <si>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</si>
  <si>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</si>
  <si>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</si>
  <si>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</si>
  <si>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</si>
  <si>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</si>
  <si>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</si>
  <si>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</si>
  <si>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</si>
  <si>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</si>
  <si>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</si>
  <si>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</si>
  <si>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</si>
  <si>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</si>
  <si>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</si>
  <si>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</si>
  <si>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</si>
  <si>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</si>
  <si>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</si>
  <si>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</si>
  <si>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</si>
  <si>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</si>
  <si>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</si>
  <si>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</si>
  <si>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</si>
  <si>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</si>
  <si>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</si>
  <si>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</si>
  <si>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</si>
  <si>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</si>
  <si>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</si>
  <si>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</si>
  <si>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</si>
  <si>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</si>
  <si>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</si>
  <si>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</si>
  <si>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</si>
  <si>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</si>
  <si>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</si>
  <si>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</si>
  <si>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</si>
  <si>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</si>
  <si>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</si>
  <si>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</si>
  <si>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</si>
  <si>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</si>
  <si>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</si>
  <si>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</si>
  <si>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</si>
  <si>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</si>
  <si>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</si>
  <si>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</si>
  <si>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</si>
  <si>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</si>
  <si>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</si>
  <si>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</si>
  <si>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</si>
  <si>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</si>
  <si>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</si>
  <si>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</si>
  <si>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</si>
  <si>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</si>
  <si>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</si>
  <si>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</si>
  <si>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</si>
  <si>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</si>
  <si>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</si>
  <si>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</si>
  <si>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</si>
  <si>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</si>
  <si>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</si>
  <si>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</si>
  <si>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</si>
  <si>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</si>
  <si>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</si>
  <si>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</si>
  <si>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</si>
  <si>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</si>
  <si>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</si>
  <si>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</si>
  <si>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</si>
  <si>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</si>
  <si>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</si>
  <si>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</si>
  <si>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</si>
  <si>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</si>
  <si>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</si>
  <si>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</si>
  <si>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</si>
  <si>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</si>
  <si>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</si>
  <si>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</si>
  <si>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</si>
  <si>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</si>
  <si>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</si>
  <si>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</si>
  <si>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</si>
  <si>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</si>
  <si>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</si>
  <si>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</si>
  <si>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</si>
  <si>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</si>
  <si>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</si>
  <si>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</si>
  <si>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</si>
  <si>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</si>
  <si>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</si>
  <si>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</si>
  <si>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</si>
  <si>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</si>
  <si>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</si>
  <si>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</si>
  <si>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</si>
  <si>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</si>
  <si>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</si>
  <si>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</si>
  <si>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</si>
  <si>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</si>
  <si>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</si>
  <si>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</si>
  <si>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</si>
  <si>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</si>
  <si>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</si>
  <si>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</si>
  <si>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</si>
  <si>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</si>
  <si>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</si>
  <si>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</si>
  <si>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</si>
  <si>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</si>
  <si>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</si>
  <si>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</si>
  <si>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</si>
  <si>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</si>
  <si>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</si>
  <si>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</si>
  <si>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</si>
  <si>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</si>
  <si>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</si>
  <si>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</si>
  <si>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</si>
  <si>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</si>
  <si>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</si>
  <si>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</si>
  <si>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</si>
  <si>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</si>
  <si>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</si>
  <si>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</si>
  <si>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</si>
  <si>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</si>
  <si>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</si>
  <si>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</si>
  <si>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</si>
  <si>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</si>
  <si>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</si>
  <si>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</si>
  <si>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</si>
  <si>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</si>
  <si>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</si>
  <si>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</si>
  <si>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</si>
  <si>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</si>
  <si>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</si>
  <si>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</si>
  <si>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</si>
  <si>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</si>
  <si>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</si>
  <si>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</si>
  <si>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</si>
  <si>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</si>
  <si>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</si>
  <si>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</si>
  <si>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</si>
  <si>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</si>
  <si>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</si>
  <si>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</si>
  <si>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</si>
  <si>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</si>
  <si>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</si>
  <si>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</si>
  <si>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</si>
  <si>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</si>
  <si>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</si>
  <si>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</si>
  <si>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</si>
  <si>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</si>
  <si>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</si>
  <si>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</si>
  <si>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</si>
  <si>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</si>
  <si>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</si>
  <si>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</si>
  <si>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</si>
  <si>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</si>
  <si>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</si>
  <si>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</si>
  <si>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</si>
  <si>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</si>
  <si>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</si>
  <si>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</si>
  <si>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</si>
  <si>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</si>
  <si>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</si>
  <si>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</si>
  <si>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</si>
  <si>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</si>
  <si>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</si>
  <si>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</si>
  <si>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</si>
  <si>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</si>
  <si>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</si>
  <si>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</si>
  <si>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</si>
  <si>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</si>
  <si>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</si>
  <si>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</si>
  <si>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</si>
  <si>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</si>
  <si>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</si>
  <si>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</si>
  <si>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</si>
  <si>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</si>
  <si>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</si>
  <si>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</si>
  <si>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</si>
  <si>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</si>
  <si>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</si>
  <si>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</si>
  <si>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</si>
  <si>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</si>
  <si>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</si>
  <si>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</si>
  <si>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</si>
  <si>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</si>
  <si>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</si>
  <si>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</si>
  <si>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</si>
  <si>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</si>
  <si>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</si>
  <si>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</si>
  <si>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</si>
  <si>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</si>
  <si>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</si>
  <si>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</si>
  <si>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</si>
  <si>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</si>
  <si>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</si>
  <si>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</si>
  <si>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</si>
  <si>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</si>
  <si>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</si>
  <si>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</si>
  <si>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</si>
  <si>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</si>
  <si>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</si>
  <si>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</si>
  <si>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</si>
  <si>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</si>
  <si>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</si>
  <si>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</si>
  <si>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</si>
  <si>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</si>
  <si>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</si>
  <si>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</si>
  <si>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</si>
  <si>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</si>
  <si>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</si>
  <si>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</si>
  <si>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</si>
  <si>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</si>
  <si>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</si>
  <si>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</si>
  <si>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</si>
  <si>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</si>
  <si>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</si>
  <si>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</si>
  <si>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</si>
  <si>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</si>
  <si>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</si>
  <si>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</si>
  <si>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</si>
  <si>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</si>
  <si>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</si>
  <si>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</si>
  <si>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</si>
  <si>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</si>
  <si>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</si>
  <si>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</si>
  <si>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</si>
  <si>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</si>
  <si>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</si>
  <si>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</si>
  <si>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</si>
  <si>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</si>
  <si>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</si>
  <si>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</si>
  <si>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</si>
  <si>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</si>
  <si>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</si>
  <si>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</si>
  <si>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</si>
  <si>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</si>
  <si>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</si>
  <si>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</si>
  <si>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</si>
  <si>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</si>
  <si>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</si>
  <si>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</si>
  <si>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</si>
  <si>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</si>
  <si>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</si>
  <si>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</si>
  <si>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</si>
  <si>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</si>
  <si>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</si>
  <si>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</si>
  <si>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</si>
  <si>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</si>
  <si>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</si>
  <si>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</si>
  <si>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</si>
  <si>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</si>
  <si>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</si>
  <si>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</si>
  <si>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</si>
  <si>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</si>
  <si>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</si>
  <si>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</si>
  <si>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</si>
  <si>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</si>
  <si>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</si>
  <si>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</si>
  <si>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</si>
  <si>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</si>
  <si>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</si>
  <si>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</si>
  <si>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</si>
  <si>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</si>
  <si>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</si>
  <si>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</si>
  <si>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</si>
  <si>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</si>
  <si>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</si>
  <si>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</si>
  <si>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</si>
  <si>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</si>
  <si>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</si>
  <si>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</si>
  <si>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</si>
  <si>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</si>
  <si>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</si>
  <si>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</si>
  <si>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</si>
  <si>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</si>
  <si>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</si>
  <si>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</si>
  <si>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</si>
  <si>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</si>
  <si>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</si>
  <si>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</si>
  <si>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</si>
  <si>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</si>
  <si>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</si>
  <si>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</si>
  <si>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</si>
  <si>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</si>
  <si>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</si>
  <si>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</si>
  <si>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</si>
  <si>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</si>
  <si>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</si>
  <si>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</si>
  <si>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</si>
  <si>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</si>
  <si>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</si>
  <si>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</si>
  <si>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</si>
  <si>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</si>
  <si>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</si>
  <si>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</si>
  <si>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</si>
  <si>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</si>
  <si>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</si>
  <si>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</si>
  <si>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</si>
  <si>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</si>
  <si>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</si>
  <si>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</si>
  <si>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</si>
  <si>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</si>
  <si>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</si>
  <si>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</si>
  <si>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</si>
  <si>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</si>
  <si>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</si>
  <si>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</si>
  <si>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</si>
  <si>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</si>
  <si>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</si>
  <si>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</si>
  <si>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</si>
  <si>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</si>
  <si>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</si>
  <si>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</si>
  <si>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</si>
  <si>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</si>
  <si>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</si>
  <si>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</si>
  <si>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</si>
  <si>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</si>
  <si>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</si>
  <si>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</si>
  <si>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</si>
  <si>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</si>
  <si>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</si>
  <si>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</si>
  <si>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</si>
  <si>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</si>
  <si>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</si>
  <si>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</si>
  <si>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</si>
  <si>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</si>
  <si>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</si>
  <si>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</si>
  <si>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</si>
  <si>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</si>
  <si>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</si>
  <si>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</si>
  <si>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</si>
  <si>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</si>
  <si>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</si>
  <si>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</si>
  <si>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</si>
  <si>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</si>
  <si>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</si>
  <si>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</si>
  <si>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</si>
  <si>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</si>
  <si>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</si>
  <si>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</si>
  <si>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</si>
  <si>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</si>
  <si>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</si>
  <si>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</si>
  <si>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</si>
  <si>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</si>
  <si>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</si>
  <si>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</si>
  <si>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</si>
  <si>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</si>
  <si>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</si>
  <si>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</si>
  <si>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</si>
  <si>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</si>
  <si>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</si>
  <si>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</si>
  <si>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</si>
  <si>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</si>
  <si>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</si>
  <si>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</si>
  <si>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</si>
  <si>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</si>
  <si>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</si>
  <si>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</si>
  <si>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</si>
  <si>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</si>
  <si>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</si>
  <si>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</si>
  <si>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</si>
  <si>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</si>
  <si>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</si>
  <si>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</si>
  <si>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</si>
  <si>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</si>
  <si>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</si>
  <si>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</si>
  <si>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</si>
  <si>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</si>
  <si>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</si>
  <si>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</si>
  <si>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</si>
  <si>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</si>
  <si>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</si>
  <si>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</si>
  <si>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</si>
  <si>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</si>
  <si>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</si>
  <si>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</si>
  <si>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</si>
  <si>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</si>
  <si>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</si>
  <si>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</si>
  <si>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</si>
  <si>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</si>
  <si>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</si>
  <si>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</si>
  <si>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</si>
  <si>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</si>
  <si>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</si>
  <si>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</si>
  <si>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</si>
  <si>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</si>
  <si>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</si>
  <si>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</si>
  <si>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</si>
  <si>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</si>
  <si>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</si>
  <si>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</si>
  <si>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</si>
  <si>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</si>
  <si>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</si>
  <si>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</si>
  <si>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</si>
  <si>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</si>
  <si>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</si>
  <si>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</si>
  <si>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</si>
  <si>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</si>
  <si>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</si>
  <si>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</si>
  <si>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</si>
  <si>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</si>
  <si>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</si>
  <si>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</si>
  <si>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</si>
  <si>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</si>
  <si>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</si>
  <si>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</si>
  <si>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</si>
  <si>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</si>
  <si>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</si>
  <si>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</si>
  <si>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</si>
  <si>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</si>
  <si>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</si>
  <si>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</si>
  <si>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</si>
  <si>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</si>
  <si>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</si>
  <si>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</si>
  <si>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</si>
  <si>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</si>
  <si>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</si>
  <si>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</si>
  <si>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</si>
  <si>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</si>
  <si>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</si>
  <si>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</si>
  <si>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</si>
  <si>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</si>
  <si>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</si>
  <si>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</si>
  <si>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</si>
  <si>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Oyarzabal</t>
  </si>
  <si>
    <t>Vitinha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</si>
</sst>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1">
    <v>0</v>
    <v>8</v>
    <v>1</v>
    <v>1</v>
  </rv>
  <rv s="0">
    <v>20</v>
    <v>4</v>
  </rv>
  <rv s="0">
    <v>21</v>
    <v>4</v>
  </rv>
  <rv s="0">
    <v>22</v>
    <v>4</v>
  </rv>
  <rv s="0">
    <v>23</v>
    <v>4</v>
  </rv>
  <rv s="0">
    <v>24</v>
    <v>4</v>
  </rv>
  <rv s="0">
    <v>25</v>
    <v>4</v>
  </rv>
  <rv s="0">
    <v>26</v>
    <v>4</v>
  </rv>
  <rv s="0">
    <v>27</v>
    <v>4</v>
  </rv>
  <rv s="1">
    <v>0</v>
    <v>8</v>
    <v>2</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23" zoomScale="73" zoomScaleNormal="100" workbookViewId="0">
      <selection activeCell="AA156" sqref="AA156"/>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1</v>
      </c>
      <c r="AD6" s="51">
        <v>0</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3</v>
      </c>
      <c r="AT6" s="41">
        <f t="shared" ca="1" si="15"/>
        <v>3</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3</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2</v>
      </c>
      <c r="AD7" s="51">
        <v>2</v>
      </c>
      <c r="AE7" s="571" t="e" cm="1" vm="3">
        <f t="array" aca="1" ref="AE7" ca="1">Ver_flag_visit</f>
        <v>#VALUE!</v>
      </c>
      <c r="AF7" s="32" t="str">
        <f ca="1">A7</f>
        <v>Corea del Sur</v>
      </c>
      <c r="AG7" s="306">
        <f t="shared" si="13"/>
        <v>1</v>
      </c>
      <c r="AH7" s="185">
        <v>28</v>
      </c>
      <c r="AI7" s="171" t="str">
        <f>AJ7&amp;$B$4</f>
        <v>2A</v>
      </c>
      <c r="AJ7" s="42">
        <v>2</v>
      </c>
      <c r="AK7" s="574"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5</v>
      </c>
      <c r="AS7" s="39">
        <f t="shared" ca="1" si="15"/>
        <v>3</v>
      </c>
      <c r="AT7" s="43">
        <f t="shared" ca="1" si="15"/>
        <v>2</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5</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1</v>
      </c>
      <c r="AD8" s="51">
        <v>2</v>
      </c>
      <c r="AE8" s="571" t="e" cm="1" vm="1">
        <f t="array" aca="1" ref="AE8" ca="1">Ver_flag_visit</f>
        <v>#VALUE!</v>
      </c>
      <c r="AF8" s="32" t="str">
        <f ca="1">A5</f>
        <v>México</v>
      </c>
      <c r="AG8" s="306">
        <f t="shared" si="13"/>
        <v>1</v>
      </c>
      <c r="AH8" s="185">
        <v>53</v>
      </c>
      <c r="AI8" s="171" t="str">
        <f>AJ8&amp;$B$4</f>
        <v>3A</v>
      </c>
      <c r="AJ8" s="42">
        <v>3</v>
      </c>
      <c r="AK8" s="574"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3</v>
      </c>
      <c r="AS8" s="39">
        <f t="shared" ca="1" si="15"/>
        <v>3</v>
      </c>
      <c r="AT8" s="43">
        <f t="shared" ca="1" si="15"/>
        <v>0</v>
      </c>
      <c r="AU8" s="313">
        <f ca="1">INDEX($DL$6:$DL$53,MATCH(AI8,$DP$6:$DP$53,0))</f>
        <v>1</v>
      </c>
      <c r="AV8" s="172" t="str">
        <f ca="1">INDEX($BD$6:$BD$53,MATCH(AI8,$BM$6:$BM$53,0))</f>
        <v>República Checa</v>
      </c>
      <c r="AW8" s="200"/>
      <c r="AX8" s="161"/>
      <c r="AY8" s="191" t="str">
        <f ca="1">+A7</f>
        <v>Corea del Sur</v>
      </c>
      <c r="AZ8" s="192"/>
      <c r="BA8" s="16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5</v>
      </c>
      <c r="BK8" s="16">
        <f t="shared" ca="1" si="21"/>
        <v>3</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0</v>
      </c>
      <c r="AD9" s="51">
        <v>2</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5</v>
      </c>
      <c r="AT9" s="48">
        <f t="shared" ca="1" si="15"/>
        <v>-5</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3</v>
      </c>
      <c r="BK9" s="16">
        <f t="shared" ca="1" si="21"/>
        <v>3</v>
      </c>
      <c r="BL9" s="16">
        <f t="shared" ca="1" si="42"/>
        <v>0</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4</v>
      </c>
      <c r="BK10" s="16">
        <f t="shared" ca="1" si="21"/>
        <v>3</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1</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2</v>
      </c>
      <c r="BK11" s="16">
        <f t="shared" ca="1" si="21"/>
        <v>2</v>
      </c>
      <c r="BL11" s="16">
        <f t="shared" ca="1" si="42"/>
        <v>0</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0</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6</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3</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6</v>
      </c>
      <c r="BK13" s="16">
        <f t="shared" ca="1" si="21"/>
        <v>1</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39"/>
      <c r="X14" s="24">
        <f ca="1">Horarios!C14</f>
        <v>46191.875</v>
      </c>
      <c r="Y14" s="25">
        <f ca="1">Horarios!C14</f>
        <v>46191.875</v>
      </c>
      <c r="Z14" s="26" t="str">
        <f>$Z$6</f>
        <v>J2</v>
      </c>
      <c r="AA14" s="27" t="str">
        <f ca="1">A16</f>
        <v>Suiza</v>
      </c>
      <c r="AB14" s="49" t="e" cm="1" vm="8">
        <f t="array" aca="1" ref="AB14" ca="1">Ver_flag_local</f>
        <v>#VALUE!</v>
      </c>
      <c r="AC14" s="50">
        <v>1</v>
      </c>
      <c r="AD14" s="51">
        <v>0</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6</v>
      </c>
      <c r="AS14" s="36">
        <f t="shared" ca="1" si="69"/>
        <v>1</v>
      </c>
      <c r="AT14" s="70">
        <f t="shared" ca="1" si="69"/>
        <v>5</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8</v>
      </c>
      <c r="BK14" s="16">
        <f t="shared" ca="1" si="21"/>
        <v>1</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7</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05"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2</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4</v>
      </c>
      <c r="AS15" s="39">
        <f t="shared" ca="1" si="69"/>
        <v>3</v>
      </c>
      <c r="AT15" s="72">
        <f t="shared" ca="1" si="69"/>
        <v>1</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1</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5</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05"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39"/>
      <c r="X16" s="24">
        <f ca="1">Horarios!C16</f>
        <v>46197.875</v>
      </c>
      <c r="Y16" s="25">
        <f ca="1">Horarios!C16</f>
        <v>46197.875</v>
      </c>
      <c r="Z16" s="26" t="str">
        <f>$Z$8</f>
        <v>J3</v>
      </c>
      <c r="AA16" s="27" t="str">
        <f ca="1">A16</f>
        <v>Suiza</v>
      </c>
      <c r="AB16" s="49" t="e" cm="1" vm="8">
        <f t="array" aca="1" ref="AB16" ca="1">Ver_flag_local</f>
        <v>#VALUE!</v>
      </c>
      <c r="AC16" s="50">
        <v>2</v>
      </c>
      <c r="AD16" s="51">
        <v>1</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2</v>
      </c>
      <c r="AS16" s="39">
        <f t="shared" ca="1" si="69"/>
        <v>2</v>
      </c>
      <c r="AT16" s="72">
        <f t="shared" ca="1" si="69"/>
        <v>0</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1</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0</v>
      </c>
      <c r="AS17" s="76">
        <f t="shared" ca="1" si="69"/>
        <v>6</v>
      </c>
      <c r="AT17" s="77">
        <f t="shared" ca="1" si="69"/>
        <v>-6</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3</v>
      </c>
      <c r="BF18" s="16">
        <f t="shared" ca="1" si="41"/>
        <v>3</v>
      </c>
      <c r="BG18" s="16">
        <f t="shared" ca="1" si="17"/>
        <v>1</v>
      </c>
      <c r="BH18" s="16">
        <f t="shared" ca="1" si="18"/>
        <v>0</v>
      </c>
      <c r="BI18" s="16">
        <f t="shared" ca="1" si="19"/>
        <v>2</v>
      </c>
      <c r="BJ18" s="16">
        <f t="shared" ca="1" si="20"/>
        <v>1</v>
      </c>
      <c r="BK18" s="16">
        <f t="shared" ca="1" si="21"/>
        <v>3</v>
      </c>
      <c r="BL18" s="16">
        <f t="shared" ca="1" si="42"/>
        <v>-2</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3</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Paraguay</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9</v>
      </c>
      <c r="BF19" s="16">
        <f t="shared" ca="1" si="41"/>
        <v>3</v>
      </c>
      <c r="BG19" s="16">
        <f t="shared" ca="1" si="17"/>
        <v>3</v>
      </c>
      <c r="BH19" s="16">
        <f t="shared" ca="1" si="18"/>
        <v>0</v>
      </c>
      <c r="BI19" s="16">
        <f t="shared" ca="1" si="19"/>
        <v>0</v>
      </c>
      <c r="BJ19" s="16">
        <f t="shared" ca="1" si="20"/>
        <v>5</v>
      </c>
      <c r="BK19" s="16">
        <f t="shared" ca="1" si="21"/>
        <v>1</v>
      </c>
      <c r="BL19" s="16">
        <f t="shared" ca="1" si="42"/>
        <v>4</v>
      </c>
      <c r="BM19" s="16" t="str">
        <f t="shared" ca="1" si="22"/>
        <v>1D</v>
      </c>
      <c r="BN19" s="16" t="str">
        <f t="shared" ca="1" si="23"/>
        <v>1D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9</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52"/>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8" t="s">
        <v>2</v>
      </c>
      <c r="X20" s="24">
        <f ca="1">Horarios!C20</f>
        <v>46187</v>
      </c>
      <c r="Y20" s="25">
        <f ca="1">Horarios!C20</f>
        <v>46187</v>
      </c>
      <c r="Z20" s="26" t="str">
        <f>$Z$4</f>
        <v>J1</v>
      </c>
      <c r="AA20" s="27" t="str">
        <f ca="1">A21</f>
        <v>Brasil</v>
      </c>
      <c r="AB20" s="49" t="e" cm="1" vm="9">
        <f t="array" aca="1" ref="AB20" ca="1">Ver_flag_local</f>
        <v>#VALUE!</v>
      </c>
      <c r="AC20" s="50">
        <v>1</v>
      </c>
      <c r="AD20" s="51">
        <v>1</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0</v>
      </c>
      <c r="BK20" s="16">
        <f t="shared" ca="1" si="21"/>
        <v>4</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Estados Unidos</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1</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4</v>
      </c>
      <c r="BK21" s="16">
        <f t="shared" ca="1" si="21"/>
        <v>2</v>
      </c>
      <c r="BL21" s="16">
        <f t="shared" ca="1" si="42"/>
        <v>2</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8"/>
      <c r="X22" s="24">
        <f ca="1">Horarios!C22</f>
        <v>46193</v>
      </c>
      <c r="Y22" s="25">
        <f ca="1">Horarios!C22</f>
        <v>46193</v>
      </c>
      <c r="Z22" s="26" t="str">
        <f>$Z$6</f>
        <v>J2</v>
      </c>
      <c r="AA22" s="27" t="str">
        <f ca="1">A24</f>
        <v>Escocia</v>
      </c>
      <c r="AB22" s="49" t="e" cm="1" vm="12">
        <f t="array" aca="1" ref="AB22" ca="1">Ver_flag_local</f>
        <v>#VALUE!</v>
      </c>
      <c r="AC22" s="50">
        <v>0</v>
      </c>
      <c r="AD22" s="51">
        <v>2</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8</v>
      </c>
      <c r="AS22" s="36">
        <f t="shared" ca="1" si="87"/>
        <v>1</v>
      </c>
      <c r="AT22" s="41">
        <f t="shared" ca="1" si="87"/>
        <v>7</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9</v>
      </c>
      <c r="BK22" s="16">
        <f t="shared" ca="1" si="21"/>
        <v>1</v>
      </c>
      <c r="BL22" s="16">
        <f t="shared" ca="1" si="42"/>
        <v>8</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1</v>
      </c>
      <c r="AT23" s="43">
        <f t="shared" ca="1" si="87"/>
        <v>5</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10</v>
      </c>
      <c r="BL23" s="16">
        <f t="shared" ca="1" si="42"/>
        <v>-10</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8"/>
      <c r="X24" s="24">
        <f ca="1">Horarios!C24</f>
        <v>46198</v>
      </c>
      <c r="Y24" s="25">
        <f ca="1">Horarios!C24</f>
        <v>46198</v>
      </c>
      <c r="Z24" s="26" t="str">
        <f>$Z$8</f>
        <v>J3</v>
      </c>
      <c r="AA24" s="27" t="str">
        <f ca="1">A24</f>
        <v>Escocia</v>
      </c>
      <c r="AB24" s="49" t="e" cm="1" vm="12">
        <f t="array" aca="1" ref="AB24" ca="1">Ver_flag_local</f>
        <v>#VALUE!</v>
      </c>
      <c r="AC24" s="50">
        <v>0</v>
      </c>
      <c r="AD24" s="51">
        <v>2</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3</v>
      </c>
      <c r="BK24" s="16">
        <f t="shared" ca="1" si="21"/>
        <v>4</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3</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6</v>
      </c>
      <c r="BK25" s="16">
        <f t="shared" ca="1" si="21"/>
        <v>3</v>
      </c>
      <c r="BL25" s="16">
        <f t="shared" ca="1" si="42"/>
        <v>3</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4</v>
      </c>
      <c r="BK26" s="16">
        <f t="shared" ca="1" si="21"/>
        <v>1</v>
      </c>
      <c r="BL26" s="16">
        <f t="shared" ca="1" si="42"/>
        <v>3</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(2)</v>
      </c>
      <c r="BU26" s="16">
        <f t="shared" ca="1" si="24"/>
        <v>0</v>
      </c>
      <c r="BV26" s="16">
        <f t="shared" ca="1" si="25"/>
        <v>1</v>
      </c>
      <c r="BW26" s="16">
        <f t="shared" ca="1" si="26"/>
        <v>0</v>
      </c>
      <c r="BX26" s="16">
        <f t="shared" ca="1" si="48"/>
        <v>1</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(2)</v>
      </c>
      <c r="CA26" s="16">
        <f t="shared" ca="1" si="27"/>
        <v>1</v>
      </c>
      <c r="CB26" s="16">
        <f t="shared" ca="1" si="28"/>
        <v>1</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(2)</v>
      </c>
      <c r="CF26" s="16">
        <f t="shared" ca="1" si="29"/>
        <v>1</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(2)</v>
      </c>
      <c r="CI26" s="16">
        <f t="shared" ca="1" si="30"/>
        <v>0</v>
      </c>
      <c r="CJ26" s="16">
        <f t="shared" ca="1" si="31"/>
        <v>1</v>
      </c>
      <c r="CK26" s="16">
        <f t="shared" ca="1" si="32"/>
        <v>0</v>
      </c>
      <c r="CL26" s="16">
        <f t="shared" ca="1" si="50"/>
        <v>1</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(2)</v>
      </c>
      <c r="CO26" s="16">
        <f t="shared" ca="1" si="33"/>
        <v>1</v>
      </c>
      <c r="CP26" s="16">
        <f t="shared" ca="1" si="34"/>
        <v>1</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(2)</v>
      </c>
      <c r="CT26" s="16">
        <f t="shared" ca="1" si="35"/>
        <v>1</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(2)</v>
      </c>
      <c r="CW26" s="16">
        <f t="shared" ca="1" si="36"/>
        <v>3</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7</v>
      </c>
      <c r="BF27" s="16">
        <f t="shared" ca="1" si="41"/>
        <v>3</v>
      </c>
      <c r="BG27" s="16">
        <f t="shared" ca="1" si="17"/>
        <v>2</v>
      </c>
      <c r="BH27" s="16">
        <f t="shared" ca="1" si="18"/>
        <v>1</v>
      </c>
      <c r="BI27" s="16">
        <f t="shared" ca="1" si="19"/>
        <v>0</v>
      </c>
      <c r="BJ27" s="16">
        <f t="shared" ca="1" si="20"/>
        <v>6</v>
      </c>
      <c r="BK27" s="16">
        <f t="shared" ca="1" si="21"/>
        <v>2</v>
      </c>
      <c r="BL27" s="16">
        <f t="shared" ca="1" si="42"/>
        <v>4</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7</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(2)</v>
      </c>
      <c r="BU27" s="16">
        <f t="shared" ca="1" si="24"/>
        <v>0</v>
      </c>
      <c r="BV27" s="16">
        <f t="shared" ca="1" si="25"/>
        <v>1</v>
      </c>
      <c r="BW27" s="16">
        <f t="shared" ca="1" si="26"/>
        <v>0</v>
      </c>
      <c r="BX27" s="16">
        <f t="shared" ca="1" si="48"/>
        <v>1</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(2)</v>
      </c>
      <c r="CA27" s="16">
        <f t="shared" ca="1" si="27"/>
        <v>1</v>
      </c>
      <c r="CB27" s="16">
        <f t="shared" ca="1" si="28"/>
        <v>1</v>
      </c>
      <c r="CC27" s="16">
        <f t="shared" ca="1" si="49"/>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(2)</v>
      </c>
      <c r="CF27" s="16">
        <f t="shared" ca="1" si="29"/>
        <v>1</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(2)</v>
      </c>
      <c r="CI27" s="16">
        <f t="shared" ca="1" si="30"/>
        <v>0</v>
      </c>
      <c r="CJ27" s="16">
        <f t="shared" ca="1" si="31"/>
        <v>1</v>
      </c>
      <c r="CK27" s="16">
        <f t="shared" ca="1" si="32"/>
        <v>0</v>
      </c>
      <c r="CL27" s="16">
        <f t="shared" ca="1" si="50"/>
        <v>1</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(2)</v>
      </c>
      <c r="CO27" s="16">
        <f t="shared" ca="1" si="33"/>
        <v>1</v>
      </c>
      <c r="CP27" s="16">
        <f t="shared" ca="1" si="34"/>
        <v>1</v>
      </c>
      <c r="CQ27" s="16">
        <f t="shared" ca="1" si="51"/>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(2)</v>
      </c>
      <c r="CT27" s="16">
        <f t="shared" ca="1" si="35"/>
        <v>1</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(2)</v>
      </c>
      <c r="CW27" s="16">
        <f t="shared" ca="1" si="36"/>
        <v>4</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6.05" customHeight="1" thickBot="1">
      <c r="A28" s="16" t="s">
        <v>32</v>
      </c>
      <c r="B28" s="16" t="s">
        <v>74</v>
      </c>
      <c r="C28" s="16">
        <f>COUNTIF(Equipos!$C$2:$C$49,WORLDCUP!B28)</f>
        <v>4</v>
      </c>
      <c r="D28" s="16" t="str">
        <f t="shared" ref="D28:D34" si="91">IF(OR(AC28="",AD28=""),"Pendiente",IF(AC28&gt;AD28,"Local",IF(AC28&lt;AD28,"Visitante","Empate")))</f>
        <v>Visitante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0</v>
      </c>
      <c r="AD28" s="51">
        <v>2</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3</v>
      </c>
      <c r="BK28" s="16">
        <f t="shared" ca="1" si="21"/>
        <v>4</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0</v>
      </c>
      <c r="AD29" s="51">
        <v>2</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0</v>
      </c>
      <c r="BK29" s="16">
        <f t="shared" ca="1" si="21"/>
        <v>6</v>
      </c>
      <c r="BL29" s="16">
        <f t="shared" ca="1" si="42"/>
        <v>-6</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1</v>
      </c>
      <c r="AD30" s="51">
        <v>0</v>
      </c>
      <c r="AE30" s="571" t="e" cm="1" vm="15">
        <f t="array" aca="1" ref="AE30" ca="1">Ver_flag_visit</f>
        <v>#VALUE!</v>
      </c>
      <c r="AF30" s="32" t="str">
        <f ca="1">A31</f>
        <v>Australia</v>
      </c>
      <c r="AG30" s="306">
        <f t="shared" si="104"/>
        <v>1</v>
      </c>
      <c r="AH30" s="185">
        <v>32</v>
      </c>
      <c r="AI30" s="171" t="str">
        <f>AJ30&amp;$B$28</f>
        <v>1D</v>
      </c>
      <c r="AJ30" s="40">
        <v>1</v>
      </c>
      <c r="AK30" s="577" t="e" cm="1" vm="14">
        <f t="array" aca="1" ref="AK30" ca="1">Ver_flag_visit</f>
        <v>#VALUE!</v>
      </c>
      <c r="AL30" s="34" t="str">
        <f ca="1">IFERROR(INDEX($BD$6:$BD$53,MATCH(AI30,$BN$6:$BN$53,0)),"")</f>
        <v>Paraguay</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5</v>
      </c>
      <c r="AS30" s="36">
        <f t="shared" ca="1" si="107"/>
        <v>1</v>
      </c>
      <c r="AT30" s="41">
        <f t="shared" ca="1" si="107"/>
        <v>4</v>
      </c>
      <c r="AU30" s="313">
        <f ca="1">INDEX($DL$6:$DL$53,MATCH(AI30,$DP$6:$DP$53,0))</f>
        <v>1</v>
      </c>
      <c r="AV30" s="172" t="str">
        <f ca="1">INDEX($BD$6:$BD$53,MATCH(AI30,$BM$6:$BM$53,0))</f>
        <v>Paraguay</v>
      </c>
      <c r="AW30" s="200"/>
      <c r="AX30" s="161"/>
      <c r="AY30" s="191" t="str">
        <f ca="1">+A29</f>
        <v>Estados Unidos</v>
      </c>
      <c r="AZ30" s="192"/>
      <c r="BA30" s="16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Visitante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1</v>
      </c>
      <c r="AD31" s="51">
        <v>2</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6">
        <f t="array" aca="1" ref="AK31" ca="1">Ver_flag_visit</f>
        <v>#VALUE!</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4</v>
      </c>
      <c r="AS31" s="39">
        <f t="shared" ca="1" si="107"/>
        <v>2</v>
      </c>
      <c r="AT31" s="43">
        <f t="shared" ca="1" si="107"/>
        <v>2</v>
      </c>
      <c r="AU31" s="313">
        <f ca="1">INDEX($DL$6:$DL$53,MATCH(AI31,$DP$6:$DP$53,0))</f>
        <v>1</v>
      </c>
      <c r="AV31" s="172" t="str">
        <f ca="1">INDEX($BD$6:$BD$53,MATCH(AI31,$BM$6:$BM$53,0))</f>
        <v>Turquía</v>
      </c>
      <c r="AW31" s="200"/>
      <c r="AX31" s="161"/>
      <c r="AY31" s="193" t="str">
        <f ca="1">+A30</f>
        <v>Paraguay</v>
      </c>
      <c r="AZ31" s="194"/>
      <c r="BA31" s="16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4</v>
      </c>
      <c r="BK31" s="16">
        <f t="shared" ca="1" si="21"/>
        <v>2</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0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1</v>
      </c>
      <c r="AD32" s="51">
        <v>0</v>
      </c>
      <c r="AE32" s="571" t="e" cm="1" vm="13">
        <f t="array" aca="1" ref="AE32" ca="1">Ver_flag_visit</f>
        <v>#VALUE!</v>
      </c>
      <c r="AF32" s="32" t="str">
        <f ca="1">A29</f>
        <v>Estados Unidos</v>
      </c>
      <c r="AG32" s="306">
        <f t="shared" si="104"/>
        <v>1</v>
      </c>
      <c r="AH32" s="185">
        <v>59</v>
      </c>
      <c r="AI32" s="171" t="str">
        <f t="shared" si="108"/>
        <v>3D</v>
      </c>
      <c r="AJ32" s="42">
        <v>3</v>
      </c>
      <c r="AK32" s="578" t="e" cm="1" vm="13">
        <f t="array" aca="1" ref="AK32" ca="1">Ver_flag_visit</f>
        <v>#VALUE!</v>
      </c>
      <c r="AL32" s="37" t="str">
        <f ca="1">IFERROR(INDEX($BD$6:$BD$53,MATCH(AI32,$BN$6:$BN$53,0)),"")</f>
        <v>Estados Unidos</v>
      </c>
      <c r="AM32" s="38">
        <f t="shared" ca="1" si="107"/>
        <v>3</v>
      </c>
      <c r="AN32" s="39">
        <f t="shared" ca="1" si="107"/>
        <v>3</v>
      </c>
      <c r="AO32" s="39">
        <f t="shared" ca="1" si="107"/>
        <v>1</v>
      </c>
      <c r="AP32" s="39">
        <f t="shared" ca="1" si="107"/>
        <v>0</v>
      </c>
      <c r="AQ32" s="39">
        <f t="shared" ca="1" si="107"/>
        <v>2</v>
      </c>
      <c r="AR32" s="39">
        <f t="shared" ca="1" si="107"/>
        <v>1</v>
      </c>
      <c r="AS32" s="39">
        <f t="shared" ca="1" si="107"/>
        <v>3</v>
      </c>
      <c r="AT32" s="43">
        <f t="shared" ca="1" si="107"/>
        <v>-2</v>
      </c>
      <c r="AU32" s="313">
        <f ca="1">INDEX($DL$6:$DL$53,MATCH(AI32,$DP$6:$DP$53,0))</f>
        <v>1</v>
      </c>
      <c r="AV32" s="172" t="str">
        <f ca="1">INDEX($BD$6:$BD$53,MATCH(AI32,$BM$6:$BM$53,0))</f>
        <v>Estados Unidos</v>
      </c>
      <c r="AW32" s="200"/>
      <c r="AX32" s="161"/>
      <c r="AY32" s="191" t="str">
        <f ca="1">+A31</f>
        <v>Australia</v>
      </c>
      <c r="AZ32" s="192"/>
      <c r="BA32" s="16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1</v>
      </c>
      <c r="AD33" s="51">
        <v>0</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0</v>
      </c>
      <c r="AS33" s="47">
        <f t="shared" ca="1" si="107"/>
        <v>4</v>
      </c>
      <c r="AT33" s="48">
        <f t="shared" ca="1" si="107"/>
        <v>-4</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6</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10</v>
      </c>
      <c r="BK34" s="16">
        <f t="shared" ca="1" si="21"/>
        <v>1</v>
      </c>
      <c r="BL34" s="16">
        <f t="shared" ca="1" si="42"/>
        <v>9</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10</v>
      </c>
      <c r="BL35" s="16">
        <f t="shared" ca="1" si="42"/>
        <v>-9</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7">
        <f t="array" aca="1" ref="AB36" ca="1">Ver_flag_local</f>
        <v>#VALUE!</v>
      </c>
      <c r="AC36" s="50">
        <v>5</v>
      </c>
      <c r="AD36" s="51">
        <v>0</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6</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2</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7">
        <f t="array" aca="1" ref="AB38" ca="1">Ver_flag_local</f>
        <v>#VALUE!</v>
      </c>
      <c r="AC38" s="50">
        <v>2</v>
      </c>
      <c r="AD38" s="51">
        <v>0</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9</v>
      </c>
      <c r="AS38" s="36">
        <f t="shared" ca="1" si="127"/>
        <v>1</v>
      </c>
      <c r="AT38" s="41">
        <f t="shared" ca="1" si="127"/>
        <v>8</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6</v>
      </c>
      <c r="BK38" s="16">
        <f t="shared" ca="1" si="21"/>
        <v>2</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0">
        <f t="array" aca="1" ref="AB39" ca="1">Ver_flag_local</f>
        <v>#VALUE!</v>
      </c>
      <c r="AC39" s="50">
        <v>3</v>
      </c>
      <c r="AD39" s="51">
        <v>0</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6</v>
      </c>
      <c r="AS39" s="39">
        <f t="shared" ca="1" si="127"/>
        <v>3</v>
      </c>
      <c r="AT39" s="43">
        <f t="shared" ca="1" si="127"/>
        <v>3</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3</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3</v>
      </c>
      <c r="AS40" s="39">
        <f t="shared" ca="1" si="127"/>
        <v>4</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0">
        <f t="array" aca="1" ref="AB41" ca="1">Ver_flag_local</f>
        <v>#VALUE!</v>
      </c>
      <c r="AC41" s="50">
        <v>1</v>
      </c>
      <c r="AD41" s="51">
        <v>2</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10</v>
      </c>
      <c r="AT41" s="48">
        <f t="shared" ca="1" si="127"/>
        <v>-10</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5</v>
      </c>
      <c r="BK41" s="16">
        <f t="shared" ca="1" si="21"/>
        <v>3</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4</v>
      </c>
      <c r="BK42" s="16">
        <f t="shared" ca="1" si="21"/>
        <v>0</v>
      </c>
      <c r="BL42" s="16">
        <f t="shared" ca="1" si="42"/>
        <v>4</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0</v>
      </c>
      <c r="BF43" s="16">
        <f t="shared" ca="1" si="41"/>
        <v>3</v>
      </c>
      <c r="BG43" s="16">
        <f t="shared" ca="1" si="17"/>
        <v>0</v>
      </c>
      <c r="BH43" s="16">
        <f t="shared" ca="1" si="18"/>
        <v>0</v>
      </c>
      <c r="BI43" s="16">
        <f t="shared" ca="1" si="19"/>
        <v>3</v>
      </c>
      <c r="BJ43" s="16">
        <f t="shared" ca="1" si="20"/>
        <v>2</v>
      </c>
      <c r="BK43" s="16">
        <f t="shared" ca="1" si="21"/>
        <v>6</v>
      </c>
      <c r="BL43" s="16">
        <f t="shared" ca="1" si="42"/>
        <v>-4</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0</v>
      </c>
      <c r="BS43" s="16">
        <f ca="1">BP43+COUNTIFS($BQ$6:$BQ$53,BQ43,$BR$6:BR$53,"&gt;"&amp;BR43,$BC$6:$BC$53,INDEX(T_Equipos[Grupo],MATCH(BD43,T_Equipos[NombreEquipo],0)))</f>
        <v>4</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4</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4</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4</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4</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4</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4</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2</v>
      </c>
      <c r="DM43" s="16" t="str">
        <f t="shared" ca="1" si="46"/>
        <v>2.2</v>
      </c>
      <c r="DN43" s="16" t="e" cm="1" vm="21">
        <f t="array" aca="1" ref="DN43" ca="1">OFFSET(Horarios!$P$3,DJ43-1,0,DL43,1)</f>
        <v>#VALUE!</v>
      </c>
      <c r="DO43" s="16"/>
      <c r="DP43" s="16" t="s">
        <v>689</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P.1 (2)</v>
      </c>
      <c r="F44" s="16" t="str">
        <f t="shared" ref="F44:F49" ca="1" si="133">IF(D44="Pendiente","-",INDEX($BT$6:$BT$53,MATCH($AF44,$BD$6:$BD$53,0)))</f>
        <v>P.1 (2)</v>
      </c>
      <c r="G44" s="16"/>
      <c r="H44" s="16" t="str">
        <f t="shared" ref="H44:H49" ca="1" si="134">IF(D44="Pendiente","-",INDEX($BZ$6:$BZ$53,MATCH($AA44,$BD$6:$BD$53,0)))</f>
        <v>P.1 (2)</v>
      </c>
      <c r="I44" s="16" t="str">
        <f t="shared" ref="I44:I49" ca="1" si="135">IF(D44="Pendiente","-",INDEX($BZ$6:$BZ$53,MATCH($AF44,$BD$6:$BD$53,0)))</f>
        <v>P.1 (2)</v>
      </c>
      <c r="J44" s="16"/>
      <c r="K44" s="16" t="str">
        <f t="shared" ref="K44:K49" ca="1" si="136">IF(D44="Pendiente","-",INDEX($CE$6:$CE$53,MATCH($AA44,$BD$6:$BD$53,0)))</f>
        <v>P.1 (2)</v>
      </c>
      <c r="L44" s="16" t="str">
        <f t="shared" ref="L44:L49" ca="1" si="137">IF(D44="Pendiente","-",INDEX($CE$6:$CE$53,MATCH($AF44,$BD$6:$BD$53,0)))</f>
        <v>P.1 (2)</v>
      </c>
      <c r="M44" s="16"/>
      <c r="N44" s="16" t="str">
        <f t="shared" ref="N44:N49" ca="1" si="138">IF(D44="Pendiente","-",INDEX($CH$6:$CH$53,MATCH($AA44,$BD$6:$BD$53,0)))</f>
        <v>P.1 (2)</v>
      </c>
      <c r="O44" s="16" t="str">
        <f t="shared" ref="O44:O49" ca="1" si="139">IF(D44="Pendiente","-",INDEX($CH$6:$CH$53,MATCH($AF44,$BD$6:$BD$53,0)))</f>
        <v>P.1 (2)</v>
      </c>
      <c r="P44" s="16"/>
      <c r="Q44" s="16" t="str">
        <f t="shared" ref="Q44:Q49" ca="1" si="140">IF(D44="Pendiente","-",INDEX($CN$6:$CN$53,MATCH($AA44,$BD$6:$BD$53,0)))</f>
        <v>P.1 (2)</v>
      </c>
      <c r="R44" s="16" t="str">
        <f t="shared" ref="R44:R49" ca="1" si="141">IF(D44="Pendiente","-",INDEX($CN$6:$CN$53,MATCH($AF44,$BD$6:$BD$53,0)))</f>
        <v>P.1 (2)</v>
      </c>
      <c r="S44" s="16"/>
      <c r="T44" s="16" t="str">
        <f t="shared" ref="T44:T49" ca="1" si="142">IF(D44="Pendiente","-",INDEX($CS$6:$CS$53,MATCH($AA44,$BD$6:$BD$53,0)))</f>
        <v>P.1 (2)</v>
      </c>
      <c r="U44" s="16" t="str">
        <f t="shared" ref="U44:U49" ca="1" si="143">IF(D44="Pendiente","-",INDEX($CS$6:$CS$53,MATCH($AF44,$BD$6:$BD$53,0)))</f>
        <v>P.1 (2)</v>
      </c>
      <c r="V44" s="17"/>
      <c r="W44" s="615" t="s">
        <v>4</v>
      </c>
      <c r="X44" s="24">
        <f ca="1">Horarios!C44</f>
        <v>46187.916666666664</v>
      </c>
      <c r="Y44" s="25">
        <f ca="1">Horarios!C44</f>
        <v>46187.916666666664</v>
      </c>
      <c r="Z44" s="26" t="str">
        <f>$Z$4</f>
        <v>J1</v>
      </c>
      <c r="AA44" s="27" t="str">
        <f ca="1">A45</f>
        <v>Países Bajos</v>
      </c>
      <c r="AB44" s="49" t="e" cm="1" vm="22">
        <f t="array" aca="1" ref="AB44" ca="1">Ver_flag_local</f>
        <v>#VALUE!</v>
      </c>
      <c r="AC44" s="50">
        <v>1</v>
      </c>
      <c r="AD44" s="51">
        <v>1</v>
      </c>
      <c r="AE44" s="571" t="e" cm="1" vm="23">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3</v>
      </c>
      <c r="BL44" s="16">
        <f t="shared" ca="1" si="42"/>
        <v>0</v>
      </c>
      <c r="BM44" s="16" t="str">
        <f t="shared" ca="1" si="22"/>
        <v>2J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P.2 (2)</v>
      </c>
      <c r="CZ44" s="16">
        <f t="shared" ca="1" si="37"/>
        <v>3</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P.2 (2)</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2</v>
      </c>
      <c r="DE44" s="16"/>
      <c r="DF44" s="16">
        <f t="shared" ca="1" si="52"/>
        <v>3.0019999999999998</v>
      </c>
      <c r="DG44" s="16">
        <f ca="1">IF(DB44="-","-",COUNTIFS(DF$6:DF$53,"&lt;"&amp;DF44,$BC$6:$BC$53,INDEX(T_Equipos[Grupo],MATCH(BD44,T_Equipos[NombreEquipo],0))))</f>
        <v>2</v>
      </c>
      <c r="DH44" s="16">
        <f ca="1">DA44+COUNTIFS(DB$6:DB$53,DB44,DG$6:DG$53,"&lt;"&amp;DG44,$BC$6:$BC$53,INDEX(T_Equipos[Grupo],MATCH(BD44,T_Equipos[NombreEquipo],0)))</f>
        <v>3</v>
      </c>
      <c r="DI44" s="16"/>
      <c r="DJ44" s="16">
        <f t="shared" ca="1" si="38"/>
        <v>2</v>
      </c>
      <c r="DK44" s="16">
        <f t="shared" ca="1" si="39"/>
        <v>12</v>
      </c>
      <c r="DL44" s="16">
        <f t="shared" ca="1" si="40"/>
        <v>2</v>
      </c>
      <c r="DM44" s="16" t="str">
        <f t="shared" ca="1" si="46"/>
        <v>2.2</v>
      </c>
      <c r="DN44" s="16" t="e" cm="1" vm="21">
        <f t="array" aca="1" ref="DN44" ca="1">OFFSET(Horarios!$P$3,DJ44-1,0,DL44,1)</f>
        <v>#VALUE!</v>
      </c>
      <c r="DO44" s="16"/>
      <c r="DP44" s="16" t="s">
        <v>451</v>
      </c>
      <c r="DQ44" s="16" t="str">
        <f t="shared" ca="1" si="47"/>
        <v>Jordania</v>
      </c>
    </row>
    <row r="45" spans="1:121" ht="16.0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71" t="e" cm="1" vm="25">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4</v>
      </c>
      <c r="BF45" s="16">
        <f t="shared" ca="1" si="41"/>
        <v>3</v>
      </c>
      <c r="BG45" s="16">
        <f t="shared" ca="1" si="17"/>
        <v>1</v>
      </c>
      <c r="BH45" s="16">
        <f t="shared" ca="1" si="18"/>
        <v>1</v>
      </c>
      <c r="BI45" s="16">
        <f t="shared" ca="1" si="19"/>
        <v>1</v>
      </c>
      <c r="BJ45" s="16">
        <f t="shared" ca="1" si="20"/>
        <v>3</v>
      </c>
      <c r="BK45" s="16">
        <f t="shared" ca="1" si="21"/>
        <v>3</v>
      </c>
      <c r="BL45" s="16">
        <f t="shared" ca="1" si="42"/>
        <v>0</v>
      </c>
      <c r="BM45" s="16" t="str">
        <f t="shared" ca="1" si="22"/>
        <v>3J</v>
      </c>
      <c r="BN45" s="16" t="str">
        <f t="shared" ca="1" si="23"/>
        <v>2J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4</v>
      </c>
      <c r="BS45" s="16">
        <f ca="1">BP45+COUNTIFS($BQ$6:$BQ$53,BQ45,$BR$6:BR$53,"&gt;"&amp;BR45,$BC$6:$BC$53,INDEX(T_Equipos[Grupo],MATCH(BD45,T_Equipos[NombreEquipo],0)))</f>
        <v>2</v>
      </c>
      <c r="BT45" s="16" t="str">
        <f ca="1">IF(COUNTIFS($BS$6:$BS$53,BS45,$BC$6:$BC$53,INDEX(T_Equipos[Grupo],MATCH(BD45,T_Equipos[NombreEquipo],0)))=1,"-","P."&amp;BS45&amp;" ("&amp;COUNTIFS($BS$6:$BS$53,BS45,$BC$6:$BC$53,INDEX(T_Equipos[Grupo],MATCH(BD45,T_Equipos[NombreEquipo],0)))&amp;")")</f>
        <v>P.2 (2)</v>
      </c>
      <c r="BU45" s="16">
        <f t="shared" ca="1" si="24"/>
        <v>0</v>
      </c>
      <c r="BV45" s="16">
        <f t="shared" ca="1" si="25"/>
        <v>1</v>
      </c>
      <c r="BW45" s="16">
        <f t="shared" ca="1" si="26"/>
        <v>0</v>
      </c>
      <c r="BX45" s="16">
        <f t="shared" ca="1" si="48"/>
        <v>1</v>
      </c>
      <c r="BY45" s="16">
        <f ca="1">BS45+COUNTIFS($BT$6:$BT$53,BT45,$BX$6:BX$53,"&gt;"&amp;BX45,$BC$6:$BC$53,INDEX(T_Equipos[Grupo],MATCH(BD45,T_Equipos[NombreEquipo],0)))</f>
        <v>2</v>
      </c>
      <c r="BZ45" s="16" t="str">
        <f ca="1">IF(COUNTIFS($BY$6:$BY$53,BY45,$BC$6:$BC$53,INDEX(T_Equipos[Grupo],MATCH(BD45,T_Equipos[NombreEquipo],0)))=1,"-","P."&amp;BY45&amp;" ("&amp;COUNTIFS($BY$6:$BY$53,BY45,$BC$6:$BC$53,INDEX(T_Equipos[Grupo],MATCH(BD45,T_Equipos[NombreEquipo],0)))&amp;")")</f>
        <v>P.2 (2)</v>
      </c>
      <c r="CA45" s="16">
        <f t="shared" ca="1" si="27"/>
        <v>1</v>
      </c>
      <c r="CB45" s="16">
        <f t="shared" ca="1" si="28"/>
        <v>1</v>
      </c>
      <c r="CC45" s="16">
        <f t="shared" ca="1" si="49"/>
        <v>0</v>
      </c>
      <c r="CD45" s="16">
        <f ca="1">BY45+COUNTIFS($BZ$6:$BZ$53,BZ45,$CC$6:CC$53,"&gt;"&amp;CC45,$BC$6:$BC$53,INDEX(T_Equipos[Grupo],MATCH(BD45,T_Equipos[NombreEquipo],0)))</f>
        <v>2</v>
      </c>
      <c r="CE45" s="16" t="str">
        <f ca="1">IF(COUNTIFS($CD$6:$CD$53,CD45,$BC$6:$BC$53,INDEX(T_Equipos[Grupo],MATCH(BD45,T_Equipos[NombreEquipo],0)))=1,"-","P."&amp;CD45&amp;" ("&amp;COUNTIFS($CD$6:$CD$53,CD45,$BC$6:$BC$53,INDEX(T_Equipos[Grupo],MATCH(BD45,T_Equipos[NombreEquipo],0)))&amp;")")</f>
        <v>P.2 (2)</v>
      </c>
      <c r="CF45" s="16">
        <f t="shared" ca="1" si="29"/>
        <v>1</v>
      </c>
      <c r="CG45" s="16">
        <f ca="1">CD45+COUNTIFS($CE$6:$CE$53,CE45,$CF$6:CF$53,"&gt;"&amp;CF45,$BC$6:$BC$53,INDEX(T_Equipos[Grupo],MATCH(BD45,T_Equipos[NombreEquipo],0)))</f>
        <v>2</v>
      </c>
      <c r="CH45" s="16" t="str">
        <f ca="1">IF(COUNTIFS($CG$6:$CG$53,CG45,$BC$6:$BC$53,INDEX(T_Equipos[Grupo],MATCH(BD45,T_Equipos[NombreEquipo],0)))=1,"-","P."&amp;CG45&amp;" ("&amp;COUNTIFS($CG$6:$CG$53,CG45,$BC$6:$BC$53,INDEX(T_Equipos[Grupo],MATCH(BD45,T_Equipos[NombreEquipo],0)))&amp;")")</f>
        <v>P.2 (2)</v>
      </c>
      <c r="CI45" s="16">
        <f t="shared" ca="1" si="30"/>
        <v>0</v>
      </c>
      <c r="CJ45" s="16">
        <f t="shared" ca="1" si="31"/>
        <v>1</v>
      </c>
      <c r="CK45" s="16">
        <f t="shared" ca="1" si="32"/>
        <v>0</v>
      </c>
      <c r="CL45" s="16">
        <f t="shared" ca="1" si="50"/>
        <v>1</v>
      </c>
      <c r="CM45" s="16">
        <f ca="1">CG45+COUNTIFS($CH$6:$CH$53,CH45,$CL$6:CL$53,"&gt;"&amp;CL45,$BC$6:$BC$53,INDEX(T_Equipos[Grupo],MATCH(BD45,T_Equipos[NombreEquipo],0)))</f>
        <v>2</v>
      </c>
      <c r="CN45" s="16" t="str">
        <f ca="1">IF(COUNTIFS($CM$6:$CM$53,CM45,$BC$6:$BC$53,INDEX(T_Equipos[Grupo],MATCH(BD45,T_Equipos[NombreEquipo],0)))=1,"-","P."&amp;CM45&amp;" ("&amp;COUNTIFS($CM$6:$CM$53,CM45,$BC$6:$BC$53,INDEX(T_Equipos[Grupo],MATCH(BD45,T_Equipos[NombreEquipo],0)))&amp;")")</f>
        <v>P.2 (2)</v>
      </c>
      <c r="CO45" s="16">
        <f t="shared" ca="1" si="33"/>
        <v>1</v>
      </c>
      <c r="CP45" s="16">
        <f t="shared" ca="1" si="34"/>
        <v>1</v>
      </c>
      <c r="CQ45" s="16">
        <f t="shared" ca="1" si="51"/>
        <v>0</v>
      </c>
      <c r="CR45" s="16">
        <f ca="1">CM45+COUNTIFS($CN$6:$CN$53,CN45,$CQ$6:CQ$53,"&gt;"&amp;CQ45,$BC$6:$BC$53,INDEX(T_Equipos[Grupo],MATCH(BD45,T_Equipos[NombreEquipo],0)))</f>
        <v>2</v>
      </c>
      <c r="CS45" s="16" t="str">
        <f ca="1">IF(COUNTIFS($CR$6:$CR$53,CR45,$BC$6:$BC$53,INDEX(T_Equipos[Grupo],MATCH(BD45,T_Equipos[NombreEquipo],0)))=1,"-","P."&amp;CR45&amp;" ("&amp;COUNTIFS($CR$6:$CR$53,CR45,$BC$6:$BC$53,INDEX(T_Equipos[Grupo],MATCH(BD45,T_Equipos[NombreEquipo],0)))&amp;")")</f>
        <v>P.2 (2)</v>
      </c>
      <c r="CT45" s="16">
        <f t="shared" ca="1" si="35"/>
        <v>1</v>
      </c>
      <c r="CU45" s="16">
        <f ca="1">CR45+COUNTIFS($CS$6:$CS$53,CS45,$CT$6:CT$53,"&gt;"&amp;CT45,$BC$6:$BC$53,INDEX(T_Equipos[Grupo],MATCH(BD45,T_Equipos[NombreEquipo],0)))</f>
        <v>2</v>
      </c>
      <c r="CV45" s="16" t="str">
        <f ca="1">IF(COUNTIFS($CU$6:$CU$53,CU45,$BC$6:$BC$53,INDEX(T_Equipos[Grupo],MATCH(BD45,T_Equipos[NombreEquipo],0)))=1,"-","P."&amp;CU45&amp;" ("&amp;COUNTIFS($CU$6:$CU$53,CU45,$BC$6:$BC$53,INDEX(T_Equipos[Grupo],MATCH(BD45,T_Equipos[NombreEquipo],0)))&amp;")")</f>
        <v>P.2 (2)</v>
      </c>
      <c r="CW45" s="16">
        <f t="shared" ca="1" si="36"/>
        <v>0</v>
      </c>
      <c r="CX45" s="16">
        <f ca="1">CU45+COUNTIFS($CV$6:$CV$53,CV45,$CW$6:CW$53,"&gt;"&amp;CW45,$BC$6:$BC$53,INDEX(T_Equipos[Grupo],MATCH(BD45,T_Equipos[NombreEquipo],0)))</f>
        <v>2</v>
      </c>
      <c r="CY45" s="16" t="str">
        <f ca="1">IF(COUNTIFS($CX$6:$CX$53,CX45,$BC$6:$BC$53,INDEX(T_Equipos[Grupo],MATCH(BD45,T_Equipos[NombreEquipo],0)))=1,"-","P."&amp;CX45&amp;" ("&amp;COUNTIFS($CX$6:$CX$53,CX45,$BC$6:$BC$53,INDEX(T_Equipos[Grupo],MATCH(BD45,T_Equipos[NombreEquipo],0)))&amp;")")</f>
        <v>P.2 (2)</v>
      </c>
      <c r="CZ45" s="16">
        <f t="shared" ca="1" si="37"/>
        <v>3</v>
      </c>
      <c r="DA45" s="16">
        <f ca="1">CX45+COUNTIFS($CY$6:$CY$53,CY45,$CZ$6:CZ$53,"&gt;"&amp;CZ45,$BC$6:$BC$53,INDEX(T_Equipos[Grupo],MATCH(BD45,T_Equipos[NombreEquipo],0)))</f>
        <v>2</v>
      </c>
      <c r="DB45" s="16" t="str">
        <f ca="1">IF(COUNTIFS($DA$6:$DA$53,DA45,$BC$6:$BC$53,INDEX(T_Equipos[Grupo],MATCH(BD45,T_Equipos[NombreEquipo],0)))=1,"-","P."&amp;DA45&amp;" ("&amp;COUNTIFS($DA$6:$DA$53,DA45,$BC$6:$BC$53,INDEX(T_Equipos[Grupo],MATCH(BD45,T_Equipos[NombreEquipo],0)))&amp;")")</f>
        <v>P.2 (2)</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3</v>
      </c>
      <c r="DE45" s="16"/>
      <c r="DF45" s="16">
        <f t="shared" ca="1" si="52"/>
        <v>2.0030000000000001</v>
      </c>
      <c r="DG45" s="16">
        <f ca="1">IF(DB45="-","-",COUNTIFS(DF$6:DF$53,"&lt;"&amp;DF45,$BC$6:$BC$53,INDEX(T_Equipos[Grupo],MATCH(BD45,T_Equipos[NombreEquipo],0))))</f>
        <v>1</v>
      </c>
      <c r="DH45" s="16">
        <f ca="1">DA45+COUNTIFS(DB$6:DB$53,DB45,DG$6:DG$53,"&lt;"&amp;DG45,$BC$6:$BC$53,INDEX(T_Equipos[Grupo],MATCH(BD45,T_Equipos[NombreEquipo],0)))</f>
        <v>2</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Argelia</v>
      </c>
    </row>
    <row r="46" spans="1:121" ht="16.05" customHeight="1">
      <c r="A46" s="16" t="str">
        <f ca="1">+Equipos!B23</f>
        <v>Japón</v>
      </c>
      <c r="B46" s="16"/>
      <c r="C46" s="16"/>
      <c r="D46" s="16" t="str">
        <f t="shared" si="131"/>
        <v>Local</v>
      </c>
      <c r="E46" s="16" t="str">
        <f t="shared" ca="1" si="132"/>
        <v>P.1 (2)</v>
      </c>
      <c r="F46" s="16" t="str">
        <f t="shared" ca="1" si="133"/>
        <v>-</v>
      </c>
      <c r="G46" s="16"/>
      <c r="H46" s="16" t="str">
        <f t="shared" ca="1" si="134"/>
        <v>P.1 (2)</v>
      </c>
      <c r="I46" s="16" t="str">
        <f t="shared" ca="1" si="135"/>
        <v>-</v>
      </c>
      <c r="J46" s="16"/>
      <c r="K46" s="16" t="str">
        <f t="shared" ca="1" si="136"/>
        <v>P.1 (2)</v>
      </c>
      <c r="L46" s="16" t="str">
        <f t="shared" ca="1" si="137"/>
        <v>-</v>
      </c>
      <c r="M46" s="16"/>
      <c r="N46" s="16" t="str">
        <f t="shared" ca="1" si="138"/>
        <v>P.1 (2)</v>
      </c>
      <c r="O46" s="16" t="str">
        <f t="shared" ca="1" si="139"/>
        <v>-</v>
      </c>
      <c r="P46" s="16"/>
      <c r="Q46" s="16" t="str">
        <f t="shared" ca="1" si="140"/>
        <v>P.1 (2)</v>
      </c>
      <c r="R46" s="16" t="str">
        <f t="shared" ca="1" si="141"/>
        <v>-</v>
      </c>
      <c r="S46" s="16"/>
      <c r="T46" s="16" t="str">
        <f t="shared" ca="1" si="142"/>
        <v>P.1 (2)</v>
      </c>
      <c r="U46" s="16" t="str">
        <f t="shared" ca="1" si="143"/>
        <v>-</v>
      </c>
      <c r="V46" s="17"/>
      <c r="W46" s="615"/>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0</v>
      </c>
      <c r="AE46" s="571" t="e" cm="1" vm="24">
        <f t="array" aca="1" ref="AE46" ca="1">Ver_flag_visit</f>
        <v>#VALUE!</v>
      </c>
      <c r="AF46" s="32" t="str">
        <f ca="1">A47</f>
        <v>Suecia</v>
      </c>
      <c r="AG46" s="306">
        <f t="shared" si="144"/>
        <v>1</v>
      </c>
      <c r="AH46" s="185">
        <v>35</v>
      </c>
      <c r="AI46" s="171" t="str">
        <f>AJ46&amp;$B$44</f>
        <v>1F</v>
      </c>
      <c r="AJ46" s="40">
        <v>1</v>
      </c>
      <c r="AK46" s="577" t="e" cm="1" vm="23">
        <f t="array" aca="1" ref="AK46" ca="1">Ver_flag_visit</f>
        <v>#VALUE!</v>
      </c>
      <c r="AL46" s="34" t="str">
        <f ca="1">IFERROR(INDEX($BD$6:$BD$53,MATCH(AI46,$BN$6:$BN$53,0)),"")</f>
        <v>Japón</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2</v>
      </c>
      <c r="AT46" s="41">
        <f t="shared" ca="1" si="147"/>
        <v>4</v>
      </c>
      <c r="AU46" s="313">
        <f ca="1">INDEX($DL$6:$DL$53,MATCH(AI46,$DP$6:$DP$53,0))</f>
        <v>1</v>
      </c>
      <c r="AV46" s="172" t="str">
        <f ca="1">INDEX($BD$6:$BD$53,MATCH(AI46,$BM$6:$BM$53,0))</f>
        <v>Japón</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1</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P.1 (2)</v>
      </c>
      <c r="G47" s="16"/>
      <c r="H47" s="16" t="str">
        <f t="shared" ca="1" si="134"/>
        <v>-</v>
      </c>
      <c r="I47" s="16" t="str">
        <f t="shared" ca="1" si="135"/>
        <v>P.1 (2)</v>
      </c>
      <c r="J47" s="16"/>
      <c r="K47" s="16" t="str">
        <f t="shared" ca="1" si="136"/>
        <v>-</v>
      </c>
      <c r="L47" s="16" t="str">
        <f t="shared" ca="1" si="137"/>
        <v>P.1 (2)</v>
      </c>
      <c r="M47" s="16"/>
      <c r="N47" s="16" t="str">
        <f t="shared" ca="1" si="138"/>
        <v>-</v>
      </c>
      <c r="O47" s="16" t="str">
        <f t="shared" ca="1" si="139"/>
        <v>P.1 (2)</v>
      </c>
      <c r="P47" s="16"/>
      <c r="Q47" s="16" t="str">
        <f t="shared" ca="1" si="140"/>
        <v>-</v>
      </c>
      <c r="R47" s="16" t="str">
        <f t="shared" ca="1" si="141"/>
        <v>P.1 (2)</v>
      </c>
      <c r="S47" s="16"/>
      <c r="T47" s="16" t="str">
        <f t="shared" ca="1" si="142"/>
        <v>-</v>
      </c>
      <c r="U47" s="16" t="str">
        <f t="shared" ca="1" si="143"/>
        <v>P.1 (2)</v>
      </c>
      <c r="V47" s="17"/>
      <c r="W47" s="615"/>
      <c r="X47" s="24">
        <f ca="1">Horarios!C47</f>
        <v>46194.25</v>
      </c>
      <c r="Y47" s="25">
        <f ca="1">Horarios!C47</f>
        <v>46194.25</v>
      </c>
      <c r="Z47" s="26" t="str">
        <f>$Z$6</f>
        <v>J2</v>
      </c>
      <c r="AA47" s="27" t="str">
        <f ca="1">A48</f>
        <v>Túnez</v>
      </c>
      <c r="AB47" s="49" t="e" cm="1" vm="25">
        <f t="array" aca="1" ref="AB47" ca="1">Ver_flag_local</f>
        <v>#VALUE!</v>
      </c>
      <c r="AC47" s="50">
        <v>0</v>
      </c>
      <c r="AD47" s="51">
        <v>3</v>
      </c>
      <c r="AE47" s="571" t="e" cm="1" vm="23">
        <f t="array" aca="1" ref="AE47" ca="1">Ver_flag_visit</f>
        <v>#VALUE!</v>
      </c>
      <c r="AF47" s="32" t="str">
        <f ca="1">A46</f>
        <v>Japón</v>
      </c>
      <c r="AG47" s="306">
        <f t="shared" si="144"/>
        <v>1</v>
      </c>
      <c r="AH47" s="185">
        <v>36</v>
      </c>
      <c r="AI47" s="171" t="str">
        <f t="shared" ref="AI47:AI49" si="148">AJ47&amp;$B$44</f>
        <v>2F</v>
      </c>
      <c r="AJ47" s="42">
        <v>2</v>
      </c>
      <c r="AK47" s="578" t="e" cm="1" vm="22">
        <f t="array" aca="1" ref="AK47" ca="1">Ver_flag_visit</f>
        <v>#VALUE!</v>
      </c>
      <c r="AL47" s="37" t="str">
        <f ca="1">IFERROR(INDEX($BD$6:$BD$53,MATCH(AI47,$BN$6:$BN$53,0)),"")</f>
        <v>Países Bajos</v>
      </c>
      <c r="AM47" s="38">
        <f t="shared" ca="1" si="147"/>
        <v>7</v>
      </c>
      <c r="AN47" s="39">
        <f t="shared" ca="1" si="147"/>
        <v>3</v>
      </c>
      <c r="AO47" s="39">
        <f t="shared" ca="1" si="147"/>
        <v>2</v>
      </c>
      <c r="AP47" s="39">
        <f t="shared" ca="1" si="147"/>
        <v>1</v>
      </c>
      <c r="AQ47" s="39">
        <f t="shared" ca="1" si="147"/>
        <v>0</v>
      </c>
      <c r="AR47" s="39">
        <f t="shared" ca="1" si="147"/>
        <v>4</v>
      </c>
      <c r="AS47" s="39">
        <f t="shared" ca="1" si="147"/>
        <v>1</v>
      </c>
      <c r="AT47" s="43">
        <f t="shared" ca="1" si="147"/>
        <v>3</v>
      </c>
      <c r="AU47" s="313">
        <f ca="1">INDEX($DL$6:$DL$53,MATCH(AI47,$DP$6:$DP$53,0))</f>
        <v>1</v>
      </c>
      <c r="AV47" s="172" t="str">
        <f ca="1">INDEX($BD$6:$BD$53,MATCH(AI47,$BM$6:$BM$53,0))</f>
        <v>Países Bajos</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5</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-4</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Local</v>
      </c>
      <c r="E48" s="16" t="str">
        <f t="shared" ca="1" si="132"/>
        <v>P.1 (2)</v>
      </c>
      <c r="F48" s="16" t="str">
        <f t="shared" ca="1" si="133"/>
        <v>-</v>
      </c>
      <c r="G48" s="16"/>
      <c r="H48" s="16" t="str">
        <f t="shared" ca="1" si="134"/>
        <v>P.1 (2)</v>
      </c>
      <c r="I48" s="16" t="str">
        <f t="shared" ca="1" si="135"/>
        <v>-</v>
      </c>
      <c r="J48" s="16"/>
      <c r="K48" s="16" t="str">
        <f t="shared" ca="1" si="136"/>
        <v>P.1 (2)</v>
      </c>
      <c r="L48" s="16" t="str">
        <f t="shared" ca="1" si="137"/>
        <v>-</v>
      </c>
      <c r="M48" s="16"/>
      <c r="N48" s="16" t="str">
        <f t="shared" ca="1" si="138"/>
        <v>P.1 (2)</v>
      </c>
      <c r="O48" s="16" t="str">
        <f t="shared" ca="1" si="139"/>
        <v>-</v>
      </c>
      <c r="P48" s="16"/>
      <c r="Q48" s="16" t="str">
        <f t="shared" ca="1" si="140"/>
        <v>P.1 (2)</v>
      </c>
      <c r="R48" s="16" t="str">
        <f t="shared" ca="1" si="141"/>
        <v>-</v>
      </c>
      <c r="S48" s="16"/>
      <c r="T48" s="16" t="str">
        <f t="shared" ca="1" si="142"/>
        <v>P.1 (2)</v>
      </c>
      <c r="U48" s="16" t="str">
        <f t="shared" ca="1" si="143"/>
        <v>-</v>
      </c>
      <c r="V48" s="17"/>
      <c r="W48" s="615"/>
      <c r="X48" s="24">
        <f ca="1">Horarios!C48</f>
        <v>46199.041666666664</v>
      </c>
      <c r="Y48" s="25">
        <f ca="1">Horarios!C48</f>
        <v>46199.041666666664</v>
      </c>
      <c r="Z48" s="26" t="str">
        <f>$Z$8</f>
        <v>J3</v>
      </c>
      <c r="AA48" s="27" t="str">
        <f ca="1">A46</f>
        <v>Japón</v>
      </c>
      <c r="AB48" s="49" t="e" cm="1" vm="23">
        <f t="array" aca="1" ref="AB48" ca="1">Ver_flag_local</f>
        <v>#VALUE!</v>
      </c>
      <c r="AC48" s="50">
        <v>2</v>
      </c>
      <c r="AD48" s="51">
        <v>1</v>
      </c>
      <c r="AE48" s="571" t="e" cm="1" vm="24">
        <f t="array" aca="1" ref="AE48" ca="1">Ver_flag_visit</f>
        <v>#VALUE!</v>
      </c>
      <c r="AF48" s="32" t="str">
        <f ca="1">A47</f>
        <v>Suecia</v>
      </c>
      <c r="AG48" s="306">
        <f t="shared" si="144"/>
        <v>1</v>
      </c>
      <c r="AH48" s="185">
        <v>57</v>
      </c>
      <c r="AI48" s="171" t="str">
        <f t="shared" si="148"/>
        <v>3F</v>
      </c>
      <c r="AJ48" s="42">
        <v>3</v>
      </c>
      <c r="AK48" s="578" t="e" cm="1" vm="24">
        <f t="array" aca="1" ref="AK48" ca="1">Ver_flag_visit</f>
        <v>#VALUE!</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3</v>
      </c>
      <c r="AS48" s="39">
        <f t="shared" ca="1" si="147"/>
        <v>4</v>
      </c>
      <c r="AT48" s="43">
        <f t="shared" ca="1" si="147"/>
        <v>-1</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6</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P.1 (2)</v>
      </c>
      <c r="G49" s="16"/>
      <c r="H49" s="16" t="str">
        <f t="shared" ca="1" si="134"/>
        <v>-</v>
      </c>
      <c r="I49" s="16" t="str">
        <f t="shared" ca="1" si="135"/>
        <v>P.1 (2)</v>
      </c>
      <c r="J49" s="16"/>
      <c r="K49" s="16" t="str">
        <f t="shared" ca="1" si="136"/>
        <v>-</v>
      </c>
      <c r="L49" s="16" t="str">
        <f t="shared" ca="1" si="137"/>
        <v>P.1 (2)</v>
      </c>
      <c r="M49" s="16"/>
      <c r="N49" s="16" t="str">
        <f t="shared" ca="1" si="138"/>
        <v>-</v>
      </c>
      <c r="O49" s="16" t="str">
        <f t="shared" ca="1" si="139"/>
        <v>P.1 (2)</v>
      </c>
      <c r="P49" s="16"/>
      <c r="Q49" s="16" t="str">
        <f t="shared" ca="1" si="140"/>
        <v>-</v>
      </c>
      <c r="R49" s="16" t="str">
        <f t="shared" ca="1" si="141"/>
        <v>P.1 (2)</v>
      </c>
      <c r="S49" s="16"/>
      <c r="T49" s="16" t="str">
        <f t="shared" ca="1" si="142"/>
        <v>-</v>
      </c>
      <c r="U49" s="16" t="str">
        <f t="shared" ca="1" si="143"/>
        <v>P.1 (2)</v>
      </c>
      <c r="V49" s="17"/>
      <c r="W49" s="616"/>
      <c r="X49" s="28">
        <f ca="1">Horarios!C49</f>
        <v>46199.041666666664</v>
      </c>
      <c r="Y49" s="29">
        <f ca="1">Horarios!C49</f>
        <v>46199.041666666664</v>
      </c>
      <c r="Z49" s="30" t="str">
        <f>$Z$8</f>
        <v>J3</v>
      </c>
      <c r="AA49" s="31" t="str">
        <f ca="1">A48</f>
        <v>Túnez</v>
      </c>
      <c r="AB49" s="52" t="e" cm="1" vm="25">
        <f t="array" aca="1" ref="AB49" ca="1">Ver_flag_local</f>
        <v>#VALUE!</v>
      </c>
      <c r="AC49" s="50">
        <v>0</v>
      </c>
      <c r="AD49" s="51">
        <v>1</v>
      </c>
      <c r="AE49" s="572" t="e" cm="1" vm="22">
        <f t="array" aca="1" ref="AE49" ca="1">Ver_flag_visit</f>
        <v>#VALUE!</v>
      </c>
      <c r="AF49" s="33" t="str">
        <f ca="1">A45</f>
        <v>Países Bajos</v>
      </c>
      <c r="AG49" s="306">
        <f t="shared" si="144"/>
        <v>1</v>
      </c>
      <c r="AH49" s="185">
        <v>58</v>
      </c>
      <c r="AI49" s="171" t="str">
        <f t="shared" si="148"/>
        <v>4F</v>
      </c>
      <c r="AJ49" s="44">
        <v>4</v>
      </c>
      <c r="AK49" s="580"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0</v>
      </c>
      <c r="AS49" s="47">
        <f t="shared" ca="1" si="147"/>
        <v>6</v>
      </c>
      <c r="AT49" s="48">
        <f t="shared" ca="1" si="147"/>
        <v>-6</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4</v>
      </c>
      <c r="BK50" s="16">
        <f t="shared" ca="1" si="21"/>
        <v>1</v>
      </c>
      <c r="BL50" s="16">
        <f t="shared" ca="1" si="42"/>
        <v>3</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6">
        <f t="array" aca="1" ref="AB52" ca="1">Ver_flag_local</f>
        <v>#VALUE!</v>
      </c>
      <c r="AC52" s="50">
        <v>1</v>
      </c>
      <c r="AD52" s="51">
        <v>1</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2</v>
      </c>
      <c r="BK52" s="16">
        <f t="shared" ca="1" si="21"/>
        <v>4</v>
      </c>
      <c r="BL52" s="16">
        <f t="shared" ca="1" si="42"/>
        <v>-2</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6.0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35"/>
      <c r="X53" s="24">
        <f ca="1">Horarios!C53</f>
        <v>46189.125</v>
      </c>
      <c r="Y53" s="25">
        <f ca="1">Horarios!C53</f>
        <v>46189.125</v>
      </c>
      <c r="Z53" s="26" t="str">
        <f>$Z$4</f>
        <v>J1</v>
      </c>
      <c r="AA53" s="27" t="str">
        <f ca="1">A55</f>
        <v>Irán</v>
      </c>
      <c r="AB53" s="49" t="e" cm="1" vm="28">
        <f t="array" aca="1" ref="AB53" ca="1">Ver_flag_local</f>
        <v>#VALUE!</v>
      </c>
      <c r="AC53" s="50">
        <v>1</v>
      </c>
      <c r="AD53" s="51">
        <v>0</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3</v>
      </c>
      <c r="BF53" s="16">
        <f t="shared" ca="1" si="41"/>
        <v>3</v>
      </c>
      <c r="BG53" s="16">
        <f t="shared" ca="1" si="17"/>
        <v>1</v>
      </c>
      <c r="BH53" s="16">
        <f t="shared" ca="1" si="18"/>
        <v>0</v>
      </c>
      <c r="BI53" s="16">
        <f t="shared" ca="1" si="19"/>
        <v>2</v>
      </c>
      <c r="BJ53" s="16">
        <f t="shared" ca="1" si="20"/>
        <v>2</v>
      </c>
      <c r="BK53" s="16">
        <f t="shared" ca="1" si="21"/>
        <v>5</v>
      </c>
      <c r="BL53" s="16">
        <f t="shared" ca="1" si="42"/>
        <v>-3</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Ghana</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35"/>
      <c r="X54" s="24">
        <f ca="1">Horarios!C54</f>
        <v>46194.875</v>
      </c>
      <c r="Y54" s="25">
        <f ca="1">Horarios!C54</f>
        <v>46194.875</v>
      </c>
      <c r="Z54" s="26" t="str">
        <f>$Z$6</f>
        <v>J2</v>
      </c>
      <c r="AA54" s="27" t="str">
        <f ca="1">A53</f>
        <v>Bélgica</v>
      </c>
      <c r="AB54" s="49" t="e" cm="1" vm="26">
        <f t="array" aca="1" ref="AB54" ca="1">Ver_flag_local</f>
        <v>#VALUE!</v>
      </c>
      <c r="AC54" s="50">
        <v>2</v>
      </c>
      <c r="AD54" s="51">
        <v>1</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6</v>
      </c>
      <c r="AS54" s="36">
        <f t="shared" ca="1" si="165"/>
        <v>2</v>
      </c>
      <c r="AT54" s="41">
        <f t="shared" ca="1" si="165"/>
        <v>4</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35"/>
      <c r="X55" s="24">
        <f ca="1">Horarios!C55</f>
        <v>46195.125</v>
      </c>
      <c r="Y55" s="25">
        <f ca="1">Horarios!C55</f>
        <v>46195.125</v>
      </c>
      <c r="Z55" s="26" t="str">
        <f>$Z$6</f>
        <v>J2</v>
      </c>
      <c r="AA55" s="27" t="str">
        <f ca="1">A56</f>
        <v>Nueva Zelanda</v>
      </c>
      <c r="AB55" s="49" t="e" cm="1" vm="29">
        <f t="array" aca="1" ref="AB55" ca="1">Ver_flag_local</f>
        <v>#VALUE!</v>
      </c>
      <c r="AC55" s="50">
        <v>0</v>
      </c>
      <c r="AD55" s="51">
        <v>2</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4</v>
      </c>
      <c r="AS55" s="39">
        <f t="shared" ca="1" si="165"/>
        <v>2</v>
      </c>
      <c r="AT55" s="43">
        <f t="shared" ca="1" si="165"/>
        <v>2</v>
      </c>
      <c r="AU55" s="313">
        <f ca="1">INDEX($DL$6:$DL$53,MATCH(AI55,$DP$6:$DP$53,0))</f>
        <v>1</v>
      </c>
      <c r="AV55" s="172" t="str">
        <f ca="1">INDEX($BD$6:$BD$53,MATCH(AI55,$BM$6:$BM$53,0))</f>
        <v>Egipto</v>
      </c>
      <c r="AW55" s="200"/>
      <c r="AX55" s="161"/>
      <c r="AY55" s="193" t="str">
        <f ca="1">+A54</f>
        <v>Egipto</v>
      </c>
      <c r="AZ55" s="194"/>
      <c r="BA55" s="166"/>
    </row>
    <row r="56" spans="1:121" ht="16.0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35"/>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71" t="e" cm="1" vm="28">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3</v>
      </c>
      <c r="AS56" s="39">
        <f t="shared" ca="1" si="165"/>
        <v>3</v>
      </c>
      <c r="AT56" s="43">
        <f t="shared" ca="1" si="165"/>
        <v>0</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6"/>
      <c r="X57" s="28">
        <f ca="1">Horarios!C57</f>
        <v>46200.208333333336</v>
      </c>
      <c r="Y57" s="29">
        <f ca="1">Horarios!C57</f>
        <v>46200.208333333336</v>
      </c>
      <c r="Z57" s="30" t="str">
        <f>$Z$8</f>
        <v>J3</v>
      </c>
      <c r="AA57" s="31" t="str">
        <f ca="1">A56</f>
        <v>Nueva Zelanda</v>
      </c>
      <c r="AB57" s="52" t="e" cm="1" vm="29">
        <f t="array" aca="1" ref="AB57" ca="1">Ver_flag_local</f>
        <v>#VALUE!</v>
      </c>
      <c r="AC57" s="50">
        <v>0</v>
      </c>
      <c r="AD57" s="51">
        <v>3</v>
      </c>
      <c r="AE57" s="572" t="e" cm="1" vm="26">
        <f t="array" aca="1" ref="AE57" ca="1">Ver_flag_visit</f>
        <v>#VALUE!</v>
      </c>
      <c r="AF57" s="33" t="str">
        <f ca="1">A53</f>
        <v>Bélgica</v>
      </c>
      <c r="AG57" s="306">
        <f t="shared" si="162"/>
        <v>1</v>
      </c>
      <c r="AH57" s="185">
        <v>64</v>
      </c>
      <c r="AI57" s="171" t="str">
        <f t="shared" si="166"/>
        <v>4G</v>
      </c>
      <c r="AJ57" s="44">
        <v>4</v>
      </c>
      <c r="AK57" s="580"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6</v>
      </c>
      <c r="AT57" s="48">
        <f t="shared" ca="1" si="165"/>
        <v>-6</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0</v>
      </c>
      <c r="BM58" s="16">
        <f ca="1">CB58</f>
        <v>4</v>
      </c>
      <c r="BN58" s="16">
        <f ca="1">CF58</f>
        <v>3</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(5)</v>
      </c>
      <c r="BU58" s="16">
        <f t="shared" ref="BU58:BU69" ca="1" si="176">IF(BT58="-","-",BL58)</f>
        <v>0</v>
      </c>
      <c r="BV58" s="16">
        <f t="shared" ref="BV58:BV69" ca="1" si="177">BS58+COUNTIFS(BT$58:BT$69,BT58,BU$58:BU$69,"&gt;"&amp;BU58)</f>
        <v>2</v>
      </c>
      <c r="BW58" s="16" t="str">
        <f t="shared" ref="BW58:BW69" ca="1" si="178">IF(COUNTIF(BV$58:BV$69,BV58)=1,"-","Pos. "&amp;BV58&amp;" ("&amp;COUNTIF(BV$58:BV$69,BV58)&amp;")")</f>
        <v>Pos. 2 (4)</v>
      </c>
      <c r="BX58" s="16">
        <f t="shared" ref="BX58:BX69" ca="1" si="179">IF(BW58="-","-",BJ58)</f>
        <v>3</v>
      </c>
      <c r="BY58" s="16">
        <f t="shared" ref="BY58:BY69" ca="1" si="180">BV58+COUNTIFS(BW$58:BW$69,BW58,BX$58:BX$69,"&gt;"&amp;BX58)</f>
        <v>2</v>
      </c>
      <c r="BZ58" s="16" t="str">
        <f t="shared" ref="BZ58:BZ69" ca="1" si="181">IF(COUNTIF(BY$58:BY$69,BY58)=1,"-","Pos. "&amp;BY58&amp;" ("&amp;COUNTIF(BY$58:BY$69,BY58)&amp;")")</f>
        <v>Pos. 2 (3)</v>
      </c>
      <c r="CA58" s="16">
        <f t="shared" ref="CA58:CA69" ca="1" si="182">IF(BZ58="-","-",COUNTIF($BD$58:$BD$69,"&gt;"&amp;BD58))</f>
        <v>2</v>
      </c>
      <c r="CB58" s="16">
        <f ca="1">BY58+COUNTIFS(BZ$58:BZ$69,BZ58,CA$58:CA$69,"&gt;"&amp;CA58)</f>
        <v>4</v>
      </c>
      <c r="CC58" s="16"/>
      <c r="CD58" s="16">
        <f t="shared" ref="CD58:CD69" ca="1" si="183">IF(OR(INDEX($AW$102:$AW$113,MATCH($BD58,$AV$102:$AV$113,0))="",BZ58="-"),CB58,INDEX($AW$102:$AW$113,MATCH($BD58,$AV$102:$AV$113,0))+CB58/1000)</f>
        <v>3.004</v>
      </c>
      <c r="CE58" s="16">
        <f ca="1">IF(BZ58="-","-",COUNTIF(CD$58:CD$69,"&lt;"&amp;CD58))</f>
        <v>2</v>
      </c>
      <c r="CF58" s="16">
        <f ca="1">BY58+COUNTIFS(BZ$58:BZ$69,BZ58,CE$58:CE$69,"&lt;"&amp;CE58)</f>
        <v>3</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Senegal</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2</v>
      </c>
      <c r="BK59" s="16">
        <f t="shared" ca="1" si="173"/>
        <v>2</v>
      </c>
      <c r="BL59" s="16">
        <f t="shared" ref="BL59:BL69" ca="1" si="190">+BJ59-BK59</f>
        <v>0</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(5)</v>
      </c>
      <c r="BU59" s="16">
        <f t="shared" ca="1" si="176"/>
        <v>0</v>
      </c>
      <c r="BV59" s="16">
        <f t="shared" ca="1" si="177"/>
        <v>2</v>
      </c>
      <c r="BW59" s="16" t="str">
        <f t="shared" ca="1" si="178"/>
        <v>Pos. 2 (4)</v>
      </c>
      <c r="BX59" s="16">
        <f t="shared" ca="1" si="179"/>
        <v>2</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3</v>
      </c>
      <c r="DM59" s="16" t="str">
        <f t="shared" ca="1" si="186"/>
        <v>2.3</v>
      </c>
      <c r="DN59" s="16" t="e" cm="1" vm="30">
        <f t="array" aca="1" ref="DN59" ca="1">OFFSET(Horarios!$P$3,DJ59-1,0,DL59,1)</f>
        <v>#VALUE!</v>
      </c>
      <c r="DO59" s="16"/>
      <c r="DP59" s="16">
        <v>2</v>
      </c>
      <c r="DQ59" s="16" t="str">
        <f t="shared" ref="DQ59:DQ69" ca="1" si="198">INDEX($BD$58:$BD$69,MATCH(DP59,$BM$58:$BM$69,0))</f>
        <v>Austria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31">
        <f t="array" aca="1" ref="AB60" ca="1">Ver_flag_local</f>
        <v>#VALUE!</v>
      </c>
      <c r="AC60" s="50">
        <v>5</v>
      </c>
      <c r="AD60" s="51">
        <v>0</v>
      </c>
      <c r="AE60" s="571" t="e" cm="1" vm="32">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10</v>
      </c>
      <c r="BN60" s="16">
        <f t="shared" ca="1" si="192"/>
        <v>10</v>
      </c>
      <c r="BO60" s="16" t="str">
        <f t="shared" si="174"/>
        <v>4C</v>
      </c>
      <c r="BP60" s="16"/>
      <c r="BQ60" s="16"/>
      <c r="BR60" s="16">
        <f t="shared" ca="1" si="175"/>
        <v>3</v>
      </c>
      <c r="BS60" s="16">
        <f t="shared" ca="1" si="193"/>
        <v>6</v>
      </c>
      <c r="BT60" s="16" t="str">
        <f t="shared" ca="1" si="194"/>
        <v>Pos. 6 (6)</v>
      </c>
      <c r="BU60" s="16">
        <f t="shared" ca="1" si="176"/>
        <v>-3</v>
      </c>
      <c r="BV60" s="16">
        <f t="shared" ca="1" si="177"/>
        <v>9</v>
      </c>
      <c r="BW60" s="16" t="str">
        <f t="shared" ca="1" si="178"/>
        <v>Pos. 9 (2)</v>
      </c>
      <c r="BX60" s="16">
        <f t="shared" ca="1" si="179"/>
        <v>1</v>
      </c>
      <c r="BY60" s="16">
        <f t="shared" ca="1" si="180"/>
        <v>10</v>
      </c>
      <c r="BZ60" s="16" t="str">
        <f t="shared" ca="1" si="181"/>
        <v>-</v>
      </c>
      <c r="CA60" s="16" t="str">
        <f t="shared" ca="1" si="182"/>
        <v>-</v>
      </c>
      <c r="CB60" s="16">
        <f t="shared" ca="1" si="195"/>
        <v>10</v>
      </c>
      <c r="CC60" s="16"/>
      <c r="CD60" s="16">
        <f t="shared" ca="1" si="183"/>
        <v>10</v>
      </c>
      <c r="CE60" s="16" t="str">
        <f t="shared" ca="1" si="196"/>
        <v>-</v>
      </c>
      <c r="CF60" s="16">
        <f t="shared" ca="1" si="197"/>
        <v>10</v>
      </c>
      <c r="DJ60" s="16">
        <f t="shared" ca="1" si="184"/>
        <v>2</v>
      </c>
      <c r="DK60" s="16"/>
      <c r="DL60" s="16">
        <f t="shared" ca="1" si="185"/>
        <v>3</v>
      </c>
      <c r="DM60" s="16" t="str">
        <f t="shared" ca="1" si="186"/>
        <v>2.3</v>
      </c>
      <c r="DN60" s="16" t="e" cm="1" vm="30">
        <f t="array" aca="1" ref="DN60" ca="1">OFFSET(Horarios!$P$3,DJ60-1,0,DL60,1)</f>
        <v>#VALUE!</v>
      </c>
      <c r="DO60" s="16"/>
      <c r="DP60" s="16">
        <v>3</v>
      </c>
      <c r="DQ60" s="16" t="str">
        <f t="shared" ca="1" si="198"/>
        <v>Irán</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17"/>
      <c r="X61" s="24">
        <f ca="1">Horarios!C61</f>
        <v>46189</v>
      </c>
      <c r="Y61" s="25">
        <f ca="1">Horarios!C61</f>
        <v>46189</v>
      </c>
      <c r="Z61" s="26" t="str">
        <f>$Z$4</f>
        <v>J1</v>
      </c>
      <c r="AA61" s="27" t="str">
        <f ca="1">A63</f>
        <v>Arabia Saudita</v>
      </c>
      <c r="AB61" s="49" t="e" cm="1" vm="33">
        <f t="array" aca="1" ref="AB61" ca="1">Ver_flag_local</f>
        <v>#VALUE!</v>
      </c>
      <c r="AC61" s="50">
        <v>0</v>
      </c>
      <c r="AD61" s="51">
        <v>2</v>
      </c>
      <c r="AE61" s="571" t="e" cm="1" vm="34">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Estados Unidos</v>
      </c>
      <c r="BE61" s="16">
        <f t="shared" ca="1" si="188"/>
        <v>3</v>
      </c>
      <c r="BF61" s="16">
        <f t="shared" ca="1" si="189"/>
        <v>3</v>
      </c>
      <c r="BG61" s="16">
        <f t="shared" ca="1" si="169"/>
        <v>1</v>
      </c>
      <c r="BH61" s="16">
        <f t="shared" ca="1" si="170"/>
        <v>0</v>
      </c>
      <c r="BI61" s="16">
        <f t="shared" ca="1" si="171"/>
        <v>2</v>
      </c>
      <c r="BJ61" s="16">
        <f t="shared" ca="1" si="172"/>
        <v>1</v>
      </c>
      <c r="BK61" s="16">
        <f t="shared" ca="1" si="173"/>
        <v>3</v>
      </c>
      <c r="BL61" s="16">
        <f t="shared" ca="1" si="190"/>
        <v>-2</v>
      </c>
      <c r="BM61" s="16">
        <f t="shared" ca="1" si="191"/>
        <v>8</v>
      </c>
      <c r="BN61" s="16">
        <f t="shared" ca="1" si="192"/>
        <v>8</v>
      </c>
      <c r="BO61" s="16" t="str">
        <f t="shared" si="174"/>
        <v>4D</v>
      </c>
      <c r="BP61" s="16"/>
      <c r="BQ61" s="16"/>
      <c r="BR61" s="16">
        <f t="shared" ca="1" si="175"/>
        <v>3</v>
      </c>
      <c r="BS61" s="16">
        <f t="shared" ca="1" si="193"/>
        <v>6</v>
      </c>
      <c r="BT61" s="16" t="str">
        <f t="shared" ca="1" si="194"/>
        <v>Pos. 6 (6)</v>
      </c>
      <c r="BU61" s="16">
        <f t="shared" ca="1" si="176"/>
        <v>-2</v>
      </c>
      <c r="BV61" s="16">
        <f t="shared" ca="1" si="177"/>
        <v>8</v>
      </c>
      <c r="BW61" s="16" t="str">
        <f t="shared" ca="1" si="178"/>
        <v>-</v>
      </c>
      <c r="BX61" s="16" t="str">
        <f t="shared" ca="1" si="179"/>
        <v>-</v>
      </c>
      <c r="BY61" s="16">
        <f t="shared" ca="1" si="180"/>
        <v>8</v>
      </c>
      <c r="BZ61" s="16" t="str">
        <f t="shared" ca="1" si="181"/>
        <v>-</v>
      </c>
      <c r="CA61" s="16" t="str">
        <f t="shared" ca="1" si="182"/>
        <v>-</v>
      </c>
      <c r="CB61" s="16">
        <f t="shared" ca="1" si="195"/>
        <v>8</v>
      </c>
      <c r="CC61" s="16"/>
      <c r="CD61" s="16">
        <f t="shared" ca="1" si="183"/>
        <v>8</v>
      </c>
      <c r="CE61" s="16" t="str">
        <f t="shared" ca="1" si="196"/>
        <v>-</v>
      </c>
      <c r="CF61" s="16">
        <f t="shared" ca="1" si="197"/>
        <v>8</v>
      </c>
      <c r="DJ61" s="16">
        <f t="shared" ca="1" si="184"/>
        <v>2</v>
      </c>
      <c r="DK61" s="16"/>
      <c r="DL61" s="16">
        <f t="shared" ca="1" si="185"/>
        <v>3</v>
      </c>
      <c r="DM61" s="16" t="str">
        <f t="shared" ca="1" si="186"/>
        <v>2.3</v>
      </c>
      <c r="DN61" s="16" t="e" cm="1" vm="30">
        <f t="array" aca="1" ref="DN61" ca="1">OFFSET(Horarios!$P$3,DJ61-1,0,DL61,1)</f>
        <v>#VALUE!</v>
      </c>
      <c r="DO61" s="16"/>
      <c r="DP61" s="16">
        <v>4</v>
      </c>
      <c r="DQ61" s="16" t="str">
        <f t="shared" ca="1" si="198"/>
        <v>República Checa</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17"/>
      <c r="X62" s="24">
        <f ca="1">Horarios!C62</f>
        <v>46194.75</v>
      </c>
      <c r="Y62" s="25">
        <f ca="1">Horarios!C62</f>
        <v>46194.75</v>
      </c>
      <c r="Z62" s="26" t="str">
        <f>$Z$6</f>
        <v>J2</v>
      </c>
      <c r="AA62" s="27" t="str">
        <f ca="1">A61</f>
        <v>España</v>
      </c>
      <c r="AB62" s="49" t="e" cm="1" vm="31">
        <f t="array" aca="1" ref="AB62" ca="1">Ver_flag_local</f>
        <v>#VALUE!</v>
      </c>
      <c r="AC62" s="50">
        <v>3</v>
      </c>
      <c r="AD62" s="51">
        <v>0</v>
      </c>
      <c r="AE62" s="571" t="e" cm="1" vm="33">
        <f t="array" aca="1" ref="AE62" ca="1">Ver_flag_visit</f>
        <v>#VALUE!</v>
      </c>
      <c r="AF62" s="32" t="str">
        <f ca="1">A63</f>
        <v>Arabia Saudita</v>
      </c>
      <c r="AG62" s="306">
        <f t="shared" si="212"/>
        <v>1</v>
      </c>
      <c r="AH62" s="185">
        <v>38</v>
      </c>
      <c r="AI62" s="171" t="str">
        <f>AJ62&amp;$B$60</f>
        <v>1H</v>
      </c>
      <c r="AJ62" s="40">
        <v>1</v>
      </c>
      <c r="AK62" s="577" t="e" cm="1" vm="31">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10</v>
      </c>
      <c r="AS62" s="36">
        <f t="shared" ca="1" si="215"/>
        <v>1</v>
      </c>
      <c r="AT62" s="41">
        <f t="shared" ca="1" si="215"/>
        <v>9</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3</v>
      </c>
      <c r="BK62" s="16">
        <f t="shared" ca="1" si="173"/>
        <v>4</v>
      </c>
      <c r="BL62" s="16">
        <f t="shared" ca="1" si="190"/>
        <v>-1</v>
      </c>
      <c r="BM62" s="16">
        <f t="shared" ca="1" si="191"/>
        <v>6</v>
      </c>
      <c r="BN62" s="16">
        <f t="shared" ca="1" si="192"/>
        <v>7</v>
      </c>
      <c r="BO62" s="16" t="str">
        <f t="shared" si="174"/>
        <v>4E</v>
      </c>
      <c r="BP62" s="16"/>
      <c r="BQ62" s="16"/>
      <c r="BR62" s="16">
        <f t="shared" ca="1" si="175"/>
        <v>3</v>
      </c>
      <c r="BS62" s="16">
        <f t="shared" ca="1" si="193"/>
        <v>6</v>
      </c>
      <c r="BT62" s="16" t="str">
        <f t="shared" ca="1" si="194"/>
        <v>Pos. 6 (6)</v>
      </c>
      <c r="BU62" s="16">
        <f t="shared" ca="1" si="176"/>
        <v>-1</v>
      </c>
      <c r="BV62" s="16">
        <f t="shared" ca="1" si="177"/>
        <v>6</v>
      </c>
      <c r="BW62" s="16" t="str">
        <f t="shared" ca="1" si="178"/>
        <v>Pos. 6 (2)</v>
      </c>
      <c r="BX62" s="16">
        <f t="shared" ca="1" si="179"/>
        <v>3</v>
      </c>
      <c r="BY62" s="16">
        <f t="shared" ca="1" si="180"/>
        <v>6</v>
      </c>
      <c r="BZ62" s="16" t="str">
        <f t="shared" ca="1" si="181"/>
        <v>Pos. 6 (2)</v>
      </c>
      <c r="CA62" s="16">
        <f t="shared" ca="1" si="182"/>
        <v>8</v>
      </c>
      <c r="CB62" s="16">
        <f t="shared" ca="1" si="195"/>
        <v>6</v>
      </c>
      <c r="CC62" s="16"/>
      <c r="CD62" s="16">
        <f t="shared" ca="1" si="183"/>
        <v>7.0060000000000002</v>
      </c>
      <c r="CE62" s="16">
        <f t="shared" ca="1" si="196"/>
        <v>6</v>
      </c>
      <c r="CF62" s="16">
        <f t="shared" ca="1" si="197"/>
        <v>7</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17"/>
      <c r="X63" s="24">
        <f ca="1">Horarios!C63</f>
        <v>46195</v>
      </c>
      <c r="Y63" s="25">
        <f ca="1">Horarios!C63</f>
        <v>46195</v>
      </c>
      <c r="Z63" s="26" t="str">
        <f>$Z$6</f>
        <v>J2</v>
      </c>
      <c r="AA63" s="27" t="str">
        <f ca="1">A64</f>
        <v>Uruguay</v>
      </c>
      <c r="AB63" s="49" t="e" cm="1" vm="34">
        <f t="array" aca="1" ref="AB63" ca="1">Ver_flag_local</f>
        <v>#VALUE!</v>
      </c>
      <c r="AC63" s="50">
        <v>3</v>
      </c>
      <c r="AD63" s="51">
        <v>0</v>
      </c>
      <c r="AE63" s="571" t="e" cm="1" vm="32">
        <f t="array" aca="1" ref="AE63" ca="1">Ver_flag_visit</f>
        <v>#VALUE!</v>
      </c>
      <c r="AF63" s="32" t="str">
        <f ca="1">A62</f>
        <v>Cabo Verde</v>
      </c>
      <c r="AG63" s="306">
        <f t="shared" si="212"/>
        <v>1</v>
      </c>
      <c r="AH63" s="185">
        <v>37</v>
      </c>
      <c r="AI63" s="171" t="str">
        <f t="shared" ref="AI63:AI65" si="216">AJ63&amp;$B$60</f>
        <v>2H</v>
      </c>
      <c r="AJ63" s="42">
        <v>2</v>
      </c>
      <c r="AK63" s="578" t="e" cm="1" vm="34">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2</v>
      </c>
      <c r="AT63" s="43">
        <f t="shared" ca="1" si="215"/>
        <v>4</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3</v>
      </c>
      <c r="BK63" s="16">
        <f t="shared" ca="1" si="173"/>
        <v>4</v>
      </c>
      <c r="BL63" s="16">
        <f t="shared" ca="1" si="190"/>
        <v>-1</v>
      </c>
      <c r="BM63" s="16">
        <f t="shared" ca="1" si="191"/>
        <v>7</v>
      </c>
      <c r="BN63" s="16">
        <f t="shared" ca="1" si="192"/>
        <v>6</v>
      </c>
      <c r="BO63" s="16" t="str">
        <f t="shared" si="174"/>
        <v>4F</v>
      </c>
      <c r="BP63" s="16"/>
      <c r="BQ63" s="16"/>
      <c r="BR63" s="16">
        <f t="shared" ca="1" si="175"/>
        <v>3</v>
      </c>
      <c r="BS63" s="16">
        <f t="shared" ca="1" si="193"/>
        <v>6</v>
      </c>
      <c r="BT63" s="16" t="str">
        <f t="shared" ca="1" si="194"/>
        <v>Pos. 6 (6)</v>
      </c>
      <c r="BU63" s="16">
        <f t="shared" ca="1" si="176"/>
        <v>-1</v>
      </c>
      <c r="BV63" s="16">
        <f t="shared" ca="1" si="177"/>
        <v>6</v>
      </c>
      <c r="BW63" s="16" t="str">
        <f t="shared" ca="1" si="178"/>
        <v>Pos. 6 (2)</v>
      </c>
      <c r="BX63" s="16">
        <f t="shared" ca="1" si="179"/>
        <v>3</v>
      </c>
      <c r="BY63" s="16">
        <f t="shared" ca="1" si="180"/>
        <v>6</v>
      </c>
      <c r="BZ63" s="16" t="str">
        <f t="shared" ca="1" si="181"/>
        <v>Pos. 6 (2)</v>
      </c>
      <c r="CA63" s="16">
        <f t="shared" ca="1" si="182"/>
        <v>0</v>
      </c>
      <c r="CB63" s="16">
        <f t="shared" ca="1" si="195"/>
        <v>7</v>
      </c>
      <c r="CC63" s="16"/>
      <c r="CD63" s="16">
        <f t="shared" ca="1" si="183"/>
        <v>6.0069999999999997</v>
      </c>
      <c r="CE63" s="16">
        <f t="shared" ca="1" si="196"/>
        <v>5</v>
      </c>
      <c r="CF63" s="16">
        <f t="shared" ca="1" si="197"/>
        <v>6</v>
      </c>
      <c r="DJ63" s="16">
        <f t="shared" ca="1" si="184"/>
        <v>6</v>
      </c>
      <c r="DK63" s="16"/>
      <c r="DL63" s="16">
        <f t="shared" ca="1" si="185"/>
        <v>2</v>
      </c>
      <c r="DM63" s="16" t="str">
        <f t="shared" ca="1" si="186"/>
        <v>6.2</v>
      </c>
      <c r="DN63" s="16" t="e" cm="1" vm="21">
        <f t="array" aca="1" ref="DN63" ca="1">OFFSET(Horarios!$P$3,DJ63-1,0,DL63,1)</f>
        <v>#VALUE!</v>
      </c>
      <c r="DO63" s="16"/>
      <c r="DP63" s="16">
        <v>6</v>
      </c>
      <c r="DQ63" s="16" t="str">
        <f t="shared" ca="1" si="198"/>
        <v>Costa de Marfil</v>
      </c>
    </row>
    <row r="64" spans="1:121" ht="16.0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2">
        <f t="array" aca="1" ref="AB64" ca="1">Ver_flag_local</f>
        <v>#VALUE!</v>
      </c>
      <c r="AC64" s="50">
        <v>1</v>
      </c>
      <c r="AD64" s="51">
        <v>2</v>
      </c>
      <c r="AE64" s="571" t="e" cm="1" vm="33">
        <f t="array" aca="1" ref="AE64" ca="1">Ver_flag_visit</f>
        <v>#VALUE!</v>
      </c>
      <c r="AF64" s="32" t="str">
        <f ca="1">A63</f>
        <v>Arabia Saudita</v>
      </c>
      <c r="AG64" s="306">
        <f t="shared" si="212"/>
        <v>1</v>
      </c>
      <c r="AH64" s="185">
        <v>65</v>
      </c>
      <c r="AI64" s="171" t="str">
        <f t="shared" si="216"/>
        <v>3H</v>
      </c>
      <c r="AJ64" s="42">
        <v>3</v>
      </c>
      <c r="AK64" s="578" t="e" cm="1" vm="33">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6</v>
      </c>
      <c r="AT64" s="43">
        <f t="shared" ca="1" si="215"/>
        <v>-4</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3</v>
      </c>
      <c r="BK64" s="16">
        <f t="shared" ca="1" si="173"/>
        <v>3</v>
      </c>
      <c r="BL64" s="16">
        <f t="shared" ca="1" si="190"/>
        <v>0</v>
      </c>
      <c r="BM64" s="16">
        <f t="shared" ca="1" si="191"/>
        <v>3</v>
      </c>
      <c r="BN64" s="16">
        <f t="shared" ca="1" si="192"/>
        <v>4</v>
      </c>
      <c r="BO64" s="16" t="str">
        <f t="shared" si="174"/>
        <v>4G</v>
      </c>
      <c r="BP64" s="16"/>
      <c r="BQ64" s="16"/>
      <c r="BR64" s="16">
        <f t="shared" ca="1" si="175"/>
        <v>4</v>
      </c>
      <c r="BS64" s="16">
        <f t="shared" ca="1" si="193"/>
        <v>1</v>
      </c>
      <c r="BT64" s="16" t="str">
        <f t="shared" ca="1" si="194"/>
        <v>Pos. 1 (5)</v>
      </c>
      <c r="BU64" s="16">
        <f t="shared" ca="1" si="176"/>
        <v>0</v>
      </c>
      <c r="BV64" s="16">
        <f t="shared" ca="1" si="177"/>
        <v>2</v>
      </c>
      <c r="BW64" s="16" t="str">
        <f t="shared" ca="1" si="178"/>
        <v>Pos. 2 (4)</v>
      </c>
      <c r="BX64" s="16">
        <f t="shared" ca="1" si="179"/>
        <v>3</v>
      </c>
      <c r="BY64" s="16">
        <f t="shared" ca="1" si="180"/>
        <v>2</v>
      </c>
      <c r="BZ64" s="16" t="str">
        <f t="shared" ca="1" si="181"/>
        <v>Pos. 2 (3)</v>
      </c>
      <c r="CA64" s="16">
        <f t="shared" ca="1" si="182"/>
        <v>5</v>
      </c>
      <c r="CB64" s="16">
        <f t="shared" ca="1" si="195"/>
        <v>3</v>
      </c>
      <c r="CC64" s="16"/>
      <c r="CD64" s="16">
        <f t="shared" ca="1" si="183"/>
        <v>4.0030000000000001</v>
      </c>
      <c r="CE64" s="16">
        <f t="shared" ca="1" si="196"/>
        <v>3</v>
      </c>
      <c r="CF64" s="16">
        <f t="shared" ca="1" si="197"/>
        <v>4</v>
      </c>
      <c r="DJ64" s="16">
        <f t="shared" ca="1" si="184"/>
        <v>6</v>
      </c>
      <c r="DK64" s="16"/>
      <c r="DL64" s="16">
        <f t="shared" ca="1" si="185"/>
        <v>2</v>
      </c>
      <c r="DM64" s="16" t="str">
        <f t="shared" ca="1" si="186"/>
        <v>6.2</v>
      </c>
      <c r="DN64" s="16" t="e" cm="1" vm="21">
        <f t="array" aca="1" ref="DN64" ca="1">OFFSET(Horarios!$P$3,DJ64-1,0,DL64,1)</f>
        <v>#VALUE!</v>
      </c>
      <c r="DO64" s="16"/>
      <c r="DP64" s="16">
        <v>7</v>
      </c>
      <c r="DQ64" s="16" t="str">
        <f t="shared" ca="1" si="198"/>
        <v>Suecia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4">
        <f t="array" aca="1" ref="AB65" ca="1">Ver_flag_local</f>
        <v>#VALUE!</v>
      </c>
      <c r="AC65" s="50">
        <v>1</v>
      </c>
      <c r="AD65" s="51">
        <v>2</v>
      </c>
      <c r="AE65" s="572" t="e" cm="1" vm="31">
        <f t="array" aca="1" ref="AE65" ca="1">Ver_flag_visit</f>
        <v>#VALUE!</v>
      </c>
      <c r="AF65" s="33" t="str">
        <f ca="1">A61</f>
        <v>España</v>
      </c>
      <c r="AG65" s="306">
        <f t="shared" si="212"/>
        <v>1</v>
      </c>
      <c r="AH65" s="185">
        <v>66</v>
      </c>
      <c r="AI65" s="171" t="str">
        <f t="shared" si="216"/>
        <v>4H</v>
      </c>
      <c r="AJ65" s="44">
        <v>4</v>
      </c>
      <c r="AK65" s="580" t="e" cm="1" vm="32">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10</v>
      </c>
      <c r="AT65" s="48">
        <f t="shared" ca="1" si="215"/>
        <v>-9</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6</v>
      </c>
      <c r="BL65" s="16">
        <f t="shared" ca="1" si="190"/>
        <v>-4</v>
      </c>
      <c r="BM65" s="16">
        <f t="shared" ca="1" si="191"/>
        <v>11</v>
      </c>
      <c r="BN65" s="16">
        <f t="shared" ca="1" si="192"/>
        <v>11</v>
      </c>
      <c r="BO65" s="16" t="str">
        <f t="shared" si="174"/>
        <v>4H</v>
      </c>
      <c r="BP65" s="16"/>
      <c r="BQ65" s="16"/>
      <c r="BR65" s="16">
        <f t="shared" ca="1" si="175"/>
        <v>3</v>
      </c>
      <c r="BS65" s="16">
        <f t="shared" ca="1" si="193"/>
        <v>6</v>
      </c>
      <c r="BT65" s="16" t="str">
        <f t="shared" ca="1" si="194"/>
        <v>Pos. 6 (6)</v>
      </c>
      <c r="BU65" s="16">
        <f t="shared" ca="1" si="176"/>
        <v>-4</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Estados Unidos</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3</v>
      </c>
      <c r="BL66" s="16">
        <f t="shared" ca="1" si="190"/>
        <v>1</v>
      </c>
      <c r="BM66" s="16">
        <f t="shared" ca="1" si="191"/>
        <v>1</v>
      </c>
      <c r="BN66" s="16">
        <f t="shared" ca="1" si="192"/>
        <v>1</v>
      </c>
      <c r="BO66" s="16" t="str">
        <f t="shared" si="174"/>
        <v>4I</v>
      </c>
      <c r="BP66" s="16"/>
      <c r="BQ66" s="16"/>
      <c r="BR66" s="16">
        <f t="shared" ca="1" si="175"/>
        <v>4</v>
      </c>
      <c r="BS66" s="16">
        <f t="shared" ca="1" si="193"/>
        <v>1</v>
      </c>
      <c r="BT66" s="16" t="str">
        <f t="shared" ca="1" si="194"/>
        <v>Pos. 1 (5)</v>
      </c>
      <c r="BU66" s="16">
        <f t="shared" ca="1" si="176"/>
        <v>1</v>
      </c>
      <c r="BV66" s="16">
        <f t="shared" ca="1" si="177"/>
        <v>1</v>
      </c>
      <c r="BW66" s="16" t="str">
        <f t="shared" ca="1" si="178"/>
        <v>-</v>
      </c>
      <c r="BX66" s="16" t="str">
        <f t="shared" ca="1" si="179"/>
        <v>-</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Panamá</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Austria</v>
      </c>
      <c r="BE67" s="16">
        <f t="shared" ca="1" si="188"/>
        <v>4</v>
      </c>
      <c r="BF67" s="16">
        <f t="shared" ca="1" si="189"/>
        <v>3</v>
      </c>
      <c r="BG67" s="16">
        <f t="shared" ca="1" si="169"/>
        <v>1</v>
      </c>
      <c r="BH67" s="16">
        <f t="shared" ca="1" si="170"/>
        <v>1</v>
      </c>
      <c r="BI67" s="16">
        <f t="shared" ca="1" si="171"/>
        <v>1</v>
      </c>
      <c r="BJ67" s="16">
        <f t="shared" ca="1" si="172"/>
        <v>3</v>
      </c>
      <c r="BK67" s="16">
        <f t="shared" ca="1" si="173"/>
        <v>3</v>
      </c>
      <c r="BL67" s="16">
        <f t="shared" ca="1" si="190"/>
        <v>0</v>
      </c>
      <c r="BM67" s="16">
        <f t="shared" ca="1" si="191"/>
        <v>2</v>
      </c>
      <c r="BN67" s="16">
        <f t="shared" ca="1" si="192"/>
        <v>2</v>
      </c>
      <c r="BO67" s="16" t="str">
        <f t="shared" si="174"/>
        <v>4J</v>
      </c>
      <c r="BP67" s="16"/>
      <c r="BQ67" s="16"/>
      <c r="BR67" s="16">
        <f t="shared" ca="1" si="175"/>
        <v>4</v>
      </c>
      <c r="BS67" s="16">
        <f t="shared" ca="1" si="193"/>
        <v>1</v>
      </c>
      <c r="BT67" s="16" t="str">
        <f t="shared" ca="1" si="194"/>
        <v>Pos. 1 (5)</v>
      </c>
      <c r="BU67" s="16">
        <f t="shared" ca="1" si="176"/>
        <v>0</v>
      </c>
      <c r="BV67" s="16">
        <f t="shared" ca="1" si="177"/>
        <v>2</v>
      </c>
      <c r="BW67" s="16" t="str">
        <f t="shared" ca="1" si="178"/>
        <v>Pos. 2 (4)</v>
      </c>
      <c r="BX67" s="16">
        <f t="shared" ca="1" si="179"/>
        <v>3</v>
      </c>
      <c r="BY67" s="16">
        <f t="shared" ca="1" si="180"/>
        <v>2</v>
      </c>
      <c r="BZ67" s="16" t="str">
        <f t="shared" ca="1" si="181"/>
        <v>Pos. 2 (3)</v>
      </c>
      <c r="CA67" s="16">
        <f t="shared" ca="1" si="182"/>
        <v>10</v>
      </c>
      <c r="CB67" s="16">
        <f t="shared" ca="1" si="195"/>
        <v>2</v>
      </c>
      <c r="CC67" s="16"/>
      <c r="CD67" s="16">
        <f t="shared" ca="1" si="183"/>
        <v>2.0019999999999998</v>
      </c>
      <c r="CE67" s="16">
        <f t="shared" ca="1" si="196"/>
        <v>1</v>
      </c>
      <c r="CF67" s="16">
        <f t="shared" ca="1" si="197"/>
        <v>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Escocia</v>
      </c>
    </row>
    <row r="68" spans="1:121" ht="16.05" customHeight="1" thickBot="1">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23" t="s">
        <v>448</v>
      </c>
      <c r="X68" s="24">
        <f ca="1">Horarios!C68</f>
        <v>46189.875</v>
      </c>
      <c r="Y68" s="25">
        <f ca="1">Horarios!C68</f>
        <v>46189.875</v>
      </c>
      <c r="Z68" s="26" t="str">
        <f>$Z$4</f>
        <v>J1</v>
      </c>
      <c r="AA68" s="27" t="str">
        <f ca="1">A69</f>
        <v>Francia</v>
      </c>
      <c r="AB68" s="49" t="e" cm="1" vm="35">
        <f t="array" aca="1" ref="AB68" ca="1">Ver_flag_local</f>
        <v>#VALUE!</v>
      </c>
      <c r="AC68" s="50">
        <v>1</v>
      </c>
      <c r="AD68" s="51">
        <v>1</v>
      </c>
      <c r="AE68" s="571" t="e" cm="1" vm="36">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1</v>
      </c>
      <c r="BK68" s="16">
        <f t="shared" ca="1" si="173"/>
        <v>5</v>
      </c>
      <c r="BL68" s="16">
        <f t="shared" ca="1" si="190"/>
        <v>-4</v>
      </c>
      <c r="BM68" s="16">
        <f t="shared" ca="1" si="191"/>
        <v>12</v>
      </c>
      <c r="BN68" s="16">
        <f t="shared" ca="1" si="192"/>
        <v>12</v>
      </c>
      <c r="BO68" s="16" t="str">
        <f t="shared" si="174"/>
        <v>4K</v>
      </c>
      <c r="BP68" s="16"/>
      <c r="BQ68" s="16"/>
      <c r="BR68" s="16">
        <f t="shared" ca="1" si="175"/>
        <v>1</v>
      </c>
      <c r="BS68" s="16">
        <f t="shared" ca="1" si="193"/>
        <v>12</v>
      </c>
      <c r="BT68" s="16" t="str">
        <f t="shared" ca="1" si="194"/>
        <v>-</v>
      </c>
      <c r="BU68" s="16" t="str">
        <f t="shared" ca="1" si="176"/>
        <v>-</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23"/>
      <c r="X69" s="24">
        <f ca="1">Horarios!C69</f>
        <v>46190</v>
      </c>
      <c r="Y69" s="25">
        <f ca="1">Horarios!C69</f>
        <v>46190</v>
      </c>
      <c r="Z69" s="26" t="str">
        <f>$Z$4</f>
        <v>J1</v>
      </c>
      <c r="AA69" s="27" t="str">
        <f ca="1">A71</f>
        <v>Irak</v>
      </c>
      <c r="AB69" s="49" t="e" cm="1" vm="37">
        <f t="array" aca="1" ref="AB69" ca="1">Ver_flag_local</f>
        <v>#VALUE!</v>
      </c>
      <c r="AC69" s="50">
        <v>0</v>
      </c>
      <c r="AD69" s="51">
        <v>2</v>
      </c>
      <c r="AE69" s="571" t="e" cm="1" vm="38">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Panamá</v>
      </c>
      <c r="BE69" s="16">
        <f t="shared" ca="1" si="188"/>
        <v>3</v>
      </c>
      <c r="BF69" s="16">
        <f t="shared" ca="1" si="189"/>
        <v>3</v>
      </c>
      <c r="BG69" s="16">
        <f t="shared" ca="1" si="169"/>
        <v>1</v>
      </c>
      <c r="BH69" s="16">
        <f t="shared" ca="1" si="170"/>
        <v>0</v>
      </c>
      <c r="BI69" s="16">
        <f t="shared" ca="1" si="171"/>
        <v>2</v>
      </c>
      <c r="BJ69" s="16">
        <f t="shared" ca="1" si="172"/>
        <v>2</v>
      </c>
      <c r="BK69" s="16">
        <f t="shared" ca="1" si="173"/>
        <v>5</v>
      </c>
      <c r="BL69" s="16">
        <f t="shared" ca="1" si="190"/>
        <v>-3</v>
      </c>
      <c r="BM69" s="16">
        <f t="shared" ca="1" si="191"/>
        <v>9</v>
      </c>
      <c r="BN69" s="16">
        <f t="shared" ca="1" si="192"/>
        <v>9</v>
      </c>
      <c r="BO69" s="16" t="str">
        <f t="shared" si="174"/>
        <v>4L</v>
      </c>
      <c r="BP69" s="16"/>
      <c r="BQ69" s="16"/>
      <c r="BR69" s="16">
        <f t="shared" ca="1" si="175"/>
        <v>3</v>
      </c>
      <c r="BS69" s="16">
        <f t="shared" ca="1" si="193"/>
        <v>6</v>
      </c>
      <c r="BT69" s="16" t="str">
        <f t="shared" ca="1" si="194"/>
        <v>Pos. 6 (6)</v>
      </c>
      <c r="BU69" s="16">
        <f t="shared" ca="1" si="176"/>
        <v>-3</v>
      </c>
      <c r="BV69" s="16">
        <f t="shared" ca="1" si="177"/>
        <v>9</v>
      </c>
      <c r="BW69" s="16" t="str">
        <f t="shared" ca="1" si="178"/>
        <v>Pos. 9 (2)</v>
      </c>
      <c r="BX69" s="16">
        <f t="shared" ca="1" si="179"/>
        <v>2</v>
      </c>
      <c r="BY69" s="16">
        <f t="shared" ca="1" si="180"/>
        <v>9</v>
      </c>
      <c r="BZ69" s="16" t="str">
        <f t="shared" ca="1" si="181"/>
        <v>-</v>
      </c>
      <c r="CA69" s="16" t="str">
        <f t="shared" ca="1" si="182"/>
        <v>-</v>
      </c>
      <c r="CB69" s="16">
        <f ca="1">BY69+COUNTIFS(BZ$58:BZ$69,BZ69,CA$58:CA$69,"&gt;"&amp;CA69)</f>
        <v>9</v>
      </c>
      <c r="CC69" s="16"/>
      <c r="CD69" s="16">
        <f t="shared" ca="1" si="183"/>
        <v>9</v>
      </c>
      <c r="CE69" s="16" t="str">
        <f t="shared" ca="1" si="196"/>
        <v>-</v>
      </c>
      <c r="CF69" s="16">
        <f t="shared" ca="1" si="197"/>
        <v>9</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5">
        <f t="array" aca="1" ref="AB70" ca="1">Ver_flag_local</f>
        <v>#VALUE!</v>
      </c>
      <c r="AC70" s="50">
        <v>3</v>
      </c>
      <c r="AD70" s="51">
        <v>0</v>
      </c>
      <c r="AE70" s="571" t="e" cm="1" vm="37">
        <f t="array" aca="1" ref="AE70" ca="1">Ver_flag_visit</f>
        <v>#VALUE!</v>
      </c>
      <c r="AF70" s="32" t="str">
        <f ca="1">A71</f>
        <v>Irak</v>
      </c>
      <c r="AG70" s="306">
        <f t="shared" si="230"/>
        <v>1</v>
      </c>
      <c r="AH70" s="185">
        <v>42</v>
      </c>
      <c r="AI70" s="171" t="str">
        <f>AJ70&amp;$B$68</f>
        <v>1I</v>
      </c>
      <c r="AJ70" s="40">
        <v>1</v>
      </c>
      <c r="AK70" s="577" t="e" cm="1" vm="35">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6</v>
      </c>
      <c r="AS70" s="36">
        <f t="shared" ca="1" si="233"/>
        <v>2</v>
      </c>
      <c r="AT70" s="41">
        <f t="shared" ca="1" si="233"/>
        <v>4</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23"/>
      <c r="X71" s="24">
        <f ca="1">Horarios!C71</f>
        <v>46196.083333333336</v>
      </c>
      <c r="Y71" s="25">
        <f ca="1">Horarios!C71</f>
        <v>46196.083333333336</v>
      </c>
      <c r="Z71" s="26" t="str">
        <f>$Z$6</f>
        <v>J2</v>
      </c>
      <c r="AA71" s="27" t="str">
        <f ca="1">A72</f>
        <v>Noruega</v>
      </c>
      <c r="AB71" s="49" t="e" cm="1" vm="38">
        <f t="array" aca="1" ref="AB71" ca="1">Ver_flag_local</f>
        <v>#VALUE!</v>
      </c>
      <c r="AC71" s="50">
        <v>2</v>
      </c>
      <c r="AD71" s="51">
        <v>1</v>
      </c>
      <c r="AE71" s="571" t="e" cm="1" vm="36">
        <f t="array" aca="1" ref="AE71" ca="1">Ver_flag_visit</f>
        <v>#VALUE!</v>
      </c>
      <c r="AF71" s="32" t="str">
        <f ca="1">A70</f>
        <v>Senegal</v>
      </c>
      <c r="AG71" s="306">
        <f t="shared" si="230"/>
        <v>1</v>
      </c>
      <c r="AH71" s="185">
        <v>41</v>
      </c>
      <c r="AI71" s="171" t="str">
        <f t="shared" ref="AI71:AI73" si="234">AJ71&amp;$B$68</f>
        <v>2I</v>
      </c>
      <c r="AJ71" s="42">
        <v>2</v>
      </c>
      <c r="AK71" s="578" t="e" cm="1" vm="38">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5</v>
      </c>
      <c r="AS71" s="39">
        <f t="shared" ca="1" si="233"/>
        <v>3</v>
      </c>
      <c r="AT71" s="43">
        <f t="shared" ca="1" si="233"/>
        <v>2</v>
      </c>
      <c r="AU71" s="313">
        <f ca="1">INDEX($DL$6:$DL$53,MATCH(AI71,$DP$6:$DP$53,0))</f>
        <v>1</v>
      </c>
      <c r="AV71" s="172" t="str">
        <f ca="1">INDEX($BD$6:$BD$53,MATCH(AI71,$BM$6:$BM$53,0))</f>
        <v>Noruega</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23"/>
      <c r="X72" s="24">
        <f ca="1">Horarios!C72</f>
        <v>46199.875</v>
      </c>
      <c r="Y72" s="25">
        <f ca="1">Horarios!C72</f>
        <v>46199.875</v>
      </c>
      <c r="Z72" s="26" t="str">
        <f>$Z$8</f>
        <v>J3</v>
      </c>
      <c r="AA72" s="27" t="str">
        <f ca="1">A72</f>
        <v>Noruega</v>
      </c>
      <c r="AB72" s="49" t="e" cm="1" vm="38">
        <f t="array" aca="1" ref="AB72" ca="1">Ver_flag_local</f>
        <v>#VALUE!</v>
      </c>
      <c r="AC72" s="50">
        <v>1</v>
      </c>
      <c r="AD72" s="51">
        <v>2</v>
      </c>
      <c r="AE72" s="571" t="e" cm="1" vm="35">
        <f t="array" aca="1" ref="AE72" ca="1">Ver_flag_visit</f>
        <v>#VALUE!</v>
      </c>
      <c r="AF72" s="32" t="str">
        <f ca="1">A69</f>
        <v>Francia</v>
      </c>
      <c r="AG72" s="306">
        <f t="shared" si="230"/>
        <v>1</v>
      </c>
      <c r="AH72" s="185">
        <v>61</v>
      </c>
      <c r="AI72" s="171" t="str">
        <f t="shared" si="234"/>
        <v>3I</v>
      </c>
      <c r="AJ72" s="42">
        <v>3</v>
      </c>
      <c r="AK72" s="578" t="e" cm="1" vm="36">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3</v>
      </c>
      <c r="AT72" s="43">
        <f t="shared" ca="1" si="233"/>
        <v>1</v>
      </c>
      <c r="AU72" s="313">
        <f ca="1">INDEX($DL$6:$DL$53,MATCH(AI72,$DP$6:$DP$53,0))</f>
        <v>1</v>
      </c>
      <c r="AV72" s="172" t="str">
        <f ca="1">INDEX($BD$6:$BD$53,MATCH(AI72,$BM$6:$BM$53,0))</f>
        <v>Senegal</v>
      </c>
      <c r="AW72" s="200"/>
      <c r="AX72" s="161"/>
      <c r="AY72" s="191" t="str">
        <f ca="1">+A71</f>
        <v>Irak</v>
      </c>
      <c r="AZ72" s="192"/>
      <c r="BA72" s="16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24"/>
      <c r="X73" s="28">
        <f ca="1">Horarios!C73</f>
        <v>46199.875</v>
      </c>
      <c r="Y73" s="29">
        <f ca="1">Horarios!C73</f>
        <v>46199.875</v>
      </c>
      <c r="Z73" s="30" t="str">
        <f>$Z$8</f>
        <v>J3</v>
      </c>
      <c r="AA73" s="31" t="str">
        <f ca="1">A70</f>
        <v>Senegal</v>
      </c>
      <c r="AB73" s="52" t="e" cm="1" vm="36">
        <f t="array" aca="1" ref="AB73" ca="1">Ver_flag_local</f>
        <v>#VALUE!</v>
      </c>
      <c r="AC73" s="50">
        <v>2</v>
      </c>
      <c r="AD73" s="51">
        <v>0</v>
      </c>
      <c r="AE73" s="572" t="e" cm="1" vm="37">
        <f t="array" aca="1" ref="AE73" ca="1">Ver_flag_visit</f>
        <v>#VALUE!</v>
      </c>
      <c r="AF73" s="33" t="str">
        <f ca="1">A71</f>
        <v>Irak</v>
      </c>
      <c r="AG73" s="306">
        <f t="shared" si="230"/>
        <v>1</v>
      </c>
      <c r="AH73" s="185">
        <v>62</v>
      </c>
      <c r="AI73" s="171" t="str">
        <f t="shared" si="234"/>
        <v>4I</v>
      </c>
      <c r="AJ73" s="44">
        <v>4</v>
      </c>
      <c r="AK73" s="580" t="e" cm="1" vm="37">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19" t="s">
        <v>5</v>
      </c>
      <c r="X76" s="24">
        <f ca="1">Horarios!C76</f>
        <v>46190.125</v>
      </c>
      <c r="Y76" s="25">
        <f ca="1">Horarios!C76</f>
        <v>46190.125</v>
      </c>
      <c r="Z76" s="26" t="str">
        <f>$Z$4</f>
        <v>J1</v>
      </c>
      <c r="AA76" s="27" t="str">
        <f ca="1">A77</f>
        <v>Argentina</v>
      </c>
      <c r="AB76" s="49" t="e" cm="1" vm="39">
        <f t="array" aca="1" ref="AB76" ca="1">Ver_flag_local</f>
        <v>#VALUE!</v>
      </c>
      <c r="AC76" s="50">
        <v>2</v>
      </c>
      <c r="AD76" s="51">
        <v>0</v>
      </c>
      <c r="AE76" s="571" t="e" cm="1" vm="40">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¡EMPATE! Puedes seleccionar el orden de los empatados.</v>
      </c>
      <c r="AW76" s="157"/>
      <c r="AX76" s="157"/>
      <c r="AY76" s="144"/>
      <c r="AZ76" s="145"/>
      <c r="BA76" s="166"/>
      <c r="DN76" s="16"/>
    </row>
    <row r="77" spans="1:121" ht="16.05" customHeight="1">
      <c r="A77" s="16" t="str">
        <f ca="1">+Equipos!B38</f>
        <v>Argentina</v>
      </c>
      <c r="B77" s="16"/>
      <c r="C77" s="16"/>
      <c r="D77" s="16" t="str">
        <f t="shared" si="235"/>
        <v>Empate</v>
      </c>
      <c r="E77" s="16" t="str">
        <f t="shared" ca="1" si="236"/>
        <v>P.2 (2)</v>
      </c>
      <c r="F77" s="16" t="str">
        <f t="shared" ca="1" si="237"/>
        <v>P.2 (2)</v>
      </c>
      <c r="G77" s="16"/>
      <c r="H77" s="16" t="str">
        <f t="shared" ca="1" si="238"/>
        <v>P.2 (2)</v>
      </c>
      <c r="I77" s="16" t="str">
        <f t="shared" ca="1" si="239"/>
        <v>P.2 (2)</v>
      </c>
      <c r="J77" s="16"/>
      <c r="K77" s="16" t="str">
        <f t="shared" ca="1" si="240"/>
        <v>P.2 (2)</v>
      </c>
      <c r="L77" s="16" t="str">
        <f t="shared" ca="1" si="241"/>
        <v>P.2 (2)</v>
      </c>
      <c r="M77" s="16"/>
      <c r="N77" s="16" t="str">
        <f t="shared" ca="1" si="242"/>
        <v>P.2 (2)</v>
      </c>
      <c r="O77" s="16" t="str">
        <f t="shared" ca="1" si="243"/>
        <v>P.2 (2)</v>
      </c>
      <c r="P77" s="16"/>
      <c r="Q77" s="16" t="str">
        <f t="shared" ca="1" si="244"/>
        <v>P.2 (2)</v>
      </c>
      <c r="R77" s="16" t="str">
        <f t="shared" ca="1" si="245"/>
        <v>P.2 (2)</v>
      </c>
      <c r="S77" s="16"/>
      <c r="T77" s="16" t="str">
        <f t="shared" ca="1" si="246"/>
        <v>P.2 (2)</v>
      </c>
      <c r="U77" s="16" t="str">
        <f t="shared" ca="1" si="247"/>
        <v>P.2 (2)</v>
      </c>
      <c r="V77" s="17"/>
      <c r="W77" s="619"/>
      <c r="X77" s="24">
        <f ca="1">Horarios!C77</f>
        <v>46190.25</v>
      </c>
      <c r="Y77" s="25">
        <f ca="1">Horarios!C77</f>
        <v>46190.25</v>
      </c>
      <c r="Z77" s="26" t="str">
        <f>$Z$4</f>
        <v>J1</v>
      </c>
      <c r="AA77" s="27" t="str">
        <f ca="1">A79</f>
        <v>Austria</v>
      </c>
      <c r="AB77" s="49" t="e" cm="1" vm="41">
        <f t="array" aca="1" ref="AB77" ca="1">Ver_flag_local</f>
        <v>#VALUE!</v>
      </c>
      <c r="AC77" s="50">
        <v>1</v>
      </c>
      <c r="AD77" s="51">
        <v>1</v>
      </c>
      <c r="AE77" s="571" t="e" cm="1" vm="42">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2</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19"/>
      <c r="X78" s="24">
        <f ca="1">Horarios!C78</f>
        <v>46195.791666666664</v>
      </c>
      <c r="Y78" s="25">
        <f ca="1">Horarios!C78</f>
        <v>46195.791666666664</v>
      </c>
      <c r="Z78" s="26" t="str">
        <f>$Z$6</f>
        <v>J2</v>
      </c>
      <c r="AA78" s="27" t="str">
        <f ca="1">A77</f>
        <v>Argentina</v>
      </c>
      <c r="AB78" s="49" t="e" cm="1" vm="39">
        <f t="array" aca="1" ref="AB78" ca="1">Ver_flag_local</f>
        <v>#VALUE!</v>
      </c>
      <c r="AC78" s="50">
        <v>1</v>
      </c>
      <c r="AD78" s="51">
        <v>0</v>
      </c>
      <c r="AE78" s="571" t="e" cm="1" vm="41">
        <f t="array" aca="1" ref="AE78" ca="1">Ver_flag_visit</f>
        <v>#VALUE!</v>
      </c>
      <c r="AF78" s="32" t="str">
        <f ca="1">A79</f>
        <v>Austria</v>
      </c>
      <c r="AG78" s="306">
        <f t="shared" si="248"/>
        <v>1</v>
      </c>
      <c r="AH78" s="185">
        <v>43</v>
      </c>
      <c r="AI78" s="171" t="str">
        <f>AJ78&amp;$B$76</f>
        <v>1J</v>
      </c>
      <c r="AJ78" s="40">
        <v>1</v>
      </c>
      <c r="AK78" s="577" t="e" cm="1" vm="39">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4</v>
      </c>
      <c r="AS78" s="36">
        <f t="shared" ca="1" si="251"/>
        <v>0</v>
      </c>
      <c r="AT78" s="41">
        <f t="shared" ca="1" si="251"/>
        <v>4</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Local</v>
      </c>
      <c r="E79" s="16" t="str">
        <f t="shared" ca="1" si="236"/>
        <v>P.2 (2)</v>
      </c>
      <c r="F79" s="16" t="str">
        <f t="shared" ca="1" si="237"/>
        <v>-</v>
      </c>
      <c r="G79" s="16"/>
      <c r="H79" s="16" t="str">
        <f t="shared" ca="1" si="238"/>
        <v>P.2 (2)</v>
      </c>
      <c r="I79" s="16" t="str">
        <f t="shared" ca="1" si="239"/>
        <v>-</v>
      </c>
      <c r="J79" s="16"/>
      <c r="K79" s="16" t="str">
        <f t="shared" ca="1" si="240"/>
        <v>P.2 (2)</v>
      </c>
      <c r="L79" s="16" t="str">
        <f t="shared" ca="1" si="241"/>
        <v>-</v>
      </c>
      <c r="M79" s="16"/>
      <c r="N79" s="16" t="str">
        <f t="shared" ca="1" si="242"/>
        <v>P.2 (2)</v>
      </c>
      <c r="O79" s="16" t="str">
        <f t="shared" ca="1" si="243"/>
        <v>-</v>
      </c>
      <c r="P79" s="16"/>
      <c r="Q79" s="16" t="str">
        <f t="shared" ca="1" si="244"/>
        <v>P.2 (2)</v>
      </c>
      <c r="R79" s="16" t="str">
        <f t="shared" ca="1" si="245"/>
        <v>-</v>
      </c>
      <c r="S79" s="16"/>
      <c r="T79" s="16" t="str">
        <f t="shared" ca="1" si="246"/>
        <v>P.2 (2)</v>
      </c>
      <c r="U79" s="16" t="str">
        <f t="shared" ca="1" si="247"/>
        <v>-</v>
      </c>
      <c r="V79" s="17"/>
      <c r="W79" s="619"/>
      <c r="X79" s="24">
        <f ca="1">Horarios!C79</f>
        <v>46196.208333333336</v>
      </c>
      <c r="Y79" s="25">
        <f ca="1">Horarios!C79</f>
        <v>46196.208333333336</v>
      </c>
      <c r="Z79" s="26" t="str">
        <f>$Z$6</f>
        <v>J2</v>
      </c>
      <c r="AA79" s="27" t="str">
        <f ca="1">A80</f>
        <v>Jordania</v>
      </c>
      <c r="AB79" s="49" t="e" cm="1" vm="42">
        <f t="array" aca="1" ref="AB79" ca="1">Ver_flag_local</f>
        <v>#VALUE!</v>
      </c>
      <c r="AC79" s="50">
        <v>2</v>
      </c>
      <c r="AD79" s="51">
        <v>1</v>
      </c>
      <c r="AE79" s="571" t="e" cm="1" vm="40">
        <f t="array" aca="1" ref="AE79" ca="1">Ver_flag_visit</f>
        <v>#VALUE!</v>
      </c>
      <c r="AF79" s="32" t="str">
        <f ca="1">A78</f>
        <v>Argelia</v>
      </c>
      <c r="AG79" s="306">
        <f t="shared" si="248"/>
        <v>1</v>
      </c>
      <c r="AH79" s="185">
        <v>44</v>
      </c>
      <c r="AI79" s="171" t="str">
        <f t="shared" ref="AI79:AI81" si="252">AJ79&amp;$B$76</f>
        <v>2J</v>
      </c>
      <c r="AJ79" s="42">
        <v>2</v>
      </c>
      <c r="AK79" s="578" t="e" cm="1" vm="42">
        <f t="array" aca="1" ref="AK79" ca="1">Ver_flag_visit</f>
        <v>#VALUE!</v>
      </c>
      <c r="AL79" s="37" t="str">
        <f ca="1">IFERROR(INDEX($BD$6:$BD$53,MATCH(AI79,$BN$6:$BN$53,0)),"")</f>
        <v>Jordania</v>
      </c>
      <c r="AM79" s="38">
        <f t="shared" ca="1" si="251"/>
        <v>4</v>
      </c>
      <c r="AN79" s="39">
        <f t="shared" ca="1" si="251"/>
        <v>3</v>
      </c>
      <c r="AO79" s="39">
        <f t="shared" ca="1" si="251"/>
        <v>1</v>
      </c>
      <c r="AP79" s="39">
        <f t="shared" ca="1" si="251"/>
        <v>1</v>
      </c>
      <c r="AQ79" s="39">
        <f t="shared" ca="1" si="251"/>
        <v>1</v>
      </c>
      <c r="AR79" s="39">
        <f t="shared" ca="1" si="251"/>
        <v>3</v>
      </c>
      <c r="AS79" s="39">
        <f t="shared" ca="1" si="251"/>
        <v>3</v>
      </c>
      <c r="AT79" s="43">
        <f t="shared" ca="1" si="251"/>
        <v>0</v>
      </c>
      <c r="AU79" s="313">
        <f ca="1">INDEX($DL$6:$DL$53,MATCH(AI79,$DP$6:$DP$53,0))</f>
        <v>2</v>
      </c>
      <c r="AV79" s="172" t="str">
        <f ca="1">INDEX($BD$6:$BD$53,MATCH(AI79,$BM$6:$BM$53,0))</f>
        <v>Austria</v>
      </c>
      <c r="AW79" s="200">
        <v>3</v>
      </c>
      <c r="AX79" s="161"/>
      <c r="AY79" s="193" t="str">
        <f ca="1">+A78</f>
        <v>Argelia</v>
      </c>
      <c r="AZ79" s="194"/>
      <c r="BA79" s="166"/>
      <c r="DN79" s="16"/>
    </row>
    <row r="80" spans="1:121" ht="16.05" customHeight="1">
      <c r="A80" s="16" t="str">
        <f ca="1">+Equipos!B41</f>
        <v>Jordania</v>
      </c>
      <c r="B80" s="16"/>
      <c r="C80" s="16"/>
      <c r="D80" s="16" t="str">
        <f t="shared" si="235"/>
        <v>Visitante</v>
      </c>
      <c r="E80" s="16" t="str">
        <f t="shared" ca="1" si="236"/>
        <v>-</v>
      </c>
      <c r="F80" s="16" t="str">
        <f t="shared" ca="1" si="237"/>
        <v>P.2 (2)</v>
      </c>
      <c r="G80" s="16"/>
      <c r="H80" s="16" t="str">
        <f t="shared" ca="1" si="238"/>
        <v>-</v>
      </c>
      <c r="I80" s="16" t="str">
        <f t="shared" ca="1" si="239"/>
        <v>P.2 (2)</v>
      </c>
      <c r="J80" s="16"/>
      <c r="K80" s="16" t="str">
        <f t="shared" ca="1" si="240"/>
        <v>-</v>
      </c>
      <c r="L80" s="16" t="str">
        <f t="shared" ca="1" si="241"/>
        <v>P.2 (2)</v>
      </c>
      <c r="M80" s="16"/>
      <c r="N80" s="16" t="str">
        <f t="shared" ca="1" si="242"/>
        <v>-</v>
      </c>
      <c r="O80" s="16" t="str">
        <f t="shared" ca="1" si="243"/>
        <v>P.2 (2)</v>
      </c>
      <c r="P80" s="16"/>
      <c r="Q80" s="16" t="str">
        <f t="shared" ca="1" si="244"/>
        <v>-</v>
      </c>
      <c r="R80" s="16" t="str">
        <f t="shared" ca="1" si="245"/>
        <v>P.2 (2)</v>
      </c>
      <c r="S80" s="16"/>
      <c r="T80" s="16" t="str">
        <f t="shared" ca="1" si="246"/>
        <v>-</v>
      </c>
      <c r="U80" s="16" t="str">
        <f t="shared" ca="1" si="247"/>
        <v>P.2 (2)</v>
      </c>
      <c r="V80" s="17"/>
      <c r="W80" s="619"/>
      <c r="X80" s="24">
        <f ca="1">Horarios!C80</f>
        <v>46201.166666666664</v>
      </c>
      <c r="Y80" s="25">
        <f ca="1">Horarios!C80</f>
        <v>46201.166666666664</v>
      </c>
      <c r="Z80" s="26" t="str">
        <f>$Z$8</f>
        <v>J3</v>
      </c>
      <c r="AA80" s="27" t="str">
        <f ca="1">A78</f>
        <v>Argelia</v>
      </c>
      <c r="AB80" s="49" t="e" cm="1" vm="40">
        <f t="array" aca="1" ref="AB80" ca="1">Ver_flag_local</f>
        <v>#VALUE!</v>
      </c>
      <c r="AC80" s="50">
        <v>1</v>
      </c>
      <c r="AD80" s="51">
        <v>2</v>
      </c>
      <c r="AE80" s="571" t="e" cm="1" vm="41">
        <f t="array" aca="1" ref="AE80" ca="1">Ver_flag_visit</f>
        <v>#VALUE!</v>
      </c>
      <c r="AF80" s="32" t="str">
        <f ca="1">A79</f>
        <v>Austria</v>
      </c>
      <c r="AG80" s="306">
        <f t="shared" si="248"/>
        <v>1</v>
      </c>
      <c r="AH80" s="185">
        <v>69</v>
      </c>
      <c r="AI80" s="171" t="str">
        <f t="shared" si="252"/>
        <v>3J</v>
      </c>
      <c r="AJ80" s="42">
        <v>3</v>
      </c>
      <c r="AK80" s="578" t="e" cm="1" vm="41">
        <f t="array" aca="1" ref="AK80" ca="1">Ver_flag_visit</f>
        <v>#VALUE!</v>
      </c>
      <c r="AL80" s="37" t="str">
        <f ca="1">IFERROR(INDEX($BD$6:$BD$53,MATCH(AI80,$BN$6:$BN$53,0)),"")</f>
        <v>Austria</v>
      </c>
      <c r="AM80" s="38">
        <f t="shared" ca="1" si="251"/>
        <v>4</v>
      </c>
      <c r="AN80" s="39">
        <f t="shared" ca="1" si="251"/>
        <v>3</v>
      </c>
      <c r="AO80" s="39">
        <f t="shared" ca="1" si="251"/>
        <v>1</v>
      </c>
      <c r="AP80" s="39">
        <f t="shared" ca="1" si="251"/>
        <v>1</v>
      </c>
      <c r="AQ80" s="39">
        <f t="shared" ca="1" si="251"/>
        <v>1</v>
      </c>
      <c r="AR80" s="39">
        <f t="shared" ca="1" si="251"/>
        <v>3</v>
      </c>
      <c r="AS80" s="39">
        <f t="shared" ca="1" si="251"/>
        <v>3</v>
      </c>
      <c r="AT80" s="43">
        <f t="shared" ca="1" si="251"/>
        <v>0</v>
      </c>
      <c r="AU80" s="313">
        <f ca="1">INDEX($DL$6:$DL$53,MATCH(AI80,$DP$6:$DP$53,0))</f>
        <v>2</v>
      </c>
      <c r="AV80" s="172" t="str">
        <f ca="1">INDEX($BD$6:$BD$53,MATCH(AI80,$BM$6:$BM$53,0))</f>
        <v>Jordania</v>
      </c>
      <c r="AW80" s="200">
        <v>2</v>
      </c>
      <c r="AX80" s="161"/>
      <c r="AY80" s="191" t="str">
        <f ca="1">+A79</f>
        <v>Austria</v>
      </c>
      <c r="AZ80" s="192"/>
      <c r="BA80" s="166"/>
      <c r="DN80" s="16"/>
    </row>
    <row r="81" spans="1:118" ht="16.05" customHeight="1" thickBot="1">
      <c r="A81" s="16"/>
      <c r="B81" s="16"/>
      <c r="C81" s="16"/>
      <c r="D81" s="16" t="str">
        <f t="shared" si="235"/>
        <v>Visitante</v>
      </c>
      <c r="E81" s="16" t="str">
        <f t="shared" ca="1" si="236"/>
        <v>P.2 (2)</v>
      </c>
      <c r="F81" s="16" t="str">
        <f t="shared" ca="1" si="237"/>
        <v>-</v>
      </c>
      <c r="G81" s="16"/>
      <c r="H81" s="16" t="str">
        <f t="shared" ca="1" si="238"/>
        <v>P.2 (2)</v>
      </c>
      <c r="I81" s="16" t="str">
        <f t="shared" ca="1" si="239"/>
        <v>-</v>
      </c>
      <c r="J81" s="16"/>
      <c r="K81" s="16" t="str">
        <f t="shared" ca="1" si="240"/>
        <v>P.2 (2)</v>
      </c>
      <c r="L81" s="16" t="str">
        <f t="shared" ca="1" si="241"/>
        <v>-</v>
      </c>
      <c r="M81" s="16"/>
      <c r="N81" s="16" t="str">
        <f t="shared" ca="1" si="242"/>
        <v>P.2 (2)</v>
      </c>
      <c r="O81" s="16" t="str">
        <f t="shared" ca="1" si="243"/>
        <v>-</v>
      </c>
      <c r="P81" s="16"/>
      <c r="Q81" s="16" t="str">
        <f t="shared" ca="1" si="244"/>
        <v>P.2 (2)</v>
      </c>
      <c r="R81" s="16" t="str">
        <f t="shared" ca="1" si="245"/>
        <v>-</v>
      </c>
      <c r="S81" s="16"/>
      <c r="T81" s="16" t="str">
        <f t="shared" ca="1" si="246"/>
        <v>P.2 (2)</v>
      </c>
      <c r="U81" s="16" t="str">
        <f t="shared" ca="1" si="247"/>
        <v>-</v>
      </c>
      <c r="V81" s="17"/>
      <c r="W81" s="620"/>
      <c r="X81" s="28">
        <f ca="1">Horarios!C81</f>
        <v>46201.166666666664</v>
      </c>
      <c r="Y81" s="29">
        <f ca="1">Horarios!C81</f>
        <v>46201.166666666664</v>
      </c>
      <c r="Z81" s="30" t="str">
        <f>$Z$8</f>
        <v>J3</v>
      </c>
      <c r="AA81" s="31" t="str">
        <f ca="1">A80</f>
        <v>Jordania</v>
      </c>
      <c r="AB81" s="52" t="e" cm="1" vm="42">
        <f t="array" aca="1" ref="AB81" ca="1">Ver_flag_local</f>
        <v>#VALUE!</v>
      </c>
      <c r="AC81" s="50">
        <v>0</v>
      </c>
      <c r="AD81" s="51">
        <v>1</v>
      </c>
      <c r="AE81" s="572" t="e" cm="1" vm="39">
        <f t="array" aca="1" ref="AE81" ca="1">Ver_flag_visit</f>
        <v>#VALUE!</v>
      </c>
      <c r="AF81" s="33" t="str">
        <f ca="1">A77</f>
        <v>Argentina</v>
      </c>
      <c r="AG81" s="306">
        <f t="shared" si="248"/>
        <v>1</v>
      </c>
      <c r="AH81" s="185">
        <v>70</v>
      </c>
      <c r="AI81" s="171" t="str">
        <f t="shared" si="252"/>
        <v>4J</v>
      </c>
      <c r="AJ81" s="44">
        <v>4</v>
      </c>
      <c r="AK81" s="580" t="e" cm="1" vm="40">
        <f t="array" aca="1" ref="AK81" ca="1">Ver_flag_visit</f>
        <v>#VALUE!</v>
      </c>
      <c r="AL81" s="45" t="str">
        <f ca="1">IFERROR(INDEX($BD$6:$BD$53,MATCH(AI81,$BN$6:$BN$53,0)),"")</f>
        <v>Argelia</v>
      </c>
      <c r="AM81" s="46">
        <f t="shared" ca="1" si="251"/>
        <v>0</v>
      </c>
      <c r="AN81" s="47">
        <f t="shared" ca="1" si="251"/>
        <v>3</v>
      </c>
      <c r="AO81" s="47">
        <f t="shared" ca="1" si="251"/>
        <v>0</v>
      </c>
      <c r="AP81" s="47">
        <f t="shared" ca="1" si="251"/>
        <v>0</v>
      </c>
      <c r="AQ81" s="47">
        <f t="shared" ca="1" si="251"/>
        <v>3</v>
      </c>
      <c r="AR81" s="47">
        <f t="shared" ca="1" si="251"/>
        <v>2</v>
      </c>
      <c r="AS81" s="47">
        <f t="shared" ca="1" si="251"/>
        <v>6</v>
      </c>
      <c r="AT81" s="48">
        <f t="shared" ca="1" si="251"/>
        <v>-4</v>
      </c>
      <c r="AU81" s="313">
        <f ca="1">INDEX($DL$6:$DL$53,MATCH(AI81,$DP$6:$DP$53,0))</f>
        <v>1</v>
      </c>
      <c r="AV81" s="172" t="str">
        <f ca="1">INDEX($BD$6:$BD$53,MATCH(AI81,$BM$6:$BM$53,0))</f>
        <v>Argelia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3">
        <f t="array" aca="1" ref="AB84" ca="1">Ver_flag_local</f>
        <v>#VALUE!</v>
      </c>
      <c r="AC84" s="50">
        <v>2</v>
      </c>
      <c r="AD84" s="51">
        <v>0</v>
      </c>
      <c r="AE84" s="571" t="e" cm="1" vm="44">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0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25"/>
      <c r="X85" s="24">
        <f ca="1">Horarios!C85</f>
        <v>46191.166666666664</v>
      </c>
      <c r="Y85" s="25">
        <f ca="1">Horarios!C85</f>
        <v>46191.166666666664</v>
      </c>
      <c r="Z85" s="26" t="str">
        <f>$Z$4</f>
        <v>J1</v>
      </c>
      <c r="AA85" s="27" t="str">
        <f ca="1">A87</f>
        <v>Uzbekistán</v>
      </c>
      <c r="AB85" s="49" t="e" cm="1" vm="45">
        <f t="array" aca="1" ref="AB85" ca="1">Ver_flag_local</f>
        <v>#VALUE!</v>
      </c>
      <c r="AC85" s="50">
        <v>0</v>
      </c>
      <c r="AD85" s="51">
        <v>2</v>
      </c>
      <c r="AE85" s="571" t="e" cm="1" vm="46">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25"/>
      <c r="X86" s="24">
        <f ca="1">Horarios!C86</f>
        <v>46196.791666666664</v>
      </c>
      <c r="Y86" s="25">
        <f ca="1">Horarios!C86</f>
        <v>46196.791666666664</v>
      </c>
      <c r="Z86" s="26" t="str">
        <f>$Z$6</f>
        <v>J2</v>
      </c>
      <c r="AA86" s="27" t="str">
        <f ca="1">A85</f>
        <v>Portugal</v>
      </c>
      <c r="AB86" s="49" t="e" cm="1" vm="43">
        <f t="array" aca="1" ref="AB86" ca="1">Ver_flag_local</f>
        <v>#VALUE!</v>
      </c>
      <c r="AC86" s="50">
        <v>3</v>
      </c>
      <c r="AD86" s="51">
        <v>0</v>
      </c>
      <c r="AE86" s="571" t="e" cm="1" vm="45">
        <f t="array" aca="1" ref="AE86" ca="1">Ver_flag_visit</f>
        <v>#VALUE!</v>
      </c>
      <c r="AF86" s="32" t="str">
        <f ca="1">A87</f>
        <v>Uzbekistán</v>
      </c>
      <c r="AG86" s="306">
        <f t="shared" si="266"/>
        <v>1</v>
      </c>
      <c r="AH86" s="185">
        <v>47</v>
      </c>
      <c r="AI86" s="171" t="str">
        <f>AJ86&amp;$B$84</f>
        <v>1K</v>
      </c>
      <c r="AJ86" s="40">
        <v>1</v>
      </c>
      <c r="AK86" s="577" t="e" cm="1" vm="43">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1</v>
      </c>
      <c r="AT86" s="41">
        <f t="shared" ca="1" si="269"/>
        <v>6</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25"/>
      <c r="X87" s="24">
        <f ca="1">Horarios!C87</f>
        <v>46197.166666666664</v>
      </c>
      <c r="Y87" s="25">
        <f ca="1">Horarios!C87</f>
        <v>46197.166666666664</v>
      </c>
      <c r="Z87" s="26" t="str">
        <f>$Z$6</f>
        <v>J2</v>
      </c>
      <c r="AA87" s="27" t="str">
        <f ca="1">A88</f>
        <v>Colombia</v>
      </c>
      <c r="AB87" s="49" t="e" cm="1" vm="46">
        <f t="array" aca="1" ref="AB87" ca="1">Ver_flag_local</f>
        <v>#VALUE!</v>
      </c>
      <c r="AC87" s="50">
        <v>2</v>
      </c>
      <c r="AD87" s="51">
        <v>0</v>
      </c>
      <c r="AE87" s="571" t="e" cm="1" vm="44">
        <f t="array" aca="1" ref="AE87" ca="1">Ver_flag_visit</f>
        <v>#VALUE!</v>
      </c>
      <c r="AF87" s="32" t="str">
        <f ca="1">A86</f>
        <v>RD Congo</v>
      </c>
      <c r="AG87" s="306">
        <f t="shared" si="266"/>
        <v>1</v>
      </c>
      <c r="AH87" s="185">
        <v>48</v>
      </c>
      <c r="AI87" s="171" t="str">
        <f t="shared" ref="AI87:AI89" si="270">AJ87&amp;$B$84</f>
        <v>2K</v>
      </c>
      <c r="AJ87" s="42">
        <v>2</v>
      </c>
      <c r="AK87" s="578" t="e" cm="1" vm="46">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25"/>
      <c r="X88" s="24">
        <f ca="1">Horarios!C88</f>
        <v>46201.0625</v>
      </c>
      <c r="Y88" s="25">
        <f ca="1">Horarios!C88</f>
        <v>46201.0625</v>
      </c>
      <c r="Z88" s="26" t="str">
        <f>$Z$8</f>
        <v>J3</v>
      </c>
      <c r="AA88" s="27" t="str">
        <f ca="1">A88</f>
        <v>Colombia</v>
      </c>
      <c r="AB88" s="49" t="e" cm="1" vm="46">
        <f t="array" aca="1" ref="AB88" ca="1">Ver_flag_local</f>
        <v>#VALUE!</v>
      </c>
      <c r="AC88" s="50">
        <v>1</v>
      </c>
      <c r="AD88" s="51">
        <v>2</v>
      </c>
      <c r="AE88" s="571" t="e" cm="1" vm="43">
        <f t="array" aca="1" ref="AE88" ca="1">Ver_flag_visit</f>
        <v>#VALUE!</v>
      </c>
      <c r="AF88" s="32" t="str">
        <f ca="1">A85</f>
        <v>Portugal</v>
      </c>
      <c r="AG88" s="306">
        <f t="shared" si="266"/>
        <v>1</v>
      </c>
      <c r="AH88" s="185">
        <v>71</v>
      </c>
      <c r="AI88" s="171" t="str">
        <f t="shared" si="270"/>
        <v>3K</v>
      </c>
      <c r="AJ88" s="42">
        <v>3</v>
      </c>
      <c r="AK88" s="578" t="e" cm="1" vm="44">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1</v>
      </c>
      <c r="AS88" s="39">
        <f t="shared" ca="1" si="269"/>
        <v>5</v>
      </c>
      <c r="AT88" s="43">
        <f t="shared" ca="1" si="269"/>
        <v>-4</v>
      </c>
      <c r="AU88" s="313">
        <f ca="1">INDEX($DL$6:$DL$53,MATCH(AI88,$DP$6:$DP$53,0))</f>
        <v>1</v>
      </c>
      <c r="AV88" s="172" t="str">
        <f ca="1">INDEX($BD$6:$BD$53,MATCH(AI88,$BM$6:$BM$53,0))</f>
        <v>RD Congo</v>
      </c>
      <c r="AW88" s="200"/>
      <c r="AX88" s="161"/>
      <c r="AY88" s="191" t="str">
        <f ca="1">+A87</f>
        <v>Uzbekistán</v>
      </c>
      <c r="AZ88" s="192"/>
      <c r="BA88" s="166"/>
    </row>
    <row r="89" spans="1:118" ht="16.0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4">
        <f t="array" aca="1" ref="AB89" ca="1">Ver_flag_local</f>
        <v>#VALUE!</v>
      </c>
      <c r="AC89" s="50">
        <v>1</v>
      </c>
      <c r="AD89" s="51">
        <v>1</v>
      </c>
      <c r="AE89" s="572" t="e" cm="1" vm="45">
        <f t="array" aca="1" ref="AE89" ca="1">Ver_flag_visit</f>
        <v>#VALUE!</v>
      </c>
      <c r="AF89" s="33" t="str">
        <f ca="1">A87</f>
        <v>Uzbekistán</v>
      </c>
      <c r="AG89" s="306">
        <f t="shared" si="266"/>
        <v>1</v>
      </c>
      <c r="AH89" s="185">
        <v>72</v>
      </c>
      <c r="AI89" s="171" t="str">
        <f t="shared" si="270"/>
        <v>4K</v>
      </c>
      <c r="AJ89" s="44">
        <v>4</v>
      </c>
      <c r="AK89" s="580" t="e" cm="1" vm="45">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6</v>
      </c>
      <c r="AT89" s="48">
        <f t="shared" ca="1" si="269"/>
        <v>-5</v>
      </c>
      <c r="AU89" s="313">
        <f ca="1">INDEX($DL$6:$DL$53,MATCH(AI89,$DP$6:$DP$53,0))</f>
        <v>1</v>
      </c>
      <c r="AV89" s="172" t="str">
        <f ca="1">INDEX($BD$6:$BD$53,MATCH(AI89,$BM$6:$BM$53,0))</f>
        <v>Uzbekistán</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7">
        <f t="array" aca="1" ref="AB92" ca="1">Ver_flag_local</f>
        <v>#VALUE!</v>
      </c>
      <c r="AC92" s="50">
        <v>1</v>
      </c>
      <c r="AD92" s="51">
        <v>1</v>
      </c>
      <c r="AE92" s="571" t="e" cm="1" vm="48">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Visitante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9">
        <f t="array" aca="1" ref="AB93" ca="1">Ver_flag_local</f>
        <v>#VALUE!</v>
      </c>
      <c r="AC93" s="50">
        <v>1</v>
      </c>
      <c r="AD93" s="51">
        <v>2</v>
      </c>
      <c r="AE93" s="571" t="e" cm="1" vm="50">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7">
        <f t="array" aca="1" ref="AB94" ca="1">Ver_flag_local</f>
        <v>#VALUE!</v>
      </c>
      <c r="AC94" s="50">
        <v>1</v>
      </c>
      <c r="AD94" s="51">
        <v>0</v>
      </c>
      <c r="AE94" s="571" t="e" cm="1" vm="49">
        <f t="array" aca="1" ref="AE94" ca="1">Ver_flag_visit</f>
        <v>#VALUE!</v>
      </c>
      <c r="AF94" s="32" t="str">
        <f ca="1">A95</f>
        <v>Ghana</v>
      </c>
      <c r="AG94" s="306">
        <f t="shared" si="284"/>
        <v>1</v>
      </c>
      <c r="AH94" s="185">
        <v>45</v>
      </c>
      <c r="AI94" s="171" t="str">
        <f>AJ94&amp;$B$92</f>
        <v>1L</v>
      </c>
      <c r="AJ94" s="40">
        <v>1</v>
      </c>
      <c r="AK94" s="577" t="e" cm="1" vm="47">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4</v>
      </c>
      <c r="AS94" s="36">
        <f t="shared" ca="1" si="287"/>
        <v>1</v>
      </c>
      <c r="AT94" s="41">
        <f t="shared" ca="1" si="287"/>
        <v>3</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50">
        <f t="array" aca="1" ref="AB95" ca="1">Ver_flag_local</f>
        <v>#VALUE!</v>
      </c>
      <c r="AC95" s="50">
        <v>0</v>
      </c>
      <c r="AD95" s="51">
        <v>2</v>
      </c>
      <c r="AE95" s="571" t="e" cm="1" vm="48">
        <f t="array" aca="1" ref="AE95" ca="1">Ver_flag_visit</f>
        <v>#VALUE!</v>
      </c>
      <c r="AF95" s="32" t="str">
        <f ca="1">A94</f>
        <v>Croacia</v>
      </c>
      <c r="AG95" s="306">
        <f t="shared" si="284"/>
        <v>1</v>
      </c>
      <c r="AH95" s="185">
        <v>46</v>
      </c>
      <c r="AI95" s="171" t="str">
        <f t="shared" ref="AI95:AI97" si="288">AJ95&amp;$B$92</f>
        <v>2L</v>
      </c>
      <c r="AJ95" s="42">
        <v>2</v>
      </c>
      <c r="AK95" s="578" t="e" cm="1" vm="48">
        <f t="array" aca="1" ref="AK95" ca="1">Ver_flag_visit</f>
        <v>#VALUE!</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4</v>
      </c>
      <c r="AS95" s="39">
        <f t="shared" ca="1" si="287"/>
        <v>2</v>
      </c>
      <c r="AT95" s="43">
        <f t="shared" ca="1" si="287"/>
        <v>2</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50">
        <f t="array" aca="1" ref="AB96" ca="1">Ver_flag_local</f>
        <v>#VALUE!</v>
      </c>
      <c r="AC96" s="50">
        <v>0</v>
      </c>
      <c r="AD96" s="51">
        <v>2</v>
      </c>
      <c r="AE96" s="571" t="e" cm="1" vm="47">
        <f t="array" aca="1" ref="AE96" ca="1">Ver_flag_visit</f>
        <v>#VALUE!</v>
      </c>
      <c r="AF96" s="32" t="str">
        <f ca="1">A93</f>
        <v>Inglaterra</v>
      </c>
      <c r="AG96" s="306">
        <f t="shared" si="284"/>
        <v>1</v>
      </c>
      <c r="AH96" s="185">
        <v>67</v>
      </c>
      <c r="AI96" s="171" t="str">
        <f t="shared" si="288"/>
        <v>3L</v>
      </c>
      <c r="AJ96" s="42">
        <v>3</v>
      </c>
      <c r="AK96" s="578" t="e" cm="1" vm="50">
        <f t="array" aca="1" ref="AK96" ca="1">Ver_flag_visit</f>
        <v>#VALUE!</v>
      </c>
      <c r="AL96" s="37" t="str">
        <f ca="1">IFERROR(INDEX($BD$6:$BD$53,MATCH(AI96,$BN$6:$BN$53,0)),"")</f>
        <v>Panamá</v>
      </c>
      <c r="AM96" s="38">
        <f t="shared" ca="1" si="287"/>
        <v>3</v>
      </c>
      <c r="AN96" s="39">
        <f t="shared" ca="1" si="287"/>
        <v>3</v>
      </c>
      <c r="AO96" s="39">
        <f t="shared" ca="1" si="287"/>
        <v>1</v>
      </c>
      <c r="AP96" s="39">
        <f t="shared" ca="1" si="287"/>
        <v>0</v>
      </c>
      <c r="AQ96" s="39">
        <f t="shared" ca="1" si="287"/>
        <v>2</v>
      </c>
      <c r="AR96" s="39">
        <f t="shared" ca="1" si="287"/>
        <v>2</v>
      </c>
      <c r="AS96" s="39">
        <f t="shared" ca="1" si="287"/>
        <v>5</v>
      </c>
      <c r="AT96" s="43">
        <f t="shared" ca="1" si="287"/>
        <v>-3</v>
      </c>
      <c r="AU96" s="313">
        <f ca="1">INDEX($DL$6:$DL$53,MATCH(AI96,$DP$6:$DP$53,0))</f>
        <v>1</v>
      </c>
      <c r="AV96" s="172" t="str">
        <f ca="1">INDEX($BD$6:$BD$53,MATCH(AI96,$BM$6:$BM$53,0))</f>
        <v>Panamá</v>
      </c>
      <c r="AW96" s="200"/>
      <c r="AX96" s="161"/>
      <c r="AY96" s="191" t="str">
        <f ca="1">+A95</f>
        <v>Ghana</v>
      </c>
      <c r="AZ96" s="192"/>
      <c r="BA96" s="166"/>
    </row>
    <row r="97" spans="1:62" ht="16.05"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8">
        <f t="array" aca="1" ref="AB97" ca="1">Ver_flag_local</f>
        <v>#VALUE!</v>
      </c>
      <c r="AC97" s="50">
        <v>1</v>
      </c>
      <c r="AD97" s="51">
        <v>1</v>
      </c>
      <c r="AE97" s="572" t="e" cm="1" vm="49">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Ghana</v>
      </c>
      <c r="AM97" s="46">
        <f t="shared" ca="1" si="287"/>
        <v>1</v>
      </c>
      <c r="AN97" s="47">
        <f t="shared" ca="1" si="287"/>
        <v>3</v>
      </c>
      <c r="AO97" s="47">
        <f t="shared" ca="1" si="287"/>
        <v>0</v>
      </c>
      <c r="AP97" s="47">
        <f t="shared" ca="1" si="287"/>
        <v>1</v>
      </c>
      <c r="AQ97" s="47">
        <f t="shared" ca="1" si="287"/>
        <v>2</v>
      </c>
      <c r="AR97" s="47">
        <f t="shared" ca="1" si="287"/>
        <v>2</v>
      </c>
      <c r="AS97" s="47">
        <f t="shared" ca="1" si="287"/>
        <v>4</v>
      </c>
      <c r="AT97" s="48">
        <f t="shared" ca="1" si="287"/>
        <v>-2</v>
      </c>
      <c r="AU97" s="313">
        <f ca="1">INDEX($DL$6:$DL$53,MATCH(AI97,$DP$6:$DP$53,0))</f>
        <v>1</v>
      </c>
      <c r="AV97" s="172" t="str">
        <f ca="1">INDEX($BD$6:$BD$53,MATCH(AI97,$BM$6:$BM$53,0))</f>
        <v>Ghana</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Corea del Sur</v>
      </c>
      <c r="AB101" s="87"/>
      <c r="AC101" s="50">
        <v>2</v>
      </c>
      <c r="AD101" s="51">
        <v>1</v>
      </c>
      <c r="AE101" s="88"/>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5</v>
      </c>
      <c r="AV101" s="178"/>
      <c r="AW101" s="204"/>
      <c r="AX101" s="204"/>
      <c r="AY101" s="318" t="str">
        <f ca="1">+IF(OR($H$113&gt;=48,$AJ$99=144),Idiomas!D68,"")</f>
        <v xml:space="preserve">Grupos mejores 3ºs: </v>
      </c>
      <c r="AZ101" s="319" t="str">
        <f ca="1">+IF(OR($H$113&gt;=48,$AJ$99=144),BI112,"")</f>
        <v>ABDEFGIJ</v>
      </c>
      <c r="BA101" s="166"/>
    </row>
    <row r="102" spans="1:62" ht="16.0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2</v>
      </c>
      <c r="AD102" s="51">
        <v>0</v>
      </c>
      <c r="AE102" s="87"/>
      <c r="AF102" s="89" t="str">
        <f t="shared" ca="1" si="293"/>
        <v>Países Bajos</v>
      </c>
      <c r="AG102" s="310">
        <f t="shared" ca="1" si="294"/>
        <v>1</v>
      </c>
      <c r="AH102" s="185">
        <v>76</v>
      </c>
      <c r="AI102" s="172">
        <v>1</v>
      </c>
      <c r="AJ102" s="78">
        <v>1</v>
      </c>
      <c r="AK102" s="581" t="e" cm="1" vm="36">
        <f t="array" aca="1" ref="AK102" ca="1">Ver_flag_visit</f>
        <v>#VALUE!</v>
      </c>
      <c r="AL102" s="79" t="str">
        <f t="shared" ref="AL102:AL113" ca="1" si="297">+IF($H$113&gt;=48,INDEX($BD$58:$BD$69,MATCH(AI102,$BN$58:$BN$69,0)),BB58)</f>
        <v>Senegal</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3</v>
      </c>
      <c r="AT102" s="82">
        <f t="shared" ca="1" si="298"/>
        <v>1</v>
      </c>
      <c r="AU102" s="313">
        <f t="shared" ref="AU102:AU113" ca="1" si="299">IF($H$113=144,INDEX($DL$58:$DL$69,MATCH(AI102,$DP$58:$DP$69,0)),"")</f>
        <v>1</v>
      </c>
      <c r="AV102" s="172" t="str">
        <f t="shared" ref="AV102:AV113" ca="1" si="300">INDEX($BD$58:$BD$69,MATCH(AI102,$BM$58:$BM$69,0))</f>
        <v>Senegal</v>
      </c>
      <c r="AW102" s="205"/>
      <c r="AX102" s="160"/>
      <c r="AY102" s="144"/>
      <c r="AZ102" s="145"/>
      <c r="BA102" s="166"/>
      <c r="BE102" t="s">
        <v>454</v>
      </c>
      <c r="BF102" t="s">
        <v>731</v>
      </c>
      <c r="BG102" t="s">
        <v>776</v>
      </c>
      <c r="BI102" t="s">
        <v>86</v>
      </c>
    </row>
    <row r="103" spans="1:62" ht="16.0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3</v>
      </c>
      <c r="AD103" s="51">
        <v>0</v>
      </c>
      <c r="AE103" s="87"/>
      <c r="AF103" s="89" t="str">
        <f t="shared" ca="1" si="293"/>
        <v>Estados Unidos</v>
      </c>
      <c r="AG103" s="310">
        <f t="shared" ca="1" si="294"/>
        <v>1</v>
      </c>
      <c r="AH103" s="185">
        <v>74</v>
      </c>
      <c r="AI103" s="172">
        <v>2</v>
      </c>
      <c r="AJ103" s="42">
        <v>2</v>
      </c>
      <c r="AK103" s="578" t="e" cm="1" vm="41">
        <f t="array" aca="1" ref="AK103" ca="1">Ver_flag_visit</f>
        <v>#VALUE!</v>
      </c>
      <c r="AL103" s="83" t="str">
        <f t="shared" ca="1" si="297"/>
        <v>Austria</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3</v>
      </c>
      <c r="AS103" s="84">
        <f t="shared" ca="1" si="302"/>
        <v>3</v>
      </c>
      <c r="AT103" s="85">
        <f t="shared" ca="1" si="302"/>
        <v>0</v>
      </c>
      <c r="AU103" s="313">
        <f t="shared" ca="1" si="299"/>
        <v>3</v>
      </c>
      <c r="AV103" s="172" t="str">
        <f t="shared" ca="1" si="300"/>
        <v>Austria</v>
      </c>
      <c r="AW103" s="205">
        <v>2</v>
      </c>
      <c r="AX103" s="160"/>
      <c r="AY103" s="261"/>
      <c r="AZ103" s="263" t="str">
        <f t="shared" ref="AZ103:AZ110" ca="1" si="303">+IF(OR($H$113&gt;=48,$AJ$99=144),BF117&amp;" - "&amp;BG117,"")</f>
        <v>1A - 3E</v>
      </c>
      <c r="BA103" s="166"/>
      <c r="BF103" t="str">
        <f t="shared" ref="BF103:BF110" ca="1" si="304">IFERROR(INDEX($BC$6:$BC$53,MATCH(AL102,$BD$6:$BD$53,0)),"")</f>
        <v>I</v>
      </c>
      <c r="BG103">
        <f t="shared" ref="BG103:BG110" ca="1" si="305">COUNTIF($BF$103:$BF$110,"&lt;="&amp;BF103)</f>
        <v>7</v>
      </c>
      <c r="BI103">
        <v>1</v>
      </c>
      <c r="BJ103" t="str">
        <f t="shared" ref="BJ103:BJ110" ca="1" si="306">IFERROR(INDEX($BF$103:$BF$110,MATCH(BI103,$BG$103:$BG$110,0)),"Grupo")</f>
        <v>A</v>
      </c>
    </row>
    <row r="104" spans="1:62" ht="16.05"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27"/>
      <c r="X104" s="24">
        <f ca="1">Horarios!C104</f>
        <v>46203.125</v>
      </c>
      <c r="Y104" s="25">
        <f ca="1">Horarios!C104</f>
        <v>46203.125</v>
      </c>
      <c r="Z104" s="264">
        <f t="shared" si="296"/>
        <v>75</v>
      </c>
      <c r="AA104" s="86" t="str">
        <f t="shared" ca="1" si="292"/>
        <v>Japón</v>
      </c>
      <c r="AB104" s="87">
        <v>3</v>
      </c>
      <c r="AC104" s="50">
        <v>1</v>
      </c>
      <c r="AD104" s="51">
        <v>1</v>
      </c>
      <c r="AE104" s="87">
        <v>5</v>
      </c>
      <c r="AF104" s="89" t="str">
        <f t="shared" ca="1" si="293"/>
        <v>Marruecos</v>
      </c>
      <c r="AG104" s="310">
        <f t="shared" ca="1" si="294"/>
        <v>1</v>
      </c>
      <c r="AH104" s="185">
        <v>75</v>
      </c>
      <c r="AI104" s="172">
        <v>3</v>
      </c>
      <c r="AJ104" s="42">
        <v>3</v>
      </c>
      <c r="AK104" s="578" t="e" cm="1" vm="4">
        <f t="array" aca="1" ref="AK104" ca="1">Ver_flag_visit</f>
        <v>#VALUE!</v>
      </c>
      <c r="AL104" s="83" t="str">
        <f t="shared" ca="1" si="297"/>
        <v>República Checa</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3</v>
      </c>
      <c r="AT104" s="85">
        <f t="shared" ca="1" si="307"/>
        <v>0</v>
      </c>
      <c r="AU104" s="313">
        <f t="shared" ca="1" si="299"/>
        <v>3</v>
      </c>
      <c r="AV104" s="172" t="str">
        <f t="shared" ca="1" si="300"/>
        <v>Irán</v>
      </c>
      <c r="AW104" s="205">
        <v>4</v>
      </c>
      <c r="AX104" s="160"/>
      <c r="AY104" s="261"/>
      <c r="AZ104" s="263" t="str">
        <f t="shared" ca="1" si="303"/>
        <v>1B - 3G</v>
      </c>
      <c r="BA104" s="166"/>
      <c r="BF104" t="str">
        <f t="shared" ca="1" si="304"/>
        <v>J</v>
      </c>
      <c r="BG104">
        <f t="shared" ca="1" si="305"/>
        <v>8</v>
      </c>
      <c r="BI104">
        <v>2</v>
      </c>
      <c r="BJ104" t="str">
        <f t="shared" ca="1" si="306"/>
        <v>B</v>
      </c>
    </row>
    <row r="105" spans="1:62" ht="16.05" customHeight="1">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2</v>
      </c>
      <c r="AD105" s="51">
        <v>0</v>
      </c>
      <c r="AE105" s="87"/>
      <c r="AF105" s="89" t="str">
        <f t="shared" ca="1" si="293"/>
        <v>Noruega</v>
      </c>
      <c r="AG105" s="310">
        <f t="shared" ca="1" si="294"/>
        <v>1</v>
      </c>
      <c r="AH105" s="185">
        <v>78</v>
      </c>
      <c r="AI105" s="172">
        <v>4</v>
      </c>
      <c r="AJ105" s="42">
        <v>4</v>
      </c>
      <c r="AK105" s="578" t="e" cm="1" vm="28">
        <f t="array" aca="1" ref="AK105" ca="1">Ver_flag_visit</f>
        <v>#VALUE!</v>
      </c>
      <c r="AL105" s="83" t="str">
        <f t="shared" ca="1" si="297"/>
        <v>Irán</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3</v>
      </c>
      <c r="AS105" s="84">
        <f t="shared" ca="1" si="308"/>
        <v>3</v>
      </c>
      <c r="AT105" s="85">
        <f t="shared" ca="1" si="308"/>
        <v>0</v>
      </c>
      <c r="AU105" s="313">
        <f t="shared" ca="1" si="299"/>
        <v>3</v>
      </c>
      <c r="AV105" s="172" t="str">
        <f t="shared" ca="1" si="300"/>
        <v>República Checa</v>
      </c>
      <c r="AW105" s="205">
        <v>3</v>
      </c>
      <c r="AX105" s="160"/>
      <c r="AY105" s="261"/>
      <c r="AZ105" s="263" t="str">
        <f t="shared" ca="1" si="303"/>
        <v>1D - 3B</v>
      </c>
      <c r="BA105" s="166"/>
      <c r="BF105" t="str">
        <f t="shared" ca="1" si="304"/>
        <v>A</v>
      </c>
      <c r="BG105">
        <f t="shared" ca="1" si="305"/>
        <v>1</v>
      </c>
      <c r="BI105">
        <v>3</v>
      </c>
      <c r="BJ105" t="str">
        <f t="shared" ca="1" si="306"/>
        <v>D</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1</v>
      </c>
      <c r="AD106" s="51">
        <v>0</v>
      </c>
      <c r="AE106" s="87"/>
      <c r="AF106" s="89" t="str">
        <f t="shared" ca="1" si="293"/>
        <v>Suecia</v>
      </c>
      <c r="AG106" s="310">
        <f t="shared" ca="1" si="294"/>
        <v>1</v>
      </c>
      <c r="AH106" s="185">
        <v>77</v>
      </c>
      <c r="AI106" s="172">
        <v>5</v>
      </c>
      <c r="AJ106" s="42">
        <v>5</v>
      </c>
      <c r="AK106" s="578" t="e" cm="1" vm="6">
        <f t="array" aca="1" ref="AK106" ca="1">Ver_flag_visit</f>
        <v>#VALUE!</v>
      </c>
      <c r="AL106" s="83" t="str">
        <f t="shared" ca="1" si="297"/>
        <v>Bosnia y Herzegovina</v>
      </c>
      <c r="AM106" s="565">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2</v>
      </c>
      <c r="AS106" s="84">
        <f t="shared" ca="1" si="309"/>
        <v>2</v>
      </c>
      <c r="AT106" s="85">
        <f t="shared" ca="1" si="309"/>
        <v>0</v>
      </c>
      <c r="AU106" s="313">
        <f t="shared" ca="1" si="299"/>
        <v>1</v>
      </c>
      <c r="AV106" s="172" t="str">
        <f t="shared" ca="1" si="300"/>
        <v>Bosnia y Herzegovina</v>
      </c>
      <c r="AW106" s="205"/>
      <c r="AX106" s="160"/>
      <c r="AY106" s="261"/>
      <c r="AZ106" s="263" t="str">
        <f t="shared" ca="1" si="303"/>
        <v>1E - 3D</v>
      </c>
      <c r="BA106" s="166"/>
      <c r="BF106" t="str">
        <f t="shared" ca="1" si="304"/>
        <v>G</v>
      </c>
      <c r="BG106">
        <f t="shared" ca="1" si="305"/>
        <v>6</v>
      </c>
      <c r="BI106">
        <v>4</v>
      </c>
      <c r="BJ106" t="str">
        <f t="shared" ca="1" si="306"/>
        <v>E</v>
      </c>
    </row>
    <row r="107" spans="1:62" ht="16.0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1</v>
      </c>
      <c r="AD107" s="51">
        <v>0</v>
      </c>
      <c r="AE107" s="87"/>
      <c r="AF107" s="89" t="str">
        <f t="shared" ca="1" si="293"/>
        <v>Costa de Marfil</v>
      </c>
      <c r="AG107" s="310">
        <f t="shared" ca="1" si="294"/>
        <v>1</v>
      </c>
      <c r="AH107" s="185">
        <v>79</v>
      </c>
      <c r="AI107" s="172">
        <v>6</v>
      </c>
      <c r="AJ107" s="42">
        <v>6</v>
      </c>
      <c r="AK107" s="578" t="e" cm="1" vm="24">
        <f t="array" aca="1" ref="AK107" ca="1">Ver_flag_visit</f>
        <v>#VALUE!</v>
      </c>
      <c r="AL107" s="83" t="str">
        <f t="shared" ca="1" si="297"/>
        <v>Suecia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3</v>
      </c>
      <c r="AS107" s="84">
        <f t="shared" ca="1" si="310"/>
        <v>4</v>
      </c>
      <c r="AT107" s="85">
        <f t="shared" ca="1" si="310"/>
        <v>-1</v>
      </c>
      <c r="AU107" s="313">
        <f t="shared" ca="1" si="299"/>
        <v>2</v>
      </c>
      <c r="AV107" s="172" t="str">
        <f ca="1">INDEX($BD$58:$BD$69,MATCH(AI107,$BM$58:$BM$69,0))</f>
        <v>Costa de Marfil</v>
      </c>
      <c r="AW107" s="205">
        <v>7</v>
      </c>
      <c r="AX107" s="160"/>
      <c r="AY107" s="261"/>
      <c r="AZ107" s="263" t="str">
        <f t="shared" ca="1" si="303"/>
        <v>1G - 3A</v>
      </c>
      <c r="BA107" s="166"/>
      <c r="BF107" t="str">
        <f t="shared" ca="1" si="304"/>
        <v>B</v>
      </c>
      <c r="BG107">
        <f t="shared" ca="1" si="305"/>
        <v>2</v>
      </c>
      <c r="BI107">
        <v>5</v>
      </c>
      <c r="BJ107" t="str">
        <f t="shared" ca="1" si="306"/>
        <v>F</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Austria</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2</v>
      </c>
      <c r="AD108" s="51">
        <v>1</v>
      </c>
      <c r="AE108" s="87"/>
      <c r="AF108" s="89" t="str">
        <f t="shared" ca="1" si="293"/>
        <v>Austria</v>
      </c>
      <c r="AG108" s="310">
        <f t="shared" ca="1" si="294"/>
        <v>1</v>
      </c>
      <c r="AH108" s="185">
        <v>80</v>
      </c>
      <c r="AI108" s="172">
        <v>7</v>
      </c>
      <c r="AJ108" s="42">
        <v>7</v>
      </c>
      <c r="AK108" s="578" t="e" cm="1" vm="19">
        <f t="array" aca="1" ref="AK108" ca="1">Ver_flag_visit</f>
        <v>#VALUE!</v>
      </c>
      <c r="AL108" s="83" t="str">
        <f t="shared" ca="1" si="297"/>
        <v>Costa de Marfil</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3</v>
      </c>
      <c r="AS108" s="84">
        <f t="shared" ca="1" si="311"/>
        <v>4</v>
      </c>
      <c r="AT108" s="85">
        <f t="shared" ca="1" si="311"/>
        <v>-1</v>
      </c>
      <c r="AU108" s="313">
        <f t="shared" ca="1" si="299"/>
        <v>2</v>
      </c>
      <c r="AV108" s="172" t="str">
        <f t="shared" ca="1" si="300"/>
        <v>Suecia</v>
      </c>
      <c r="AW108" s="205">
        <v>6</v>
      </c>
      <c r="AX108" s="160"/>
      <c r="AY108" s="261"/>
      <c r="AZ108" s="263" t="str">
        <f t="shared" ca="1" si="303"/>
        <v>1I - 3F</v>
      </c>
      <c r="BA108" s="166"/>
      <c r="BF108" t="str">
        <f t="shared" ca="1" si="304"/>
        <v>F</v>
      </c>
      <c r="BG108">
        <f t="shared" ca="1" si="305"/>
        <v>5</v>
      </c>
      <c r="BI108">
        <v>6</v>
      </c>
      <c r="BJ108" t="str">
        <f t="shared" ca="1" si="306"/>
        <v>G</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2</v>
      </c>
      <c r="AD109" s="51">
        <v>0</v>
      </c>
      <c r="AE109" s="87"/>
      <c r="AF109" s="89" t="str">
        <f t="shared" ca="1" si="293"/>
        <v>República Checa</v>
      </c>
      <c r="AG109" s="310">
        <f t="shared" ca="1" si="294"/>
        <v>1</v>
      </c>
      <c r="AH109" s="185">
        <v>82</v>
      </c>
      <c r="AI109" s="172">
        <v>8</v>
      </c>
      <c r="AJ109" s="42">
        <v>8</v>
      </c>
      <c r="AK109" s="578" t="e" cm="1" vm="13">
        <f t="array" aca="1" ref="AK109" ca="1">Ver_flag_visit</f>
        <v>#VALUE!</v>
      </c>
      <c r="AL109" s="83" t="str">
        <f t="shared" ca="1" si="297"/>
        <v>Estados Unidos</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1</v>
      </c>
      <c r="AS109" s="84">
        <f t="shared" ca="1" si="312"/>
        <v>3</v>
      </c>
      <c r="AT109" s="85">
        <f t="shared" ca="1" si="312"/>
        <v>-2</v>
      </c>
      <c r="AU109" s="313">
        <f t="shared" ca="1" si="299"/>
        <v>1</v>
      </c>
      <c r="AV109" s="172" t="str">
        <f t="shared" ca="1" si="300"/>
        <v>Estados Unidos</v>
      </c>
      <c r="AW109" s="205"/>
      <c r="AX109" s="160"/>
      <c r="AY109" s="261"/>
      <c r="AZ109" s="263" t="str">
        <f t="shared" ca="1" si="303"/>
        <v>1K - 3I</v>
      </c>
      <c r="BA109" s="166"/>
      <c r="BF109" t="str">
        <f t="shared" ca="1" si="304"/>
        <v>E</v>
      </c>
      <c r="BG109">
        <f t="shared" ca="1" si="305"/>
        <v>4</v>
      </c>
      <c r="BI109">
        <v>7</v>
      </c>
      <c r="BJ109" t="str">
        <f t="shared" ca="1" si="306"/>
        <v>I</v>
      </c>
    </row>
    <row r="110" spans="1:62" ht="16.05" customHeight="1">
      <c r="A110" s="16" t="s">
        <v>679</v>
      </c>
      <c r="B110" s="16" t="s">
        <v>739</v>
      </c>
      <c r="C110" s="16"/>
      <c r="D110" s="16" t="str">
        <f t="shared" ca="1" si="289"/>
        <v>Paraguay</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Paraguay</v>
      </c>
      <c r="AB110" s="87"/>
      <c r="AC110" s="50">
        <v>2</v>
      </c>
      <c r="AD110" s="51">
        <v>0</v>
      </c>
      <c r="AE110" s="87"/>
      <c r="AF110" s="89" t="str">
        <f t="shared" ca="1" si="293"/>
        <v>Bosnia y Herzegovina</v>
      </c>
      <c r="AG110" s="310">
        <f t="shared" ca="1" si="294"/>
        <v>1</v>
      </c>
      <c r="AH110" s="185">
        <v>81</v>
      </c>
      <c r="AI110" s="172">
        <v>9</v>
      </c>
      <c r="AJ110" s="42">
        <v>9</v>
      </c>
      <c r="AK110" s="578" t="e" cm="1" vm="50">
        <f t="array" aca="1" ref="AK110" ca="1">Ver_flag_visit</f>
        <v>#VALUE!</v>
      </c>
      <c r="AL110" s="83" t="str">
        <f t="shared" ca="1" si="297"/>
        <v>Panamá</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2</v>
      </c>
      <c r="AS110" s="84">
        <f t="shared" ca="1" si="313"/>
        <v>5</v>
      </c>
      <c r="AT110" s="85">
        <f t="shared" ca="1" si="313"/>
        <v>-3</v>
      </c>
      <c r="AU110" s="313">
        <f t="shared" ca="1" si="299"/>
        <v>1</v>
      </c>
      <c r="AV110" s="172" t="str">
        <f t="shared" ca="1" si="300"/>
        <v>Panamá</v>
      </c>
      <c r="AW110" s="205"/>
      <c r="AX110" s="160"/>
      <c r="AY110" s="261"/>
      <c r="AZ110" s="263" t="str">
        <f t="shared" ca="1" si="303"/>
        <v>1L - 3J</v>
      </c>
      <c r="BA110" s="166"/>
      <c r="BF110" t="str">
        <f t="shared" ca="1" si="304"/>
        <v>D</v>
      </c>
      <c r="BG110">
        <f t="shared" ca="1" si="305"/>
        <v>3</v>
      </c>
      <c r="BI110">
        <v>8</v>
      </c>
      <c r="BJ110" t="str">
        <f t="shared" ca="1" si="306"/>
        <v>J</v>
      </c>
    </row>
    <row r="111" spans="1:62" ht="16.0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3</v>
      </c>
      <c r="AD111" s="51">
        <v>1</v>
      </c>
      <c r="AE111" s="87"/>
      <c r="AF111" s="89" t="str">
        <f t="shared" ca="1" si="293"/>
        <v>Jordania</v>
      </c>
      <c r="AG111" s="310">
        <f t="shared" ca="1" si="294"/>
        <v>1</v>
      </c>
      <c r="AH111" s="185">
        <v>84</v>
      </c>
      <c r="AI111" s="172">
        <v>10</v>
      </c>
      <c r="AJ111" s="42">
        <v>10</v>
      </c>
      <c r="AK111" s="578" t="e" cm="1" vm="12">
        <f t="array" aca="1" ref="AK111" ca="1">Ver_flag_visit</f>
        <v>#VALUE!</v>
      </c>
      <c r="AL111" s="83" t="str">
        <f t="shared" ca="1" si="297"/>
        <v>Escocia</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1</v>
      </c>
      <c r="AS111" s="84">
        <f t="shared" ca="1" si="314"/>
        <v>4</v>
      </c>
      <c r="AT111" s="85">
        <f t="shared" ca="1" si="314"/>
        <v>-3</v>
      </c>
      <c r="AU111" s="313">
        <f t="shared" ca="1" si="299"/>
        <v>1</v>
      </c>
      <c r="AV111" s="172" t="str">
        <f t="shared" ca="1" si="300"/>
        <v>Escocia</v>
      </c>
      <c r="AW111" s="205"/>
      <c r="AX111" s="160"/>
      <c r="AY111" s="260"/>
      <c r="AZ111" s="260"/>
      <c r="BA111" s="166"/>
      <c r="BI111" t="s">
        <v>87</v>
      </c>
    </row>
    <row r="112" spans="1:62" ht="16.05"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Jordania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2</v>
      </c>
      <c r="AD112" s="51">
        <v>1</v>
      </c>
      <c r="AE112" s="87"/>
      <c r="AF112" s="89" t="str">
        <f t="shared" ca="1" si="293"/>
        <v>Croacia</v>
      </c>
      <c r="AG112" s="310">
        <f t="shared" ca="1" si="294"/>
        <v>1</v>
      </c>
      <c r="AH112" s="185">
        <v>83</v>
      </c>
      <c r="AI112" s="172">
        <v>11</v>
      </c>
      <c r="AJ112" s="42">
        <v>11</v>
      </c>
      <c r="AK112" s="578" t="e" cm="1" vm="33">
        <f t="array" aca="1" ref="AK112" ca="1">Ver_flag_visit</f>
        <v>#VALUE!</v>
      </c>
      <c r="AL112" s="83" t="str">
        <f t="shared" ca="1" si="297"/>
        <v>Arabia Saudita</v>
      </c>
      <c r="AM112" s="565">
        <f t="shared" ca="1" si="301"/>
        <v>3</v>
      </c>
      <c r="AN112" s="84">
        <f t="shared" ref="AN112:AT112" ca="1" si="315">+IF($H$113&gt;=48,INDEX($BE$58:$BN$69,MATCH($AL112,$BD$58:$BD$69,0),MATCH(AN$5,$BE$57:$BN$57,0)),$BB68)</f>
        <v>3</v>
      </c>
      <c r="AO112" s="84">
        <f t="shared" ca="1" si="315"/>
        <v>1</v>
      </c>
      <c r="AP112" s="84">
        <f t="shared" ca="1" si="315"/>
        <v>0</v>
      </c>
      <c r="AQ112" s="84">
        <f t="shared" ca="1" si="315"/>
        <v>2</v>
      </c>
      <c r="AR112" s="84">
        <f t="shared" ca="1" si="315"/>
        <v>2</v>
      </c>
      <c r="AS112" s="84">
        <f t="shared" ca="1" si="315"/>
        <v>6</v>
      </c>
      <c r="AT112" s="85">
        <f t="shared" ca="1" si="315"/>
        <v>-4</v>
      </c>
      <c r="AU112" s="313">
        <f t="shared" ca="1" si="299"/>
        <v>1</v>
      </c>
      <c r="AV112" s="172" t="str">
        <f t="shared" ca="1" si="300"/>
        <v>Arabia Saudita</v>
      </c>
      <c r="AW112" s="205"/>
      <c r="AX112" s="160"/>
      <c r="AY112" s="260"/>
      <c r="AZ112" s="260"/>
      <c r="BA112" s="166"/>
      <c r="BI112" t="str">
        <f ca="1">IFERROR(CONCATENATE(BJ103,BJ104,BJ105,BJ106,BJ107,BJ108,BJ109,BJ110),"¿A/B/C/D/E/F/G/H/I/J/K/L?")</f>
        <v>ABDEFGIJ</v>
      </c>
    </row>
    <row r="113" spans="1:59" ht="16.0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c r="AC113" s="50">
        <v>1</v>
      </c>
      <c r="AD113" s="51">
        <v>0</v>
      </c>
      <c r="AE113" s="88"/>
      <c r="AF113" s="89" t="str">
        <f t="shared" ca="1" si="293"/>
        <v>Irán</v>
      </c>
      <c r="AG113" s="310">
        <f t="shared" ca="1" si="294"/>
        <v>1</v>
      </c>
      <c r="AH113" s="185">
        <v>85</v>
      </c>
      <c r="AI113" s="172">
        <v>12</v>
      </c>
      <c r="AJ113" s="44">
        <v>12</v>
      </c>
      <c r="AK113" s="580" t="e" cm="1" vm="44">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13">
        <f t="shared" ca="1" si="299"/>
        <v>1</v>
      </c>
      <c r="AV113" s="172" t="str">
        <f t="shared" ca="1" si="300"/>
        <v>RD Congo</v>
      </c>
      <c r="AW113" s="205"/>
      <c r="AX113" s="160"/>
      <c r="AY113" s="144"/>
      <c r="AZ113" s="145"/>
      <c r="BA113" s="166"/>
    </row>
    <row r="114" spans="1:59" ht="16.05" customHeight="1">
      <c r="A114" s="16" t="s">
        <v>688</v>
      </c>
      <c r="B114" s="16" t="s">
        <v>683</v>
      </c>
      <c r="C114" s="16"/>
      <c r="D114" s="16" t="str">
        <f t="shared" ca="1" si="289"/>
        <v>Turquía</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Turquía</v>
      </c>
      <c r="AB114" s="87">
        <v>4</v>
      </c>
      <c r="AC114" s="50">
        <v>1</v>
      </c>
      <c r="AD114" s="51">
        <v>1</v>
      </c>
      <c r="AE114" s="87">
        <v>2</v>
      </c>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2</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1</v>
      </c>
      <c r="AD116" s="51">
        <v>0</v>
      </c>
      <c r="AE116" s="91"/>
      <c r="AF116" s="92" t="str">
        <f t="shared" ca="1" si="293"/>
        <v>Senegal</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Corea del Sur</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Corea del Sur</v>
      </c>
      <c r="AB120" s="87">
        <v>4</v>
      </c>
      <c r="AC120" s="50">
        <v>1</v>
      </c>
      <c r="AD120" s="51">
        <v>1</v>
      </c>
      <c r="AE120" s="87">
        <v>3</v>
      </c>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6.05" customHeight="1">
      <c r="A121" s="16" t="s">
        <v>744</v>
      </c>
      <c r="B121" s="16" t="s">
        <v>745</v>
      </c>
      <c r="C121" s="16"/>
      <c r="D121" s="16" t="str">
        <f t="shared" ca="1" si="317"/>
        <v>Alemania</v>
      </c>
      <c r="E121" s="16">
        <v>73</v>
      </c>
      <c r="F121" s="16">
        <v>75</v>
      </c>
      <c r="G121" s="16"/>
      <c r="H121" s="16"/>
      <c r="I121" s="16"/>
      <c r="J121" s="16">
        <v>90</v>
      </c>
      <c r="K121" s="16">
        <v>46207.875</v>
      </c>
      <c r="L121" s="16" t="s">
        <v>714</v>
      </c>
      <c r="M121" s="16" t="str">
        <f t="shared" ca="1" si="318"/>
        <v>Corea del Sur</v>
      </c>
      <c r="N121" s="16" t="str">
        <f t="shared" ca="1" si="318"/>
        <v>Marruecos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2</v>
      </c>
      <c r="AD121" s="51">
        <v>1</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6.0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Ecuador</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2</v>
      </c>
      <c r="AD122" s="51">
        <v>0</v>
      </c>
      <c r="AE122" s="87"/>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0</v>
      </c>
      <c r="AD123" s="51">
        <v>1</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3I</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0</v>
      </c>
      <c r="AD124" s="51">
        <v>2</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3J</v>
      </c>
    </row>
    <row r="125" spans="1:59" ht="16.05" customHeight="1">
      <c r="A125" s="16" t="s">
        <v>752</v>
      </c>
      <c r="B125" s="16" t="s">
        <v>753</v>
      </c>
      <c r="C125" s="16"/>
      <c r="D125" s="16" t="str">
        <f t="shared" ca="1" si="317"/>
        <v>Paraguay</v>
      </c>
      <c r="E125" s="16">
        <v>81</v>
      </c>
      <c r="F125" s="16">
        <v>82</v>
      </c>
      <c r="G125" s="16"/>
      <c r="H125" s="16"/>
      <c r="I125" s="16"/>
      <c r="J125" s="16">
        <v>94</v>
      </c>
      <c r="K125" s="16">
        <v>46209.875</v>
      </c>
      <c r="L125" s="16" t="s">
        <v>718</v>
      </c>
      <c r="M125" s="16" t="str">
        <f t="shared" ca="1" si="318"/>
        <v>Paraguay</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Paraguay</v>
      </c>
      <c r="AB125" s="87"/>
      <c r="AC125" s="50">
        <v>2</v>
      </c>
      <c r="AD125" s="51">
        <v>1</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Turquía</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2</v>
      </c>
      <c r="AD126" s="51">
        <v>0</v>
      </c>
      <c r="AE126" s="87"/>
      <c r="AF126" s="89" t="str">
        <f t="shared" ca="1" si="321"/>
        <v>Turquía</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Suiza</v>
      </c>
      <c r="AB127" s="91"/>
      <c r="AC127" s="50">
        <v>1</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721</v>
      </c>
      <c r="M131" s="16" t="str">
        <f t="shared" ref="M131:N134" ca="1" si="323">+INDEX($D$101:$D$147,MATCH(E131,$AH$101:$AH$147,0))</f>
        <v>Alemania</v>
      </c>
      <c r="N131" s="16" t="str">
        <f t="shared" ca="1" si="323"/>
        <v>Corea del Sur</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Alemania</v>
      </c>
      <c r="AB131" s="93"/>
      <c r="AC131" s="50">
        <v>1</v>
      </c>
      <c r="AD131" s="51">
        <v>0</v>
      </c>
      <c r="AE131" s="88"/>
      <c r="AF131" s="106" t="str">
        <f ca="1">+INDEX($N$101:$N$147,MATCH(AH131,$J$101:$J$147,0))</f>
        <v>Corea del Sur</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Paraguay</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2</v>
      </c>
      <c r="AD132" s="51">
        <v>0</v>
      </c>
      <c r="AE132" s="87"/>
      <c r="AF132" s="106" t="str">
        <f ca="1">+INDEX($N$101:$N$147,MATCH(AH132,$J$101:$J$147,0))</f>
        <v>Paraguay</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v>2</v>
      </c>
      <c r="AC133" s="50">
        <v>1</v>
      </c>
      <c r="AD133" s="51">
        <v>1</v>
      </c>
      <c r="AE133" s="87">
        <v>4</v>
      </c>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0</v>
      </c>
      <c r="AD134" s="51">
        <v>1</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Alemania</v>
      </c>
      <c r="I138" s="16"/>
      <c r="J138" s="16">
        <v>101</v>
      </c>
      <c r="K138" s="16">
        <v>46217.875</v>
      </c>
      <c r="L138" s="16" t="s">
        <v>725</v>
      </c>
      <c r="M138" s="16" t="str">
        <f ca="1">+INDEX($D$101:$D$147,MATCH(E138,$AH$101:$AH$147,0))</f>
        <v>Alemania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Alemania</v>
      </c>
      <c r="AB138" s="87"/>
      <c r="AC138" s="50">
        <v>0</v>
      </c>
      <c r="AD138" s="51">
        <v>1</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Inglaterra</v>
      </c>
      <c r="AB139" s="130"/>
      <c r="AC139" s="50">
        <v>1</v>
      </c>
      <c r="AD139" s="51">
        <v>2</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Alemania</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Alemania</v>
      </c>
      <c r="AB143" s="206"/>
      <c r="AC143" s="97">
        <v>1</v>
      </c>
      <c r="AD143" s="97">
        <v>0</v>
      </c>
      <c r="AE143" s="206"/>
      <c r="AF143" s="98" t="str">
        <f ca="1">IF(AND(OR(AC139="",AD139="")),"L102",IF(AC139&gt;AD139,AF139,IF(AC139&lt;AD139,AA139,IF(AND(AC139=AD139,AB139=AE139),"L102",IF(AND(AC139=AD139,OR(AB139="",AE139="")),"L102",IF(AND(AC139=AD139,AB139&gt;AE139),AF139,AA139))))))</f>
        <v>Inglaterra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3</v>
      </c>
      <c r="AD147" s="97">
        <v>2</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Portugal</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Alemania</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0</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1</v>
      </c>
      <c r="E4" s="7">
        <f>WORLDCUP!AD6</f>
        <v>0</v>
      </c>
    </row>
    <row r="5" spans="1:6">
      <c r="A5" s="7">
        <v>4</v>
      </c>
      <c r="B5" s="608" t="str">
        <f ca="1">WORLDCUP!AA7</f>
        <v>México</v>
      </c>
      <c r="C5" t="str">
        <f ca="1">WORLDCUP!AF7</f>
        <v>Corea del Sur</v>
      </c>
      <c r="D5" s="7">
        <f>WORLDCUP!AC7</f>
        <v>2</v>
      </c>
      <c r="E5" s="7">
        <f>WORLDCUP!AD7</f>
        <v>2</v>
      </c>
    </row>
    <row r="6" spans="1:6">
      <c r="A6" s="7">
        <v>5</v>
      </c>
      <c r="B6" s="608" t="str">
        <f ca="1">WORLDCUP!AA8</f>
        <v>República Checa</v>
      </c>
      <c r="C6" t="str">
        <f ca="1">WORLDCUP!AF8</f>
        <v>México</v>
      </c>
      <c r="D6" s="7">
        <f>WORLDCUP!AC8</f>
        <v>1</v>
      </c>
      <c r="E6" s="7">
        <f>WORLDCUP!AD8</f>
        <v>2</v>
      </c>
    </row>
    <row r="7" spans="1:6">
      <c r="A7" s="7">
        <v>6</v>
      </c>
      <c r="B7" s="608" t="str">
        <f ca="1">WORLDCUP!AA9</f>
        <v>Sudáfrica</v>
      </c>
      <c r="C7" t="str">
        <f ca="1">WORLDCUP!AF9</f>
        <v>Corea del Sur</v>
      </c>
      <c r="D7" s="7">
        <f>WORLDCUP!AC9</f>
        <v>0</v>
      </c>
      <c r="E7" s="7">
        <f>WORLDCUP!AD9</f>
        <v>2</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0</v>
      </c>
      <c r="E9" s="7">
        <f>WORLDCUP!AD13</f>
        <v>3</v>
      </c>
    </row>
    <row r="10" spans="1:6">
      <c r="A10" s="7">
        <v>9</v>
      </c>
      <c r="B10" s="608" t="str">
        <f ca="1">WORLDCUP!AA14</f>
        <v>Suiza</v>
      </c>
      <c r="C10" t="str">
        <f ca="1">WORLDCUP!AF14</f>
        <v>Bosnia y Herzegovina</v>
      </c>
      <c r="D10" s="7">
        <f>WORLDCUP!AC14</f>
        <v>1</v>
      </c>
      <c r="E10" s="7">
        <f>WORLDCUP!AD14</f>
        <v>0</v>
      </c>
    </row>
    <row r="11" spans="1:6">
      <c r="A11" s="7">
        <v>10</v>
      </c>
      <c r="B11" s="608" t="str">
        <f ca="1">WORLDCUP!AA15</f>
        <v>Canadá</v>
      </c>
      <c r="C11" t="str">
        <f ca="1">WORLDCUP!AF15</f>
        <v>Catar</v>
      </c>
      <c r="D11" s="7">
        <f>WORLDCUP!AC15</f>
        <v>2</v>
      </c>
      <c r="E11" s="7">
        <f>WORLDCUP!AD15</f>
        <v>0</v>
      </c>
    </row>
    <row r="12" spans="1:6">
      <c r="A12" s="7">
        <v>11</v>
      </c>
      <c r="B12" s="608" t="str">
        <f ca="1">WORLDCUP!AA16</f>
        <v>Suiza</v>
      </c>
      <c r="C12" t="str">
        <f ca="1">WORLDCUP!AF16</f>
        <v>Canadá</v>
      </c>
      <c r="D12" s="7">
        <f>WORLDCUP!AC16</f>
        <v>2</v>
      </c>
      <c r="E12" s="7">
        <f>WORLDCUP!AD16</f>
        <v>1</v>
      </c>
    </row>
    <row r="13" spans="1:6">
      <c r="A13" s="7">
        <v>12</v>
      </c>
      <c r="B13" s="608" t="str">
        <f ca="1">WORLDCUP!AA17</f>
        <v>Bosnia y Herzegovina</v>
      </c>
      <c r="C13" t="str">
        <f ca="1">WORLDCUP!AF17</f>
        <v>Catar</v>
      </c>
      <c r="D13" s="7">
        <f>WORLDCUP!AC17</f>
        <v>1</v>
      </c>
      <c r="E13" s="7">
        <f>WORLDCUP!AD17</f>
        <v>0</v>
      </c>
    </row>
    <row r="14" spans="1:6">
      <c r="A14" s="7">
        <v>13</v>
      </c>
      <c r="B14" s="608" t="str">
        <f ca="1">WORLDCUP!AA20</f>
        <v>Brasil</v>
      </c>
      <c r="C14" t="str">
        <f ca="1">WORLDCUP!AF20</f>
        <v>Marruecos</v>
      </c>
      <c r="D14" s="7">
        <f>WORLDCUP!AC20</f>
        <v>1</v>
      </c>
      <c r="E14" s="7">
        <f>WORLDCUP!AD20</f>
        <v>1</v>
      </c>
    </row>
    <row r="15" spans="1:6">
      <c r="A15" s="7">
        <v>14</v>
      </c>
      <c r="B15" s="608" t="str">
        <f ca="1">WORLDCUP!AA21</f>
        <v>Haití</v>
      </c>
      <c r="C15" t="str">
        <f ca="1">WORLDCUP!AF21</f>
        <v>Escocia</v>
      </c>
      <c r="D15" s="7">
        <f>WORLDCUP!AC21</f>
        <v>0</v>
      </c>
      <c r="E15" s="7">
        <f>WORLDCUP!AD21</f>
        <v>1</v>
      </c>
    </row>
    <row r="16" spans="1:6">
      <c r="A16" s="7">
        <v>15</v>
      </c>
      <c r="B16" s="608" t="str">
        <f ca="1">WORLDCUP!AA22</f>
        <v>Escocia</v>
      </c>
      <c r="C16" t="str">
        <f ca="1">WORLDCUP!AF22</f>
        <v>Marruecos</v>
      </c>
      <c r="D16" s="7">
        <f>WORLDCUP!AC22</f>
        <v>0</v>
      </c>
      <c r="E16" s="7">
        <f>WORLDCUP!AD22</f>
        <v>2</v>
      </c>
    </row>
    <row r="17" spans="1:5">
      <c r="A17" s="7">
        <v>16</v>
      </c>
      <c r="B17" s="608" t="str">
        <f ca="1">WORLDCUP!AA23</f>
        <v>Brasil</v>
      </c>
      <c r="C17" t="str">
        <f ca="1">WORLDCUP!AF23</f>
        <v>Haití</v>
      </c>
      <c r="D17" s="7">
        <f>WORLDCUP!AC23</f>
        <v>5</v>
      </c>
      <c r="E17" s="7">
        <f>WORLDCUP!AD23</f>
        <v>0</v>
      </c>
    </row>
    <row r="18" spans="1:5">
      <c r="A18" s="7">
        <v>17</v>
      </c>
      <c r="B18" s="608" t="str">
        <f ca="1">WORLDCUP!AA24</f>
        <v>Escocia</v>
      </c>
      <c r="C18" t="str">
        <f ca="1">WORLDCUP!AF24</f>
        <v>Brasil</v>
      </c>
      <c r="D18" s="7">
        <f>WORLDCUP!AC24</f>
        <v>0</v>
      </c>
      <c r="E18" s="7">
        <f>WORLDCUP!AD24</f>
        <v>2</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0</v>
      </c>
      <c r="E20" s="7">
        <f>WORLDCUP!AD28</f>
        <v>2</v>
      </c>
    </row>
    <row r="21" spans="1:5">
      <c r="A21" s="7">
        <v>20</v>
      </c>
      <c r="B21" s="608" t="str">
        <f ca="1">WORLDCUP!AA29</f>
        <v>Australia</v>
      </c>
      <c r="C21" t="str">
        <f ca="1">WORLDCUP!AF29</f>
        <v>Turquía</v>
      </c>
      <c r="D21" s="7">
        <f>WORLDCUP!AC29</f>
        <v>0</v>
      </c>
      <c r="E21" s="7">
        <f>WORLDCUP!AD29</f>
        <v>2</v>
      </c>
    </row>
    <row r="22" spans="1:5">
      <c r="A22" s="7">
        <v>21</v>
      </c>
      <c r="B22" s="608" t="str">
        <f ca="1">WORLDCUP!AA30</f>
        <v>Estados Unidos</v>
      </c>
      <c r="C22" t="str">
        <f ca="1">WORLDCUP!AF30</f>
        <v>Australia</v>
      </c>
      <c r="D22" s="7">
        <f>WORLDCUP!AC30</f>
        <v>1</v>
      </c>
      <c r="E22" s="7">
        <f>WORLDCUP!AD30</f>
        <v>0</v>
      </c>
    </row>
    <row r="23" spans="1:5">
      <c r="A23" s="7">
        <v>22</v>
      </c>
      <c r="B23" s="608" t="str">
        <f ca="1">WORLDCUP!AA31</f>
        <v>Turquía</v>
      </c>
      <c r="C23" t="str">
        <f ca="1">WORLDCUP!AF31</f>
        <v>Paraguay</v>
      </c>
      <c r="D23" s="7">
        <f>WORLDCUP!AC31</f>
        <v>1</v>
      </c>
      <c r="E23" s="7">
        <f>WORLDCUP!AD31</f>
        <v>2</v>
      </c>
    </row>
    <row r="24" spans="1:5">
      <c r="A24" s="7">
        <v>23</v>
      </c>
      <c r="B24" s="608" t="str">
        <f ca="1">WORLDCUP!AA32</f>
        <v>Turquía</v>
      </c>
      <c r="C24" t="str">
        <f ca="1">WORLDCUP!AF32</f>
        <v>Estados Unidos</v>
      </c>
      <c r="D24" s="7">
        <f>WORLDCUP!AC32</f>
        <v>1</v>
      </c>
      <c r="E24" s="7">
        <f>WORLDCUP!AD32</f>
        <v>0</v>
      </c>
    </row>
    <row r="25" spans="1:5">
      <c r="A25" s="7">
        <v>24</v>
      </c>
      <c r="B25" s="608" t="str">
        <f ca="1">WORLDCUP!AA33</f>
        <v>Paraguay</v>
      </c>
      <c r="C25" t="str">
        <f ca="1">WORLDCUP!AF33</f>
        <v>Australia</v>
      </c>
      <c r="D25" s="7">
        <f>WORLDCUP!AC33</f>
        <v>1</v>
      </c>
      <c r="E25" s="7">
        <f>WORLDCUP!AD33</f>
        <v>0</v>
      </c>
    </row>
    <row r="26" spans="1:5">
      <c r="A26" s="7">
        <v>25</v>
      </c>
      <c r="B26" s="608" t="str">
        <f ca="1">WORLDCUP!AA36</f>
        <v>Alemania</v>
      </c>
      <c r="C26" t="str">
        <f ca="1">WORLDCUP!AF36</f>
        <v>Curazao</v>
      </c>
      <c r="D26" s="7">
        <f>WORLDCUP!AC36</f>
        <v>5</v>
      </c>
      <c r="E26" s="7">
        <f>WORLDCUP!AD36</f>
        <v>0</v>
      </c>
    </row>
    <row r="27" spans="1:5">
      <c r="A27" s="7">
        <v>26</v>
      </c>
      <c r="B27" s="608" t="str">
        <f ca="1">WORLDCUP!AA37</f>
        <v>Costa de Marfil</v>
      </c>
      <c r="C27" t="str">
        <f ca="1">WORLDCUP!AF37</f>
        <v>Ecuador</v>
      </c>
      <c r="D27" s="7">
        <f>WORLDCUP!AC37</f>
        <v>1</v>
      </c>
      <c r="E27" s="7">
        <f>WORLDCUP!AD37</f>
        <v>2</v>
      </c>
    </row>
    <row r="28" spans="1:5">
      <c r="A28" s="7">
        <v>27</v>
      </c>
      <c r="B28" s="608" t="str">
        <f ca="1">WORLDCUP!AA38</f>
        <v>Alemania</v>
      </c>
      <c r="C28" t="str">
        <f ca="1">WORLDCUP!AF38</f>
        <v>Costa de Marfil</v>
      </c>
      <c r="D28" s="7">
        <f>WORLDCUP!AC38</f>
        <v>2</v>
      </c>
      <c r="E28" s="7">
        <f>WORLDCUP!AD38</f>
        <v>0</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0</v>
      </c>
      <c r="E30" s="7">
        <f>WORLDCUP!AD40</f>
        <v>2</v>
      </c>
    </row>
    <row r="31" spans="1:5">
      <c r="A31" s="7">
        <v>30</v>
      </c>
      <c r="B31" s="608" t="str">
        <f ca="1">WORLDCUP!AA41</f>
        <v>Ecuador</v>
      </c>
      <c r="C31" t="str">
        <f ca="1">WORLDCUP!AF41</f>
        <v>Alemania</v>
      </c>
      <c r="D31" s="7">
        <f>WORLDCUP!AC41</f>
        <v>1</v>
      </c>
      <c r="E31" s="7">
        <f>WORLDCUP!AD41</f>
        <v>2</v>
      </c>
    </row>
    <row r="32" spans="1:5">
      <c r="A32" s="7">
        <v>31</v>
      </c>
      <c r="B32" s="608" t="str">
        <f ca="1">WORLDCUP!AA44</f>
        <v>Países Bajos</v>
      </c>
      <c r="C32" t="str">
        <f ca="1">WORLDCUP!AF44</f>
        <v>Japón</v>
      </c>
      <c r="D32" s="7">
        <f>WORLDCUP!AC44</f>
        <v>1</v>
      </c>
      <c r="E32" s="7">
        <f>WORLDCUP!AD44</f>
        <v>1</v>
      </c>
    </row>
    <row r="33" spans="1:5">
      <c r="A33" s="7">
        <v>32</v>
      </c>
      <c r="B33" s="608" t="str">
        <f ca="1">WORLDCUP!AA45</f>
        <v>Suecia</v>
      </c>
      <c r="C33" t="str">
        <f ca="1">WORLDCUP!AF45</f>
        <v>Túnez</v>
      </c>
      <c r="D33" s="7">
        <f>WORLDCUP!AC45</f>
        <v>2</v>
      </c>
      <c r="E33" s="7">
        <f>WORLDCUP!AD45</f>
        <v>0</v>
      </c>
    </row>
    <row r="34" spans="1:5">
      <c r="A34" s="7">
        <v>33</v>
      </c>
      <c r="B34" s="608" t="str">
        <f ca="1">WORLDCUP!AA46</f>
        <v>Países Bajos</v>
      </c>
      <c r="C34" t="str">
        <f ca="1">WORLDCUP!AF46</f>
        <v>Suecia</v>
      </c>
      <c r="D34" s="7">
        <f>WORLDCUP!AC46</f>
        <v>2</v>
      </c>
      <c r="E34" s="7">
        <f>WORLDCUP!AD46</f>
        <v>0</v>
      </c>
    </row>
    <row r="35" spans="1:5">
      <c r="A35" s="7">
        <v>34</v>
      </c>
      <c r="B35" s="608" t="str">
        <f ca="1">WORLDCUP!AA47</f>
        <v>Túnez</v>
      </c>
      <c r="C35" t="str">
        <f ca="1">WORLDCUP!AF47</f>
        <v>Japón</v>
      </c>
      <c r="D35" s="7">
        <f>WORLDCUP!AC47</f>
        <v>0</v>
      </c>
      <c r="E35" s="7">
        <f>WORLDCUP!AD47</f>
        <v>3</v>
      </c>
    </row>
    <row r="36" spans="1:5">
      <c r="A36" s="7">
        <v>35</v>
      </c>
      <c r="B36" s="608" t="str">
        <f ca="1">WORLDCUP!AA48</f>
        <v>Japón</v>
      </c>
      <c r="C36" t="str">
        <f ca="1">WORLDCUP!AF48</f>
        <v>Suecia</v>
      </c>
      <c r="D36" s="7">
        <f>WORLDCUP!AC48</f>
        <v>2</v>
      </c>
      <c r="E36" s="7">
        <f>WORLDCUP!AD48</f>
        <v>1</v>
      </c>
    </row>
    <row r="37" spans="1:5">
      <c r="A37" s="7">
        <v>36</v>
      </c>
      <c r="B37" s="608" t="str">
        <f ca="1">WORLDCUP!AA49</f>
        <v>Túnez</v>
      </c>
      <c r="C37" t="str">
        <f ca="1">WORLDCUP!AF49</f>
        <v>Países Bajos</v>
      </c>
      <c r="D37" s="7">
        <f>WORLDCUP!AC49</f>
        <v>0</v>
      </c>
      <c r="E37" s="7">
        <f>WORLDCUP!AD49</f>
        <v>1</v>
      </c>
    </row>
    <row r="38" spans="1:5">
      <c r="A38" s="7">
        <v>37</v>
      </c>
      <c r="B38" s="608" t="str">
        <f ca="1">WORLDCUP!AA52</f>
        <v>Bélgica</v>
      </c>
      <c r="C38" t="str">
        <f ca="1">WORLDCUP!AF52</f>
        <v>Egipto</v>
      </c>
      <c r="D38" s="7">
        <f>WORLDCUP!AC52</f>
        <v>1</v>
      </c>
      <c r="E38" s="7">
        <f>WORLDCUP!AD52</f>
        <v>1</v>
      </c>
    </row>
    <row r="39" spans="1:5">
      <c r="A39" s="7">
        <v>38</v>
      </c>
      <c r="B39" s="608" t="str">
        <f ca="1">WORLDCUP!AA53</f>
        <v>Irán</v>
      </c>
      <c r="C39" t="str">
        <f ca="1">WORLDCUP!AF53</f>
        <v>Nueva Zelanda</v>
      </c>
      <c r="D39" s="7">
        <f>WORLDCUP!AC53</f>
        <v>1</v>
      </c>
      <c r="E39" s="7">
        <f>WORLDCUP!AD53</f>
        <v>0</v>
      </c>
    </row>
    <row r="40" spans="1:5">
      <c r="A40" s="7">
        <v>39</v>
      </c>
      <c r="B40" s="608" t="str">
        <f ca="1">WORLDCUP!AA54</f>
        <v>Bélgica</v>
      </c>
      <c r="C40" t="str">
        <f ca="1">WORLDCUP!AF54</f>
        <v>Irán</v>
      </c>
      <c r="D40" s="7">
        <f>WORLDCUP!AC54</f>
        <v>2</v>
      </c>
      <c r="E40" s="7">
        <f>WORLDCUP!AD54</f>
        <v>1</v>
      </c>
    </row>
    <row r="41" spans="1:5">
      <c r="A41" s="7">
        <v>40</v>
      </c>
      <c r="B41" s="608" t="str">
        <f ca="1">WORLDCUP!AA55</f>
        <v>Nueva Zelanda</v>
      </c>
      <c r="C41" t="str">
        <f ca="1">WORLDCUP!AF55</f>
        <v>Egipto</v>
      </c>
      <c r="D41" s="7">
        <f>WORLDCUP!AC55</f>
        <v>0</v>
      </c>
      <c r="E41" s="7">
        <f>WORLDCUP!AD55</f>
        <v>2</v>
      </c>
    </row>
    <row r="42" spans="1:5">
      <c r="A42" s="7">
        <v>41</v>
      </c>
      <c r="B42" s="608" t="str">
        <f ca="1">WORLDCUP!AA56</f>
        <v>Egipto</v>
      </c>
      <c r="C42" t="str">
        <f ca="1">WORLDCUP!AF56</f>
        <v>Irán</v>
      </c>
      <c r="D42" s="7">
        <f>WORLDCUP!AC56</f>
        <v>1</v>
      </c>
      <c r="E42" s="7">
        <f>WORLDCUP!AD56</f>
        <v>1</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5</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3</v>
      </c>
      <c r="E46" s="7">
        <f>WORLDCUP!AD62</f>
        <v>0</v>
      </c>
    </row>
    <row r="47" spans="1:5">
      <c r="A47" s="7">
        <v>46</v>
      </c>
      <c r="B47" s="608" t="str">
        <f ca="1">WORLDCUP!AA63</f>
        <v>Uruguay</v>
      </c>
      <c r="C47" t="str">
        <f ca="1">WORLDCUP!AF63</f>
        <v>Cabo Verde</v>
      </c>
      <c r="D47" s="7">
        <f>WORLDCUP!AC63</f>
        <v>3</v>
      </c>
      <c r="E47" s="7">
        <f>WORLDCUP!AD63</f>
        <v>0</v>
      </c>
    </row>
    <row r="48" spans="1:5">
      <c r="A48" s="7">
        <v>47</v>
      </c>
      <c r="B48" s="608" t="str">
        <f ca="1">WORLDCUP!AA64</f>
        <v>Cabo Verde</v>
      </c>
      <c r="C48" t="str">
        <f ca="1">WORLDCUP!AF64</f>
        <v>Arabia Saudita</v>
      </c>
      <c r="D48" s="7">
        <f>WORLDCUP!AC64</f>
        <v>1</v>
      </c>
      <c r="E48" s="7">
        <f>WORLDCUP!AD64</f>
        <v>2</v>
      </c>
    </row>
    <row r="49" spans="1:5">
      <c r="A49" s="7">
        <v>48</v>
      </c>
      <c r="B49" s="608" t="str">
        <f ca="1">WORLDCUP!AA65</f>
        <v>Uruguay</v>
      </c>
      <c r="C49" t="str">
        <f ca="1">WORLDCUP!AF65</f>
        <v>España</v>
      </c>
      <c r="D49" s="7">
        <f>WORLDCUP!AC65</f>
        <v>1</v>
      </c>
      <c r="E49" s="7">
        <f>WORLDCUP!AD65</f>
        <v>2</v>
      </c>
    </row>
    <row r="50" spans="1:5">
      <c r="A50" s="7">
        <v>49</v>
      </c>
      <c r="B50" s="608" t="str">
        <f ca="1">WORLDCUP!AA68</f>
        <v>Francia</v>
      </c>
      <c r="C50" t="str">
        <f ca="1">WORLDCUP!AF68</f>
        <v>Senegal</v>
      </c>
      <c r="D50" s="7">
        <f>WORLDCUP!AC68</f>
        <v>1</v>
      </c>
      <c r="E50" s="7">
        <f>WORLDCUP!AD68</f>
        <v>1</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2</v>
      </c>
      <c r="E53" s="7">
        <f>WORLDCUP!AD71</f>
        <v>1</v>
      </c>
    </row>
    <row r="54" spans="1:5">
      <c r="A54" s="7">
        <v>53</v>
      </c>
      <c r="B54" s="608" t="str">
        <f ca="1">WORLDCUP!AA72</f>
        <v>Noruega</v>
      </c>
      <c r="C54" t="str">
        <f ca="1">WORLDCUP!AF72</f>
        <v>Francia</v>
      </c>
      <c r="D54" s="7">
        <f>WORLDCUP!AC72</f>
        <v>1</v>
      </c>
      <c r="E54" s="7">
        <f>WORLDCUP!AD72</f>
        <v>2</v>
      </c>
    </row>
    <row r="55" spans="1:5">
      <c r="A55" s="7">
        <v>54</v>
      </c>
      <c r="B55" s="608" t="str">
        <f ca="1">WORLDCUP!AA73</f>
        <v>Senegal</v>
      </c>
      <c r="C55" t="str">
        <f ca="1">WORLDCUP!AF73</f>
        <v>Irak</v>
      </c>
      <c r="D55" s="7">
        <f>WORLDCUP!AC73</f>
        <v>2</v>
      </c>
      <c r="E55" s="7">
        <f>WORLDCUP!AD73</f>
        <v>0</v>
      </c>
    </row>
    <row r="56" spans="1:5">
      <c r="A56" s="7">
        <v>55</v>
      </c>
      <c r="B56" s="608" t="str">
        <f ca="1">WORLDCUP!AA76</f>
        <v>Argentina</v>
      </c>
      <c r="C56" t="str">
        <f ca="1">WORLDCUP!AF76</f>
        <v>Argelia</v>
      </c>
      <c r="D56" s="7">
        <f>WORLDCUP!AC76</f>
        <v>2</v>
      </c>
      <c r="E56" s="7">
        <f>WORLDCUP!AD76</f>
        <v>0</v>
      </c>
    </row>
    <row r="57" spans="1:5">
      <c r="A57" s="7">
        <v>56</v>
      </c>
      <c r="B57" s="608" t="str">
        <f ca="1">WORLDCUP!AA77</f>
        <v>Austria</v>
      </c>
      <c r="C57" t="str">
        <f ca="1">WORLDCUP!AF77</f>
        <v>Jordania</v>
      </c>
      <c r="D57" s="7">
        <f>WORLDCUP!AC77</f>
        <v>1</v>
      </c>
      <c r="E57" s="7">
        <f>WORLDCUP!AD77</f>
        <v>1</v>
      </c>
    </row>
    <row r="58" spans="1:5">
      <c r="A58" s="7">
        <v>57</v>
      </c>
      <c r="B58" s="608" t="str">
        <f ca="1">WORLDCUP!AA78</f>
        <v>Argentina</v>
      </c>
      <c r="C58" t="str">
        <f ca="1">WORLDCUP!AF78</f>
        <v>Austria</v>
      </c>
      <c r="D58" s="7">
        <f>WORLDCUP!AC78</f>
        <v>1</v>
      </c>
      <c r="E58" s="7">
        <f>WORLDCUP!AD78</f>
        <v>0</v>
      </c>
    </row>
    <row r="59" spans="1:5">
      <c r="A59" s="7">
        <v>58</v>
      </c>
      <c r="B59" s="608" t="str">
        <f ca="1">WORLDCUP!AA79</f>
        <v>Jordania</v>
      </c>
      <c r="C59" t="str">
        <f ca="1">WORLDCUP!AF79</f>
        <v>Argelia</v>
      </c>
      <c r="D59" s="7">
        <f>WORLDCUP!AC79</f>
        <v>2</v>
      </c>
      <c r="E59" s="7">
        <f>WORLDCUP!AD79</f>
        <v>1</v>
      </c>
    </row>
    <row r="60" spans="1:5">
      <c r="A60" s="7">
        <v>59</v>
      </c>
      <c r="B60" s="608" t="str">
        <f ca="1">WORLDCUP!AA80</f>
        <v>Argelia</v>
      </c>
      <c r="C60" t="str">
        <f ca="1">WORLDCUP!AF80</f>
        <v>Austria</v>
      </c>
      <c r="D60" s="7">
        <f>WORLDCUP!AC80</f>
        <v>1</v>
      </c>
      <c r="E60" s="7">
        <f>WORLDCUP!AD80</f>
        <v>2</v>
      </c>
    </row>
    <row r="61" spans="1:5">
      <c r="A61" s="7">
        <v>60</v>
      </c>
      <c r="B61" s="608" t="str">
        <f ca="1">WORLDCUP!AA81</f>
        <v>Jordania</v>
      </c>
      <c r="C61" t="str">
        <f ca="1">WORLDCUP!AF81</f>
        <v>Argentina</v>
      </c>
      <c r="D61" s="7">
        <f>WORLDCUP!AC81</f>
        <v>0</v>
      </c>
      <c r="E61" s="7">
        <f>WORLDCUP!AD81</f>
        <v>1</v>
      </c>
    </row>
    <row r="62" spans="1:5">
      <c r="A62" s="7">
        <v>61</v>
      </c>
      <c r="B62" s="608" t="str">
        <f ca="1">WORLDCUP!AA84</f>
        <v>Portugal</v>
      </c>
      <c r="C62" t="str">
        <f ca="1">WORLDCUP!AF84</f>
        <v>RD Congo</v>
      </c>
      <c r="D62" s="7">
        <f>WORLDCUP!AC84</f>
        <v>2</v>
      </c>
      <c r="E62" s="7">
        <f>WORLDCUP!AD84</f>
        <v>0</v>
      </c>
    </row>
    <row r="63" spans="1:5">
      <c r="A63" s="7">
        <v>62</v>
      </c>
      <c r="B63" s="608" t="str">
        <f ca="1">WORLDCUP!AA85</f>
        <v>Uzbekistán</v>
      </c>
      <c r="C63" t="str">
        <f ca="1">WORLDCUP!AF85</f>
        <v>Colombia</v>
      </c>
      <c r="D63" s="7">
        <f>WORLDCUP!AC85</f>
        <v>0</v>
      </c>
      <c r="E63" s="7">
        <f>WORLDCUP!AD85</f>
        <v>2</v>
      </c>
    </row>
    <row r="64" spans="1:5">
      <c r="A64" s="7">
        <v>63</v>
      </c>
      <c r="B64" s="608" t="str">
        <f ca="1">WORLDCUP!AA86</f>
        <v>Portugal</v>
      </c>
      <c r="C64" t="str">
        <f ca="1">WORLDCUP!AF86</f>
        <v>Uzbekistán</v>
      </c>
      <c r="D64" s="7">
        <f>WORLDCUP!AC86</f>
        <v>3</v>
      </c>
      <c r="E64" s="7">
        <f>WORLDCUP!AD86</f>
        <v>0</v>
      </c>
    </row>
    <row r="65" spans="1:5">
      <c r="A65" s="7">
        <v>64</v>
      </c>
      <c r="B65" s="608" t="str">
        <f ca="1">WORLDCUP!AA87</f>
        <v>Colombia</v>
      </c>
      <c r="C65" t="str">
        <f ca="1">WORLDCUP!AF87</f>
        <v>RD Congo</v>
      </c>
      <c r="D65" s="7">
        <f>WORLDCUP!AC87</f>
        <v>2</v>
      </c>
      <c r="E65" s="7">
        <f>WORLDCUP!AD87</f>
        <v>0</v>
      </c>
    </row>
    <row r="66" spans="1:5">
      <c r="A66" s="7">
        <v>65</v>
      </c>
      <c r="B66" s="608" t="str">
        <f ca="1">WORLDCUP!AA88</f>
        <v>Colombia</v>
      </c>
      <c r="C66" t="str">
        <f ca="1">WORLDCUP!AF88</f>
        <v>Portugal</v>
      </c>
      <c r="D66" s="7">
        <f>WORLDCUP!AC88</f>
        <v>1</v>
      </c>
      <c r="E66" s="7">
        <f>WORLDCUP!AD88</f>
        <v>2</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1</v>
      </c>
      <c r="E68" s="7">
        <f>WORLDCUP!AD92</f>
        <v>1</v>
      </c>
    </row>
    <row r="69" spans="1:5">
      <c r="A69" s="7">
        <v>68</v>
      </c>
      <c r="B69" s="608" t="str">
        <f ca="1">WORLDCUP!AA93</f>
        <v>Ghana</v>
      </c>
      <c r="C69" t="str">
        <f ca="1">WORLDCUP!AF93</f>
        <v>Panamá</v>
      </c>
      <c r="D69" s="7">
        <f>WORLDCUP!AC93</f>
        <v>1</v>
      </c>
      <c r="E69" s="7">
        <f>WORLDCUP!AD93</f>
        <v>2</v>
      </c>
    </row>
    <row r="70" spans="1:5">
      <c r="A70" s="7">
        <v>69</v>
      </c>
      <c r="B70" s="608" t="str">
        <f ca="1">WORLDCUP!AA94</f>
        <v>Inglaterra</v>
      </c>
      <c r="C70" t="str">
        <f ca="1">WORLDCUP!AF94</f>
        <v>Ghana</v>
      </c>
      <c r="D70" s="7">
        <f>WORLDCUP!AC94</f>
        <v>1</v>
      </c>
      <c r="E70" s="7">
        <f>WORLDCUP!AD94</f>
        <v>0</v>
      </c>
    </row>
    <row r="71" spans="1:5">
      <c r="A71" s="7">
        <v>70</v>
      </c>
      <c r="B71" s="608" t="str">
        <f ca="1">WORLDCUP!AA95</f>
        <v>Panamá</v>
      </c>
      <c r="C71" t="str">
        <f ca="1">WORLDCUP!AF95</f>
        <v>Croacia</v>
      </c>
      <c r="D71" s="7">
        <f>WORLDCUP!AC95</f>
        <v>0</v>
      </c>
      <c r="E71" s="7">
        <f>WORLDCUP!AD95</f>
        <v>2</v>
      </c>
    </row>
    <row r="72" spans="1:5">
      <c r="A72" s="7">
        <v>71</v>
      </c>
      <c r="B72" s="608" t="str">
        <f ca="1">WORLDCUP!AA96</f>
        <v>Panamá</v>
      </c>
      <c r="C72" t="str">
        <f ca="1">WORLDCUP!AF96</f>
        <v>Inglaterra</v>
      </c>
      <c r="D72" s="7">
        <f>WORLDCUP!AC96</f>
        <v>0</v>
      </c>
      <c r="E72" s="7">
        <f>WORLDCUP!AD96</f>
        <v>2</v>
      </c>
    </row>
    <row r="73" spans="1:5">
      <c r="A73" s="7">
        <v>72</v>
      </c>
      <c r="B73" s="608" t="str">
        <f ca="1">WORLDCUP!AA97</f>
        <v>Croacia</v>
      </c>
      <c r="C73" t="str">
        <f ca="1">WORLDCUP!AF97</f>
        <v>Ghana</v>
      </c>
      <c r="D73" s="7">
        <f>WORLDCUP!AC97</f>
        <v>1</v>
      </c>
      <c r="E73" s="7">
        <f>WORLDCUP!AD97</f>
        <v>1</v>
      </c>
    </row>
    <row r="74" spans="1:5">
      <c r="A74" s="7">
        <v>73</v>
      </c>
      <c r="B74" s="608" t="str">
        <f ca="1">WORLDCUP!AA101</f>
        <v>Corea del Sur</v>
      </c>
      <c r="C74" t="str">
        <f ca="1">WORLDCUP!AF101</f>
        <v>Canadá</v>
      </c>
      <c r="D74" s="7">
        <f>WORLDCUP!AC101</f>
        <v>2</v>
      </c>
      <c r="E74" s="7">
        <f>WORLDCUP!AD101</f>
        <v>1</v>
      </c>
    </row>
    <row r="75" spans="1:5">
      <c r="A75" s="7">
        <v>74</v>
      </c>
      <c r="B75" s="608" t="str">
        <f ca="1">WORLDCUP!AA102</f>
        <v>Brasil</v>
      </c>
      <c r="C75" t="str">
        <f ca="1">WORLDCUP!AF102</f>
        <v>Países Bajos</v>
      </c>
      <c r="D75" s="7">
        <f>WORLDCUP!AC102</f>
        <v>2</v>
      </c>
      <c r="E75" s="7">
        <f>WORLDCUP!AD102</f>
        <v>0</v>
      </c>
    </row>
    <row r="76" spans="1:5">
      <c r="A76" s="7">
        <v>75</v>
      </c>
      <c r="B76" s="608" t="str">
        <f ca="1">WORLDCUP!AA103</f>
        <v>Alemania</v>
      </c>
      <c r="C76" t="str">
        <f ca="1">WORLDCUP!AF103</f>
        <v>Estados Unidos</v>
      </c>
      <c r="D76" s="7">
        <f>WORLDCUP!AC103</f>
        <v>3</v>
      </c>
      <c r="E76" s="7">
        <f>WORLDCUP!AD103</f>
        <v>0</v>
      </c>
    </row>
    <row r="77" spans="1:5">
      <c r="A77" s="7">
        <v>76</v>
      </c>
      <c r="B77" s="608" t="str">
        <f ca="1">WORLDCUP!AA104</f>
        <v>Japón</v>
      </c>
      <c r="C77" t="str">
        <f ca="1">WORLDCUP!AF104</f>
        <v>Marruecos</v>
      </c>
      <c r="D77" s="7">
        <f>WORLDCUP!AC104</f>
        <v>1</v>
      </c>
      <c r="E77" s="7">
        <f>WORLDCUP!AD104</f>
        <v>1</v>
      </c>
    </row>
    <row r="78" spans="1:5">
      <c r="A78" s="7">
        <v>77</v>
      </c>
      <c r="B78" s="608" t="str">
        <f ca="1">WORLDCUP!AA105</f>
        <v>Ecuador</v>
      </c>
      <c r="C78" t="str">
        <f ca="1">WORLDCUP!AF105</f>
        <v>Noruega</v>
      </c>
      <c r="D78" s="7">
        <f>WORLDCUP!AC105</f>
        <v>2</v>
      </c>
      <c r="E78" s="7">
        <f>WORLDCUP!AD105</f>
        <v>0</v>
      </c>
    </row>
    <row r="79" spans="1:5">
      <c r="A79" s="7">
        <v>78</v>
      </c>
      <c r="B79" s="608" t="str">
        <f ca="1">WORLDCUP!AA106</f>
        <v>Francia</v>
      </c>
      <c r="C79" t="str">
        <f ca="1">WORLDCUP!AF106</f>
        <v>Suecia</v>
      </c>
      <c r="D79" s="7">
        <f>WORLDCUP!AC106</f>
        <v>1</v>
      </c>
      <c r="E79" s="7">
        <f>WORLDCUP!AD106</f>
        <v>0</v>
      </c>
    </row>
    <row r="80" spans="1:5">
      <c r="A80" s="7">
        <v>79</v>
      </c>
      <c r="B80" s="608" t="str">
        <f ca="1">WORLDCUP!AA107</f>
        <v>México</v>
      </c>
      <c r="C80" t="str">
        <f ca="1">WORLDCUP!AF107</f>
        <v>Costa de Marfil</v>
      </c>
      <c r="D80" s="7">
        <f>WORLDCUP!AC107</f>
        <v>1</v>
      </c>
      <c r="E80" s="7">
        <f>WORLDCUP!AD107</f>
        <v>0</v>
      </c>
    </row>
    <row r="81" spans="1:5">
      <c r="A81" s="7">
        <v>80</v>
      </c>
      <c r="B81" s="608" t="str">
        <f ca="1">WORLDCUP!AA108</f>
        <v>Inglaterra</v>
      </c>
      <c r="C81" t="str">
        <f ca="1">WORLDCUP!AF108</f>
        <v>Austria</v>
      </c>
      <c r="D81" s="7">
        <f>WORLDCUP!AC108</f>
        <v>2</v>
      </c>
      <c r="E81" s="7">
        <f>WORLDCUP!AD108</f>
        <v>1</v>
      </c>
    </row>
    <row r="82" spans="1:5">
      <c r="A82" s="7">
        <v>81</v>
      </c>
      <c r="B82" s="608" t="str">
        <f ca="1">WORLDCUP!AA109</f>
        <v>Bélgica</v>
      </c>
      <c r="C82" t="str">
        <f ca="1">WORLDCUP!AF109</f>
        <v>República Checa</v>
      </c>
      <c r="D82" s="7">
        <f>WORLDCUP!AC109</f>
        <v>2</v>
      </c>
      <c r="E82" s="7">
        <f>WORLDCUP!AD109</f>
        <v>0</v>
      </c>
    </row>
    <row r="83" spans="1:5">
      <c r="A83" s="7">
        <v>82</v>
      </c>
      <c r="B83" s="608" t="str">
        <f ca="1">WORLDCUP!AA110</f>
        <v>Paraguay</v>
      </c>
      <c r="C83" t="str">
        <f ca="1">WORLDCUP!AF110</f>
        <v>Bosnia y Herzegovina</v>
      </c>
      <c r="D83" s="7">
        <f>WORLDCUP!AC110</f>
        <v>2</v>
      </c>
      <c r="E83" s="7">
        <f>WORLDCUP!AD110</f>
        <v>0</v>
      </c>
    </row>
    <row r="84" spans="1:5">
      <c r="A84" s="7">
        <v>83</v>
      </c>
      <c r="B84" s="608" t="str">
        <f ca="1">WORLDCUP!AA111</f>
        <v>España</v>
      </c>
      <c r="C84" t="str">
        <f ca="1">WORLDCUP!AF111</f>
        <v>Jordania</v>
      </c>
      <c r="D84" s="7">
        <f>WORLDCUP!AC111</f>
        <v>3</v>
      </c>
      <c r="E84" s="7">
        <f>WORLDCUP!AD111</f>
        <v>1</v>
      </c>
    </row>
    <row r="85" spans="1:5">
      <c r="A85" s="7">
        <v>84</v>
      </c>
      <c r="B85" s="608" t="str">
        <f ca="1">WORLDCUP!AA112</f>
        <v>Colombia</v>
      </c>
      <c r="C85" t="str">
        <f ca="1">WORLDCUP!AF112</f>
        <v>Croacia</v>
      </c>
      <c r="D85" s="7">
        <f>WORLDCUP!AC112</f>
        <v>2</v>
      </c>
      <c r="E85" s="7">
        <f>WORLDCUP!AD112</f>
        <v>1</v>
      </c>
    </row>
    <row r="86" spans="1:5">
      <c r="A86" s="7">
        <v>85</v>
      </c>
      <c r="B86" s="608" t="str">
        <f ca="1">WORLDCUP!AA113</f>
        <v>Suiza</v>
      </c>
      <c r="C86" t="str">
        <f ca="1">WORLDCUP!AF113</f>
        <v>Irán</v>
      </c>
      <c r="D86" s="7">
        <f>WORLDCUP!AC113</f>
        <v>1</v>
      </c>
      <c r="E86" s="7">
        <f>WORLDCUP!AD113</f>
        <v>0</v>
      </c>
    </row>
    <row r="87" spans="1:5">
      <c r="A87" s="7">
        <v>86</v>
      </c>
      <c r="B87" s="608" t="str">
        <f ca="1">WORLDCUP!AA114</f>
        <v>Turquía</v>
      </c>
      <c r="C87" t="str">
        <f ca="1">WORLDCUP!AF114</f>
        <v>Egipto</v>
      </c>
      <c r="D87" s="7">
        <f>WORLDCUP!AC114</f>
        <v>1</v>
      </c>
      <c r="E87" s="7">
        <f>WORLDCUP!AD114</f>
        <v>1</v>
      </c>
    </row>
    <row r="88" spans="1:5">
      <c r="A88" s="7">
        <v>87</v>
      </c>
      <c r="B88" s="608" t="str">
        <f ca="1">WORLDCUP!AA115</f>
        <v>Argentina</v>
      </c>
      <c r="C88" t="str">
        <f ca="1">WORLDCUP!AF115</f>
        <v>Uruguay</v>
      </c>
      <c r="D88" s="7">
        <f>WORLDCUP!AC115</f>
        <v>2</v>
      </c>
      <c r="E88" s="7">
        <f>WORLDCUP!AD115</f>
        <v>1</v>
      </c>
    </row>
    <row r="89" spans="1:5">
      <c r="A89" s="7">
        <v>88</v>
      </c>
      <c r="B89" s="608" t="str">
        <f ca="1">WORLDCUP!AA116</f>
        <v>Portugal</v>
      </c>
      <c r="C89" t="str">
        <f ca="1">WORLDCUP!AF116</f>
        <v>Senegal</v>
      </c>
      <c r="D89" s="7">
        <f>WORLDCUP!AC116</f>
        <v>1</v>
      </c>
      <c r="E89" s="7">
        <f>WORLDCUP!AD116</f>
        <v>0</v>
      </c>
    </row>
    <row r="90" spans="1:5">
      <c r="A90" s="7">
        <v>89</v>
      </c>
      <c r="B90" s="608" t="str">
        <f ca="1">WORLDCUP!AA120</f>
        <v>Corea del Sur</v>
      </c>
      <c r="C90" t="str">
        <f ca="1">WORLDCUP!AF120</f>
        <v>Marruecos</v>
      </c>
      <c r="D90" s="7">
        <f>WORLDCUP!AC120</f>
        <v>1</v>
      </c>
      <c r="E90" s="7">
        <f>WORLDCUP!AD120</f>
        <v>1</v>
      </c>
    </row>
    <row r="91" spans="1:5">
      <c r="A91" s="7">
        <v>90</v>
      </c>
      <c r="B91" s="608" t="str">
        <f ca="1">WORLDCUP!AA121</f>
        <v>Alemania</v>
      </c>
      <c r="C91" t="str">
        <f ca="1">WORLDCUP!AF121</f>
        <v>Francia</v>
      </c>
      <c r="D91" s="7">
        <f>WORLDCUP!AC121</f>
        <v>2</v>
      </c>
      <c r="E91" s="7">
        <f>WORLDCUP!AD121</f>
        <v>1</v>
      </c>
    </row>
    <row r="92" spans="1:5">
      <c r="A92" s="7">
        <v>91</v>
      </c>
      <c r="B92" s="608" t="str">
        <f ca="1">WORLDCUP!AA122</f>
        <v>Brasil</v>
      </c>
      <c r="C92" t="str">
        <f ca="1">WORLDCUP!AF122</f>
        <v>Ecuador</v>
      </c>
      <c r="D92" s="7">
        <f>WORLDCUP!AC122</f>
        <v>2</v>
      </c>
      <c r="E92" s="7">
        <f>WORLDCUP!AD122</f>
        <v>0</v>
      </c>
    </row>
    <row r="93" spans="1:5">
      <c r="A93" s="7">
        <v>92</v>
      </c>
      <c r="B93" s="608" t="str">
        <f ca="1">WORLDCUP!AA123</f>
        <v>México</v>
      </c>
      <c r="C93" t="str">
        <f ca="1">WORLDCUP!AF123</f>
        <v>Inglaterra</v>
      </c>
      <c r="D93" s="7">
        <f>WORLDCUP!AC123</f>
        <v>0</v>
      </c>
      <c r="E93" s="7">
        <f>WORLDCUP!AD123</f>
        <v>1</v>
      </c>
    </row>
    <row r="94" spans="1:5">
      <c r="A94" s="7">
        <v>93</v>
      </c>
      <c r="B94" s="608" t="str">
        <f ca="1">WORLDCUP!AA124</f>
        <v>Colombia</v>
      </c>
      <c r="C94" t="str">
        <f ca="1">WORLDCUP!AF124</f>
        <v>España</v>
      </c>
      <c r="D94" s="7">
        <f>WORLDCUP!AC124</f>
        <v>0</v>
      </c>
      <c r="E94" s="7">
        <f>WORLDCUP!AD124</f>
        <v>2</v>
      </c>
    </row>
    <row r="95" spans="1:5">
      <c r="A95" s="7">
        <v>94</v>
      </c>
      <c r="B95" s="608" t="str">
        <f ca="1">WORLDCUP!AA125</f>
        <v>Paraguay</v>
      </c>
      <c r="C95" t="str">
        <f ca="1">WORLDCUP!AF125</f>
        <v>Bélgica</v>
      </c>
      <c r="D95" s="7">
        <f>WORLDCUP!AC125</f>
        <v>2</v>
      </c>
      <c r="E95" s="7">
        <f>WORLDCUP!AD125</f>
        <v>1</v>
      </c>
    </row>
    <row r="96" spans="1:5">
      <c r="A96" s="7">
        <v>95</v>
      </c>
      <c r="B96" s="608" t="str">
        <f ca="1">WORLDCUP!AA126</f>
        <v>Argentina</v>
      </c>
      <c r="C96" t="str">
        <f ca="1">WORLDCUP!AF126</f>
        <v>Turquía</v>
      </c>
      <c r="D96" s="7">
        <f>WORLDCUP!AC126</f>
        <v>2</v>
      </c>
      <c r="E96" s="7">
        <f>WORLDCUP!AD126</f>
        <v>0</v>
      </c>
    </row>
    <row r="97" spans="1:7">
      <c r="A97" s="7">
        <v>96</v>
      </c>
      <c r="B97" s="608" t="str">
        <f ca="1">WORLDCUP!AA127</f>
        <v>Suiza</v>
      </c>
      <c r="C97" t="str">
        <f ca="1">WORLDCUP!AF127</f>
        <v>Portugal</v>
      </c>
      <c r="D97" s="7">
        <f>WORLDCUP!AC127</f>
        <v>1</v>
      </c>
      <c r="E97" s="7">
        <f>WORLDCUP!AD127</f>
        <v>2</v>
      </c>
    </row>
    <row r="98" spans="1:7">
      <c r="A98" s="7">
        <v>97</v>
      </c>
      <c r="B98" s="608" t="str">
        <f ca="1">WORLDCUP!AA131</f>
        <v>Alemania</v>
      </c>
      <c r="C98" t="str">
        <f ca="1">WORLDCUP!AF131</f>
        <v>Corea del Sur</v>
      </c>
      <c r="D98" s="7">
        <f>WORLDCUP!AC131</f>
        <v>1</v>
      </c>
      <c r="E98" s="7">
        <f>WORLDCUP!AD131</f>
        <v>0</v>
      </c>
    </row>
    <row r="99" spans="1:7">
      <c r="A99" s="7">
        <v>98</v>
      </c>
      <c r="B99" s="608" t="str">
        <f ca="1">WORLDCUP!AA132</f>
        <v>España</v>
      </c>
      <c r="C99" t="str">
        <f ca="1">WORLDCUP!AF132</f>
        <v>Paraguay</v>
      </c>
      <c r="D99" s="7">
        <f>WORLDCUP!AC132</f>
        <v>2</v>
      </c>
      <c r="E99" s="7">
        <f>WORLDCUP!AD132</f>
        <v>0</v>
      </c>
    </row>
    <row r="100" spans="1:7">
      <c r="A100" s="7">
        <v>99</v>
      </c>
      <c r="B100" s="608" t="str">
        <f ca="1">WORLDCUP!AA133</f>
        <v>Brasil</v>
      </c>
      <c r="C100" t="str">
        <f ca="1">WORLDCUP!AF133</f>
        <v>Inglaterra</v>
      </c>
      <c r="D100" s="7">
        <f>WORLDCUP!AC133</f>
        <v>1</v>
      </c>
      <c r="E100" s="7">
        <f>WORLDCUP!AD133</f>
        <v>1</v>
      </c>
    </row>
    <row r="101" spans="1:7">
      <c r="A101" s="7">
        <v>100</v>
      </c>
      <c r="B101" s="608" t="str">
        <f ca="1">WORLDCUP!AA134</f>
        <v>Argentina</v>
      </c>
      <c r="C101" t="str">
        <f ca="1">WORLDCUP!AF134</f>
        <v>Portugal</v>
      </c>
      <c r="D101" s="7">
        <f>WORLDCUP!AC134</f>
        <v>0</v>
      </c>
      <c r="E101" s="7">
        <f>WORLDCUP!AD134</f>
        <v>1</v>
      </c>
    </row>
    <row r="102" spans="1:7">
      <c r="A102" s="7">
        <v>101</v>
      </c>
      <c r="B102" s="608" t="str">
        <f ca="1">WORLDCUP!AA138</f>
        <v>Alemania</v>
      </c>
      <c r="C102" t="str">
        <f ca="1">WORLDCUP!AF138</f>
        <v>España</v>
      </c>
      <c r="D102" s="7">
        <f>WORLDCUP!AC138</f>
        <v>0</v>
      </c>
      <c r="E102" s="7">
        <f>WORLDCUP!AD138</f>
        <v>1</v>
      </c>
    </row>
    <row r="103" spans="1:7">
      <c r="A103" s="7">
        <v>102</v>
      </c>
      <c r="B103" s="608" t="str">
        <f ca="1">WORLDCUP!AA139</f>
        <v>Inglaterra</v>
      </c>
      <c r="C103" t="str">
        <f ca="1">WORLDCUP!AF139</f>
        <v>Portugal</v>
      </c>
      <c r="D103" s="7">
        <f>WORLDCUP!AC139</f>
        <v>1</v>
      </c>
      <c r="E103" s="7">
        <f>WORLDCUP!AD139</f>
        <v>2</v>
      </c>
    </row>
    <row r="104" spans="1:7">
      <c r="A104" s="7">
        <v>103</v>
      </c>
      <c r="B104" s="608" t="str">
        <f ca="1">WORLDCUP!AA143</f>
        <v>Alemania</v>
      </c>
      <c r="C104" t="str">
        <f ca="1">WORLDCUP!AF143</f>
        <v>Inglaterra</v>
      </c>
      <c r="D104" s="7">
        <f>WORLDCUP!AC143</f>
        <v>1</v>
      </c>
      <c r="E104" s="7">
        <f>WORLDCUP!AD143</f>
        <v>0</v>
      </c>
    </row>
    <row r="105" spans="1:7">
      <c r="A105" s="7">
        <v>104</v>
      </c>
      <c r="B105" s="608" t="str">
        <f ca="1">WORLDCUP!AA147</f>
        <v>España</v>
      </c>
      <c r="C105" t="str">
        <f ca="1">WORLDCUP!AF147</f>
        <v>Portugal</v>
      </c>
      <c r="D105" s="7">
        <f>WORLDCUP!AC147</f>
        <v>3</v>
      </c>
      <c r="E105" s="7">
        <f>WORLDCUP!AD147</f>
        <v>2</v>
      </c>
    </row>
    <row r="106" spans="1:7">
      <c r="B106" s="608"/>
    </row>
    <row r="107" spans="1:7">
      <c r="B107" s="608"/>
    </row>
    <row r="108" spans="1:7">
      <c r="B108" s="608"/>
    </row>
    <row r="109" spans="1:7">
      <c r="A109" s="7">
        <v>988</v>
      </c>
      <c r="B109" s="608"/>
      <c r="F109" t="s">
        <v>1518</v>
      </c>
      <c r="G109" t="str">
        <f>WORLDCUP!AA154</f>
        <v>Oyarzabal</v>
      </c>
    </row>
    <row r="110" spans="1:7">
      <c r="A110" s="7">
        <v>999</v>
      </c>
      <c r="F110" t="s">
        <v>1519</v>
      </c>
      <c r="G110" t="str">
        <f>WORLDCUP!AA156</f>
        <v>Vitinha</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República Checa</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Paraguay</v>
      </c>
    </row>
    <row r="127" spans="1:4">
      <c r="A127" s="7">
        <v>1013</v>
      </c>
      <c r="B127" t="s">
        <v>1524</v>
      </c>
      <c r="C127" s="7">
        <v>2</v>
      </c>
      <c r="D127" t="str">
        <f ca="1">WORLDCUP!AL31</f>
        <v>Turquía</v>
      </c>
    </row>
    <row r="128" spans="1:4">
      <c r="A128" s="7">
        <v>1014</v>
      </c>
      <c r="B128" t="s">
        <v>1524</v>
      </c>
      <c r="C128" s="7">
        <v>3</v>
      </c>
      <c r="D128" t="str">
        <f ca="1">WORLDCUP!AL32</f>
        <v>Estados Unidos</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Japón</v>
      </c>
    </row>
    <row r="135" spans="1:4">
      <c r="A135" s="7">
        <v>1021</v>
      </c>
      <c r="B135" t="s">
        <v>1526</v>
      </c>
      <c r="C135" s="7">
        <v>2</v>
      </c>
      <c r="D135" t="str">
        <f ca="1">WORLDCUP!AL47</f>
        <v>Países Bajos</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Jordania</v>
      </c>
    </row>
    <row r="152" spans="1:4">
      <c r="A152" s="7">
        <v>1038</v>
      </c>
      <c r="B152" t="s">
        <v>1530</v>
      </c>
      <c r="C152" s="7">
        <v>3</v>
      </c>
      <c r="D152" t="str">
        <f ca="1">WORLDCUP!AL80</f>
        <v>Austria</v>
      </c>
    </row>
    <row r="153" spans="1:4">
      <c r="A153" s="7">
        <v>1039</v>
      </c>
      <c r="B153" t="s">
        <v>1530</v>
      </c>
      <c r="C153" s="7">
        <v>4</v>
      </c>
      <c r="D153" t="str">
        <f ca="1">WORLDCUP!AL81</f>
        <v>Argelia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Panamá</v>
      </c>
    </row>
    <row r="161" spans="1:4">
      <c r="A161" s="7">
        <v>1047</v>
      </c>
      <c r="B161" t="s">
        <v>1532</v>
      </c>
      <c r="C161" s="7">
        <v>4</v>
      </c>
      <c r="D161" t="str">
        <f ca="1">WORLDCUP!AL97</f>
        <v>Ghana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19.95" customHeight="1" thickBot="1">
      <c r="A2" s="274"/>
      <c r="B2" s="275"/>
      <c r="C2" s="275"/>
      <c r="D2" s="351"/>
      <c r="E2" s="678"/>
      <c r="F2" s="678"/>
      <c r="G2" s="678"/>
      <c r="H2" s="678"/>
      <c r="I2" s="678"/>
      <c r="J2" s="678"/>
      <c r="K2" s="678"/>
      <c r="L2" s="678"/>
      <c r="M2" s="678"/>
      <c r="N2" s="678"/>
    </row>
    <row r="3" spans="1:14" ht="34.950000000000003"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0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2|0-3</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X|1-1</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2|0-1</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2|0-2</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2|0-2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1|5-0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X|1-1</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1|2-0</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X|1-1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1|1-0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1|5-0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X|1-1</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1|2-0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X|1-1</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2|0-2</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X|1-1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2|1-2</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1|1-0</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X|2-2</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1|1-0</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2|0-2</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1|5-0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1|1-0</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2|1-2</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1|2-0</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2|0-3</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1|2-1</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2|0-2</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1|3-0</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1|3-0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1|1-0</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1|2-1</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1|1-0</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2|0-2</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2|1-2</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2|0-2</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1|2-1</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1|1-0</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2|0-2</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1|1-0</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1|1-0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2|1-2</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1|2-1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2|0-1</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X|1-1</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2|1-2</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2|1-2</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2|0-1</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2|1-2</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2|0-2</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X|1-1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0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Corea del Sur</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República Checa</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Canadá</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Paraguay</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Turquía</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Estados Unidos</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Japón</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Países Bajos</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Jordania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Austria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Argelia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Panamá</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Ghana</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0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Corea del Sur</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Japón</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Paraguay</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Turquía</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Canadá</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Países Bajos</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Estados Unidos</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Suecia</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Costa de Marfil</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Austria</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República Checa</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Jordania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Irán</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Senegal</v>
      </c>
      <c r="D161" s="671"/>
      <c r="E161" s="355"/>
      <c r="F161" s="355"/>
      <c r="G161" s="355"/>
      <c r="H161" s="355"/>
      <c r="I161" s="365"/>
      <c r="J161" s="366"/>
      <c r="K161" s="355"/>
      <c r="L161" s="355"/>
      <c r="M161" s="367"/>
      <c r="N161" s="360"/>
    </row>
    <row r="162" spans="1:14" ht="19.95"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2.95"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Corea del Sur-Canadá</v>
      </c>
      <c r="C164" s="332" t="str">
        <f ca="1">CONCATENATE(WORLDCUP!AA101,"-",WORLDCUP!AF101,"·",IF(WORLDCUP!AC101&gt;WORLDCUP!AD101,1,IF(WORLDCUP!AC101&lt;WORLDCUP!AD101,2,IF(AND(WORLDCUP!AC101=WORLDCUP!AD101,WORLDCUP!AC101&lt;&gt;"",WORLDCUP!AD101&lt;&gt;""),"X",0))),"|",WORLDCUP!AC101,"-",WORLDCUP!AD101)</f>
        <v>Corea del Sur-Canadá·1|2-1</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Brasil-Países Bajos</v>
      </c>
      <c r="C165" s="332" t="str">
        <f ca="1">CONCATENATE(WORLDCUP!AA102,"-",WORLDCUP!AF102,"·",IF(WORLDCUP!AC102&gt;WORLDCUP!AD102,1,IF(WORLDCUP!AC102&lt;WORLDCUP!AD102,2,IF(AND(WORLDCUP!AC102=WORLDCUP!AD102,WORLDCUP!AC102&lt;&gt;"",WORLDCUP!AD102&lt;&gt;""),"X",0))),"|",WORLDCUP!AC102,"-",WORLDCUP!AD102)</f>
        <v>Brasil-Países Bajos·1|2-0</v>
      </c>
      <c r="D165" s="669"/>
      <c r="E165" s="688"/>
      <c r="F165" s="688"/>
      <c r="G165" s="688"/>
      <c r="H165" s="688"/>
      <c r="I165" s="335"/>
      <c r="J165" s="353"/>
      <c r="K165" s="353"/>
      <c r="L165" s="353"/>
      <c r="M165" s="369"/>
      <c r="N165" s="360"/>
    </row>
    <row r="166" spans="1:14" ht="15" customHeight="1">
      <c r="A166" s="667"/>
      <c r="B166" s="343" t="str">
        <f ca="1">CONCATENATE(WORLDCUP!AA103,"-",WORLDCUP!AF103)</f>
        <v>Alemania-Estados Unidos</v>
      </c>
      <c r="C166" s="332" t="str">
        <f ca="1">CONCATENATE(WORLDCUP!AA103,"-",WORLDCUP!AF103,"·",IF(WORLDCUP!AC103&gt;WORLDCUP!AD103,1,IF(WORLDCUP!AC103&lt;WORLDCUP!AD103,2,IF(AND(WORLDCUP!AC103=WORLDCUP!AD103,WORLDCUP!AC103&lt;&gt;"",WORLDCUP!AD103&lt;&gt;""),"X",0))),"|",WORLDCUP!AC103,"-",WORLDCUP!AD103)</f>
        <v>Alemania-Estados Unidos·1|3-0</v>
      </c>
      <c r="D166" s="669"/>
      <c r="E166" s="688"/>
      <c r="F166" s="688"/>
      <c r="G166" s="688"/>
      <c r="H166" s="688"/>
      <c r="I166" s="335"/>
      <c r="J166" s="353"/>
      <c r="K166" s="353"/>
      <c r="L166" s="353"/>
      <c r="M166" s="369"/>
      <c r="N166" s="360"/>
    </row>
    <row r="167" spans="1:14" ht="15" customHeight="1">
      <c r="A167" s="667"/>
      <c r="B167" s="343" t="str">
        <f ca="1">CONCATENATE(WORLDCUP!AA104,"-",WORLDCUP!AF104)</f>
        <v>Japón-Marruecos</v>
      </c>
      <c r="C167" s="332" t="str">
        <f ca="1">CONCATENATE(WORLDCUP!AA104,"-",WORLDCUP!AF104,"·",IF(WORLDCUP!AC104&gt;WORLDCUP!AD104,1,IF(WORLDCUP!AC104&lt;WORLDCUP!AD104,2,IF(AND(WORLDCUP!AC104=WORLDCUP!AD104,WORLDCUP!AC104&lt;&gt;"",WORLDCUP!AD104&lt;&gt;""),"X",0))),"|",WORLDCUP!AC104,"-",WORLDCUP!AD104)</f>
        <v>Japón-Marruecos·X|1-1</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Ecuador-Noruega·1|2-0</v>
      </c>
      <c r="D168" s="669"/>
      <c r="E168" s="353"/>
      <c r="F168" s="353"/>
      <c r="G168" s="353"/>
      <c r="H168" s="353"/>
      <c r="I168" s="335"/>
      <c r="J168" s="353"/>
      <c r="K168" s="353"/>
      <c r="L168" s="353"/>
      <c r="M168" s="369"/>
      <c r="N168" s="360"/>
    </row>
    <row r="169" spans="1:14" ht="15" customHeight="1">
      <c r="A169" s="667"/>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Francia-Suecia·1|1-0</v>
      </c>
      <c r="D169" s="669"/>
      <c r="E169" s="353"/>
      <c r="F169" s="353"/>
      <c r="G169" s="353"/>
      <c r="H169" s="353"/>
      <c r="I169" s="335"/>
      <c r="J169" s="353"/>
      <c r="K169" s="353"/>
      <c r="L169" s="353"/>
      <c r="M169" s="369"/>
      <c r="N169" s="360"/>
    </row>
    <row r="170" spans="1:14" ht="15" customHeight="1">
      <c r="A170" s="667"/>
      <c r="B170" s="343" t="str">
        <f ca="1">CONCATENATE(WORLDCUP!AA107,"-",WORLDCUP!AF107)</f>
        <v>México-Costa de Marfil</v>
      </c>
      <c r="C170" s="332" t="str">
        <f ca="1">CONCATENATE(WORLDCUP!AA107,"-",WORLDCUP!AF107,"·",IF(WORLDCUP!AC107&gt;WORLDCUP!AD107,1,IF(WORLDCUP!AC107&lt;WORLDCUP!AD107,2,IF(AND(WORLDCUP!AC107=WORLDCUP!AD107,WORLDCUP!AC107&lt;&gt;"",WORLDCUP!AD107&lt;&gt;""),"X",0))),"|",WORLDCUP!AC107,"-",WORLDCUP!AD107)</f>
        <v>México-Costa de Marfil·1|1-0</v>
      </c>
      <c r="D170" s="669"/>
      <c r="E170" s="353"/>
      <c r="F170" s="353"/>
      <c r="G170" s="353"/>
      <c r="H170" s="353"/>
      <c r="I170" s="335"/>
      <c r="J170" s="353"/>
      <c r="K170" s="353"/>
      <c r="L170" s="353"/>
      <c r="M170" s="369"/>
      <c r="N170" s="360"/>
    </row>
    <row r="171" spans="1:14" ht="15" customHeight="1">
      <c r="A171" s="667"/>
      <c r="B171" s="343" t="str">
        <f ca="1">CONCATENATE(WORLDCUP!AA108,"-",WORLDCUP!AF108)</f>
        <v>Inglaterra-Austria</v>
      </c>
      <c r="C171" s="332" t="str">
        <f ca="1">CONCATENATE(WORLDCUP!AA108,"-",WORLDCUP!AF108,"·",IF(WORLDCUP!AC108&gt;WORLDCUP!AD108,1,IF(WORLDCUP!AC108&lt;WORLDCUP!AD108,2,IF(AND(WORLDCUP!AC108=WORLDCUP!AD108,WORLDCUP!AC108&lt;&gt;"",WORLDCUP!AD108&lt;&gt;""),"X",0))),"|",WORLDCUP!AC108,"-",WORLDCUP!AD108)</f>
        <v>Inglaterra-Austria·1|2-1</v>
      </c>
      <c r="D171" s="669"/>
      <c r="E171" s="353"/>
      <c r="F171" s="353"/>
      <c r="G171" s="353"/>
      <c r="H171" s="353"/>
      <c r="I171" s="335"/>
      <c r="J171" s="353"/>
      <c r="K171" s="353"/>
      <c r="L171" s="353"/>
      <c r="M171" s="369"/>
      <c r="N171" s="360"/>
    </row>
    <row r="172" spans="1:14" ht="15" customHeight="1">
      <c r="A172" s="667"/>
      <c r="B172" s="343" t="str">
        <f ca="1">CONCATENATE(WORLDCUP!AA109,"-",WORLDCUP!AF109)</f>
        <v>Bélgica-República Checa</v>
      </c>
      <c r="C172" s="332" t="str">
        <f ca="1">CONCATENATE(WORLDCUP!AA109,"-",WORLDCUP!AF109,"·",IF(WORLDCUP!AC109&gt;WORLDCUP!AD109,1,IF(WORLDCUP!AC109&lt;WORLDCUP!AD109,2,IF(AND(WORLDCUP!AC109=WORLDCUP!AD109,WORLDCUP!AC109&lt;&gt;"",WORLDCUP!AD109&lt;&gt;""),"X",0))),"|",WORLDCUP!AC109,"-",WORLDCUP!AD109)</f>
        <v>Bélgica-República Checa·1|2-0</v>
      </c>
      <c r="D172" s="669"/>
      <c r="E172" s="353"/>
      <c r="F172" s="353"/>
      <c r="G172" s="353"/>
      <c r="H172" s="353"/>
      <c r="I172" s="335"/>
      <c r="J172" s="353"/>
      <c r="K172" s="353"/>
      <c r="L172" s="353"/>
      <c r="M172" s="369"/>
      <c r="N172" s="360"/>
    </row>
    <row r="173" spans="1:14" ht="15" customHeight="1">
      <c r="A173" s="667"/>
      <c r="B173" s="343" t="str">
        <f ca="1">CONCATENATE(WORLDCUP!AA110,"-",WORLDCUP!AF110)</f>
        <v>Paraguay-Bosnia y Herzegovina</v>
      </c>
      <c r="C173" s="332" t="str">
        <f ca="1">CONCATENATE(WORLDCUP!AA110,"-",WORLDCUP!AF110,"·",IF(WORLDCUP!AC110&gt;WORLDCUP!AD110,1,IF(WORLDCUP!AC110&lt;WORLDCUP!AD110,2,IF(AND(WORLDCUP!AC110=WORLDCUP!AD110,WORLDCUP!AC110&lt;&gt;"",WORLDCUP!AD110&lt;&gt;""),"X",0))),"|",WORLDCUP!AC110,"-",WORLDCUP!AD110)</f>
        <v>Paraguay-Bosnia y Herzegovina·1|2-0</v>
      </c>
      <c r="D173" s="669"/>
      <c r="E173" s="353"/>
      <c r="F173" s="353"/>
      <c r="G173" s="353"/>
      <c r="H173" s="353"/>
      <c r="I173" s="335"/>
      <c r="J173" s="353"/>
      <c r="K173" s="353"/>
      <c r="L173" s="353"/>
      <c r="M173" s="369"/>
      <c r="N173" s="360"/>
    </row>
    <row r="174" spans="1:14" ht="15" customHeight="1">
      <c r="A174" s="667"/>
      <c r="B174" s="343" t="str">
        <f ca="1">CONCATENATE(WORLDCUP!AA111,"-",WORLDCUP!AF111)</f>
        <v>España-Jordania</v>
      </c>
      <c r="C174" s="332" t="str">
        <f ca="1">CONCATENATE(WORLDCUP!AA111,"-",WORLDCUP!AF111,"·",IF(WORLDCUP!AC111&gt;WORLDCUP!AD111,1,IF(WORLDCUP!AC111&lt;WORLDCUP!AD111,2,IF(AND(WORLDCUP!AC111=WORLDCUP!AD111,WORLDCUP!AC111&lt;&gt;"",WORLDCUP!AD111&lt;&gt;""),"X",0))),"|",WORLDCUP!AC111,"-",WORLDCUP!AD111)</f>
        <v>España-Jordania·1|3-1</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Colombia-Croacia·1|2-1</v>
      </c>
      <c r="D175" s="669"/>
      <c r="E175" s="353"/>
      <c r="F175" s="353"/>
      <c r="G175" s="353"/>
      <c r="H175" s="353"/>
      <c r="I175" s="335"/>
      <c r="J175" s="353"/>
      <c r="K175" s="353"/>
      <c r="L175" s="353"/>
      <c r="M175" s="369"/>
      <c r="N175" s="360"/>
    </row>
    <row r="176" spans="1:14" ht="15" customHeight="1">
      <c r="A176" s="667"/>
      <c r="B176" s="343" t="str">
        <f ca="1">CONCATENATE(WORLDCUP!AA113,"-",WORLDCUP!AF113)</f>
        <v>Suiza-Irán</v>
      </c>
      <c r="C176" s="332" t="str">
        <f ca="1">CONCATENATE(WORLDCUP!AA113,"-",WORLDCUP!AF113,"·",IF(WORLDCUP!AC113&gt;WORLDCUP!AD113,1,IF(WORLDCUP!AC113&lt;WORLDCUP!AD113,2,IF(AND(WORLDCUP!AC113=WORLDCUP!AD113,WORLDCUP!AC113&lt;&gt;"",WORLDCUP!AD113&lt;&gt;""),"X",0))),"|",WORLDCUP!AC113,"-",WORLDCUP!AD113)</f>
        <v>Suiza-Irán·1|1-0</v>
      </c>
      <c r="D176" s="669"/>
      <c r="E176" s="353"/>
      <c r="F176" s="353"/>
      <c r="G176" s="353"/>
      <c r="H176" s="353"/>
      <c r="I176" s="335"/>
      <c r="J176" s="353"/>
      <c r="K176" s="353"/>
      <c r="L176" s="353"/>
      <c r="M176" s="369"/>
      <c r="N176" s="360"/>
    </row>
    <row r="177" spans="1:14" ht="15" customHeight="1">
      <c r="A177" s="667"/>
      <c r="B177" s="343" t="str">
        <f ca="1">CONCATENATE(WORLDCUP!AA114,"-",WORLDCUP!AF114)</f>
        <v>Turquía-Egipto</v>
      </c>
      <c r="C177" s="332" t="str">
        <f ca="1">CONCATENATE(WORLDCUP!AA114,"-",WORLDCUP!AF114,"·",IF(WORLDCUP!AC114&gt;WORLDCUP!AD114,1,IF(WORLDCUP!AC114&lt;WORLDCUP!AD114,2,IF(AND(WORLDCUP!AC114=WORLDCUP!AD114,WORLDCUP!AC114&lt;&gt;"",WORLDCUP!AD114&lt;&gt;""),"X",0))),"|",WORLDCUP!AC114,"-",WORLDCUP!AD114)</f>
        <v>Turquía-Egipto·X|1-1</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Argentina-Uruguay·1|2-1</v>
      </c>
      <c r="D178" s="669"/>
      <c r="E178" s="353"/>
      <c r="F178" s="353"/>
      <c r="G178" s="353"/>
      <c r="H178" s="353"/>
      <c r="I178" s="335"/>
      <c r="J178" s="353"/>
      <c r="K178" s="353"/>
      <c r="L178" s="353"/>
      <c r="M178" s="369"/>
      <c r="N178" s="360"/>
    </row>
    <row r="179" spans="1:14" ht="15" customHeight="1">
      <c r="A179" s="667"/>
      <c r="B179" s="343" t="str">
        <f ca="1">CONCATENATE(WORLDCUP!AA116,"-",WORLDCUP!AF116)</f>
        <v>Portugal-Senegal</v>
      </c>
      <c r="C179" s="332" t="str">
        <f ca="1">CONCATENATE(WORLDCUP!AA116,"-",WORLDCUP!AF116,"·",IF(WORLDCUP!AC116&gt;WORLDCUP!AD116,1,IF(WORLDCUP!AC116&lt;WORLDCUP!AD116,2,IF(AND(WORLDCUP!AC116=WORLDCUP!AD116,WORLDCUP!AC116&lt;&gt;"",WORLDCUP!AD116&lt;&gt;""),"X",0))),"|",WORLDCUP!AC116,"-",WORLDCUP!AD116)</f>
        <v>Portugal-Senegal·1|1-0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0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Corea del Sur</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Paraguay</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Marruecos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Ecuador</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Turquía</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Corea del Sur-Marruecos</v>
      </c>
      <c r="C200" s="334" t="str">
        <f ca="1">CONCATENATE(WORLDCUP!AA120,"-",WORLDCUP!AF120,"·",IF(WORLDCUP!AC120&gt;WORLDCUP!AD120,1,IF(WORLDCUP!AC120&lt;WORLDCUP!AD120,2,IF(AND(WORLDCUP!AC120=WORLDCUP!AD120,WORLDCUP!AC120&lt;&gt;"",WORLDCUP!AD120&lt;&gt;""),"X",0))),"|",WORLDCUP!AC120,"-",WORLDCUP!AD120)</f>
        <v>Corea del Sur-Marruecos·X|1-1</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Alemania-Francia·1|2-1</v>
      </c>
      <c r="D201" s="668"/>
      <c r="E201" s="663"/>
      <c r="F201" s="663"/>
      <c r="G201" s="663"/>
      <c r="H201" s="663"/>
      <c r="I201" s="335"/>
      <c r="J201" s="353"/>
      <c r="K201" s="353"/>
      <c r="L201" s="353"/>
      <c r="M201" s="369"/>
      <c r="N201" s="360"/>
    </row>
    <row r="202" spans="1:14" ht="15" customHeight="1">
      <c r="A202" s="667"/>
      <c r="B202" s="344" t="str">
        <f ca="1">CONCATENATE(WORLDCUP!AA122,"-",WORLDCUP!AF122)</f>
        <v>Brasil-Ecuador</v>
      </c>
      <c r="C202" s="334" t="str">
        <f ca="1">CONCATENATE(WORLDCUP!AA122,"-",WORLDCUP!AF122,"·",IF(WORLDCUP!AC122&gt;WORLDCUP!AD122,1,IF(WORLDCUP!AC122&lt;WORLDCUP!AD122,2,IF(AND(WORLDCUP!AC122=WORLDCUP!AD122,WORLDCUP!AC122&lt;&gt;"",WORLDCUP!AD122&lt;&gt;""),"X",0))),"|",WORLDCUP!AC122,"-",WORLDCUP!AD122)</f>
        <v>Brasil-Ecuador·1|2-0</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México-Inglaterra·2|0-1</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Colombia-España·2|0-2</v>
      </c>
      <c r="D204" s="668"/>
      <c r="E204" s="335"/>
      <c r="F204" s="335"/>
      <c r="G204" s="335"/>
      <c r="H204" s="335"/>
      <c r="I204" s="335"/>
      <c r="J204" s="353"/>
      <c r="K204" s="353"/>
      <c r="L204" s="353"/>
      <c r="M204" s="369"/>
      <c r="N204" s="360"/>
    </row>
    <row r="205" spans="1:14" ht="15" customHeight="1">
      <c r="A205" s="667"/>
      <c r="B205" s="344" t="str">
        <f ca="1">CONCATENATE(WORLDCUP!AA125,"-",WORLDCUP!AF125)</f>
        <v>Paraguay-Bélgica</v>
      </c>
      <c r="C205" s="334" t="str">
        <f ca="1">CONCATENATE(WORLDCUP!AA125,"-",WORLDCUP!AF125,"·",IF(WORLDCUP!AC125&gt;WORLDCUP!AD125,1,IF(WORLDCUP!AC125&lt;WORLDCUP!AD125,2,IF(AND(WORLDCUP!AC125=WORLDCUP!AD125,WORLDCUP!AC125&lt;&gt;"",WORLDCUP!AD125&lt;&gt;""),"X",0))),"|",WORLDCUP!AC125,"-",WORLDCUP!AD125)</f>
        <v>Paraguay-Bélgica·1|2-1</v>
      </c>
      <c r="D205" s="668"/>
      <c r="E205" s="335"/>
      <c r="F205" s="335"/>
      <c r="G205" s="335"/>
      <c r="H205" s="335"/>
      <c r="I205" s="335"/>
      <c r="J205" s="353"/>
      <c r="K205" s="353"/>
      <c r="L205" s="353"/>
      <c r="M205" s="369"/>
      <c r="N205" s="360"/>
    </row>
    <row r="206" spans="1:14" ht="15" customHeight="1">
      <c r="A206" s="667"/>
      <c r="B206" s="344" t="str">
        <f ca="1">CONCATENATE(WORLDCUP!AA126,"-",WORLDCUP!AF126)</f>
        <v>Argentina-Turquía</v>
      </c>
      <c r="C206" s="334" t="str">
        <f ca="1">CONCATENATE(WORLDCUP!AA126,"-",WORLDCUP!AF126,"·",IF(WORLDCUP!AC126&gt;WORLDCUP!AD126,1,IF(WORLDCUP!AC126&lt;WORLDCUP!AD126,2,IF(AND(WORLDCUP!AC126=WORLDCUP!AD126,WORLDCUP!AC126&lt;&gt;"",WORLDCUP!AD126&lt;&gt;""),"X",0))),"|",WORLDCUP!AC126,"-",WORLDCUP!AD126)</f>
        <v>Argentina-Turquía·1|2-0</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Suiza-Portugal·2|1-2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0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Alemania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Corea del Sur</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Paraguay</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Alemania-Corea del Sur</v>
      </c>
      <c r="C220" s="332" t="str">
        <f ca="1">CONCATENATE(WORLDCUP!AA131,"-",WORLDCUP!AF131,"·",IF(WORLDCUP!AC131&gt;WORLDCUP!AD131,1,IF(WORLDCUP!AC131&lt;WORLDCUP!AD131,2,IF(AND(WORLDCUP!AC131=WORLDCUP!AD131,WORLDCUP!AC131&lt;&gt;"",WORLDCUP!AD131&lt;&gt;""),"X",0))),"|",WORLDCUP!AC131,"-",WORLDCUP!AD131)</f>
        <v>Alemania-Corea del Sur·1|1-0</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España-Paraguay</v>
      </c>
      <c r="C221" s="332" t="str">
        <f ca="1">CONCATENATE(WORLDCUP!AA132,"-",WORLDCUP!AF132,"·",IF(WORLDCUP!AC132&gt;WORLDCUP!AD132,1,IF(WORLDCUP!AC132&lt;WORLDCUP!AD132,2,IF(AND(WORLDCUP!AC132=WORLDCUP!AD132,WORLDCUP!AC132&lt;&gt;"",WORLDCUP!AD132&lt;&gt;""),"X",0))),"|",WORLDCUP!AC132,"-",WORLDCUP!AD132)</f>
        <v>España-Paraguay·1|2-0</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Brasil-Inglaterra·X|1-1</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Argentina-Portugal·2|0-1</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Alemania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Inglaterra</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Alemania-España</v>
      </c>
      <c r="C232" s="334" t="str">
        <f ca="1">CONCATENATE(WORLDCUP!AA138,"-",WORLDCUP!AF138,"·",IF(WORLDCUP!AC138&gt;WORLDCUP!AD138,1,IF(WORLDCUP!AC138&lt;WORLDCUP!AD138,2,IF(AND(WORLDCUP!AC138=WORLDCUP!AD138,WORLDCUP!AC138&lt;&gt;"",WORLDCUP!AD138&lt;&gt;""),"X",0))),"|",WORLDCUP!AC138,"-",WORLDCUP!AD138)</f>
        <v>Alemania-España·2|0-1</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Inglaterra-Portugal</v>
      </c>
      <c r="C233" s="334" t="str">
        <f ca="1">CONCATENATE(WORLDCUP!AA139,"-",WORLDCUP!AF139,"·",IF(WORLDCUP!AC139&gt;WORLDCUP!AD139,1,IF(WORLDCUP!AC139&lt;WORLDCUP!AD139,2,IF(AND(WORLDCUP!AC139=WORLDCUP!AD139,WORLDCUP!AC139&lt;&gt;"",WORLDCUP!AD139&lt;&gt;""),"X",0))),"|",WORLDCUP!AC139,"-",WORLDCUP!AD139)</f>
        <v>Inglaterra-Portugal·2|1-2</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Alemania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Inglaterra</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0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Alemania-Inglaterra</v>
      </c>
      <c r="C244" s="332" t="str">
        <f ca="1">CONCATENATE(WORLDCUP!AA143,"-",WORLDCUP!AF143,"·",IF(WORLDCUP!AC143&gt;WORLDCUP!AD143,1,IF(WORLDCUP!AC143&lt;WORLDCUP!AD143,2,IF(AND(WORLDCUP!AC143=WORLDCUP!AD143,WORLDCUP!AC143&lt;&gt;"",WORLDCUP!AD143&lt;&gt;""),"X",0))),"|",WORLDCUP!AC143,"-",WORLDCUP!AD143)</f>
        <v>Alemania-Inglaterra·1|1-0</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España-Portugal</v>
      </c>
      <c r="C247" s="334" t="str">
        <f ca="1">CONCATENATE(WORLDCUP!AA147,"-",WORLDCUP!AF147,"·",IF(WORLDCUP!AC147&gt;WORLDCUP!AD147,1,IF(WORLDCUP!AC147&lt;WORLDCUP!AD147,2,IF(AND(WORLDCUP!AC147=WORLDCUP!AD147,WORLDCUP!AC147&lt;&gt;"",WORLDCUP!AD147&lt;&gt;""),"X",0))),"|",WORLDCUP!AC147,"-",WORLDCUP!AD147)</f>
        <v>España-Portugal·1|3-2</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0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Portugal</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Alemania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Oyarzabal</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Vitinha</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1</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3</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3</v>
      </c>
      <c r="K4" s="427" t="str">
        <f ca="1">+INDEX(WORLDCUP!$AR$6:$AR$97,MATCH(L4,WORLDCUP!$AI$6:$AI$97,0))&amp;"-"&amp;INDEX(WORLDCUP!$AS$6:$AS$97,MATCH(L4,WORLDCUP!$AI$6:$AI$97,0))</f>
        <v>6-3</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7</v>
      </c>
      <c r="V4" s="426">
        <f ca="1">+INDEX(WORLDCUP!$AT$6:$AT$97,MATCH(X4,WORLDCUP!$AI$6:$AI$97,0))</f>
        <v>4</v>
      </c>
      <c r="W4" s="427" t="str">
        <f ca="1">+INDEX(WORLDCUP!$AR$6:$AR$97,MATCH(X4,WORLDCUP!$AI$6:$AI$97,0))&amp;"-"&amp;INDEX(WORLDCUP!$AS$6:$AS$97,MATCH(X4,WORLDCUP!$AI$6:$AI$97,0))</f>
        <v>6-2</v>
      </c>
      <c r="X4" s="171" t="s">
        <v>679</v>
      </c>
      <c r="Y4" s="171">
        <v>74</v>
      </c>
      <c r="Z4" s="401" t="s">
        <v>734</v>
      </c>
      <c r="AA4" s="402" t="str">
        <f ca="1">+MID(INDEX(WORLDCUP!$AF$101:$AF$147,MATCH(Y4,WORLDCUP!$Z$101:$Z$147,0)),1,IF(WORLDCUP!$H$113&lt;144,6,3))</f>
        <v>Est</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2</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0</v>
      </c>
      <c r="BK4" s="441">
        <f ca="1">COUNTIF(Pool!$C$210:$C$217,Fixture!BG4)-BL4-BM4-BN4-BO4</f>
        <v>0</v>
      </c>
      <c r="BL4" s="441">
        <f ca="1">COUNTIF(Pool!$C$226:$C$229,Fixture!BG4)-BM4-BN4-BO4</f>
        <v>0</v>
      </c>
      <c r="BM4" s="439">
        <f ca="1">COUNTIF(Pool!$C$252,Fixture!BG4)</f>
        <v>1</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0</v>
      </c>
      <c r="F5" s="422" t="str">
        <f ca="1">+MID(INDEX(WORLDCUP!$AF$4:$AF$147,MATCH(A5,WORLDCUP!$AH$4:$AH$147,0)),1,3)</f>
        <v>Sud</v>
      </c>
      <c r="G5" s="443">
        <v>2</v>
      </c>
      <c r="H5" s="444" t="str">
        <f ca="1">+MID(INDEX(WORLDCUP!$AL$6:$AL$97,MATCH(L5,WORLDCUP!$AI$6:$AI$97,0)),1,3)</f>
        <v>Cor</v>
      </c>
      <c r="I5" s="38">
        <f ca="1">+INDEX(WORLDCUP!$AM$6:$AM$97,MATCH(L5,WORLDCUP!$AI$6:$AI$97,0))</f>
        <v>5</v>
      </c>
      <c r="J5" s="39">
        <f ca="1">+INDEX(WORLDCUP!$AT$6:$AT$97,MATCH(L5,WORLDCUP!$AI$6:$AI$97,0))</f>
        <v>2</v>
      </c>
      <c r="K5" s="43" t="str">
        <f ca="1">+INDEX(WORLDCUP!$AR$6:$AR$97,MATCH(L5,WORLDCUP!$AI$6:$AI$97,0))&amp;"-"&amp;INDEX(WORLDCUP!$AS$6:$AS$97,MATCH(L5,WORLDCUP!$AI$6:$AI$97,0))</f>
        <v>5-3</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1</v>
      </c>
      <c r="R5" s="422" t="str">
        <f ca="1">+MID(INDEX(WORLDCUP!$AF$4:$AF$147,MATCH(M5,WORLDCUP!$AH$4:$AH$147,0)),1,3)</f>
        <v>Irá</v>
      </c>
      <c r="S5" s="443">
        <v>2</v>
      </c>
      <c r="T5" s="444"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4-2</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1</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2</v>
      </c>
      <c r="F6" s="422" t="str">
        <f ca="1">+MID(INDEX(WORLDCUP!$AF$4:$AF$147,MATCH(A6,WORLDCUP!$AH$4:$AH$147,0)),1,3)</f>
        <v>Cor</v>
      </c>
      <c r="G6" s="443">
        <v>3</v>
      </c>
      <c r="H6" s="444"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3-3</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Irá</v>
      </c>
      <c r="U6" s="38">
        <f ca="1">+INDEX(WORLDCUP!$AM$6:$AM$97,MATCH(X6,WORLDCUP!$AI$6:$AI$97,0))</f>
        <v>4</v>
      </c>
      <c r="V6" s="39">
        <f ca="1">+INDEX(WORLDCUP!$AT$6:$AT$97,MATCH(X6,WORLDCUP!$AI$6:$AI$97,0))</f>
        <v>0</v>
      </c>
      <c r="W6" s="43" t="str">
        <f ca="1">+INDEX(WORLDCUP!$AR$6:$AR$97,MATCH(X6,WORLDCUP!$AI$6:$AI$97,0))&amp;"-"&amp;INDEX(WORLDCUP!$AS$6:$AS$97,MATCH(X6,WORLDCUP!$AI$6:$AI$97,0))</f>
        <v>3-3</v>
      </c>
      <c r="X6" s="171" t="s">
        <v>445</v>
      </c>
      <c r="Y6" s="171">
        <v>77</v>
      </c>
      <c r="Z6" s="401" t="s">
        <v>685</v>
      </c>
      <c r="AA6" s="402" t="str">
        <f ca="1">+MID(INDEX(WORLDCUP!$AA$101:$AA$147,MATCH(Y6,WORLDCUP!$Z$101:$Z$147,0)),1,3)</f>
        <v>Fra</v>
      </c>
      <c r="AB6" s="448">
        <f>+IF(ISBLANK(INDEX(WORLDCUP!$AC$101:$AC$147,MATCH(Y6,WORLDCUP!$Z$101:$Z$147,0))),"",INDEX(WORLDCUP!$AC$101:$AC$147,MATCH(Y6,WORLDCUP!$Z$101:$Z$147,0)))</f>
        <v>1</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1</v>
      </c>
      <c r="BI6" s="439">
        <f ca="1">COUNTIF(Pool!$C$130:$C$161,Fixture!BG6)-BJ6-BK6-BL6-BM6-BN6-BO6</f>
        <v>0</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Sud</v>
      </c>
      <c r="I7" s="453">
        <f ca="1">+INDEX(WORLDCUP!$AM$6:$AM$97,MATCH(L7,WORLDCUP!$AI$6:$AI$97,0))</f>
        <v>0</v>
      </c>
      <c r="J7" s="454">
        <f ca="1">+INDEX(WORLDCUP!$AT$6:$AT$97,MATCH(L7,WORLDCUP!$AI$6:$AI$97,0))</f>
        <v>-5</v>
      </c>
      <c r="K7" s="455" t="str">
        <f ca="1">+INDEX(WORLDCUP!$AR$6:$AR$97,MATCH(L7,WORLDCUP!$AI$6:$AI$97,0))&amp;"-"&amp;INDEX(WORLDCUP!$AS$6:$AS$97,MATCH(L7,WORLDCUP!$AI$6:$AI$97,0))</f>
        <v>0-5</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-6</v>
      </c>
      <c r="W7" s="455" t="str">
        <f ca="1">+INDEX(WORLDCUP!$AR$6:$AR$97,MATCH(X7,WORLDCUP!$AI$6:$AI$97,0))&amp;"-"&amp;INDEX(WORLDCUP!$AS$6:$AS$97,MATCH(X7,WORLDCUP!$AI$6:$AI$97,0))</f>
        <v>0-6</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Ale</v>
      </c>
      <c r="AJ7" s="460">
        <f>+IF(ISBLANK(INDEX(WORLDCUP!$AC$101:$AC$147,MATCH(AH7,WORLDCUP!$Z$101:$Z$147,0))),"",INDEX(WORLDCUP!$AC$101:$AC$147,MATCH(AH7,WORLDCUP!$Z$101:$Z$147,0)))</f>
        <v>1</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Cor</v>
      </c>
      <c r="AJ8" s="460">
        <f>+IF(ISBLANK(INDEX(WORLDCUP!$AD$101:$AD$147,MATCH(AH8,WORLDCUP!$Z$101:$Z$147,0))),"",INDEX(WORLDCUP!$AD$101:$AD$147,MATCH(AH8,WORLDCUP!$Z$101:$Z$147,0)))</f>
        <v>0</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2</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1</v>
      </c>
      <c r="AC10" s="430" t="str">
        <f>+IF(ISBLANK(INDEX(WORLDCUP!$AE$101:$AE$147,MATCH(Y10,WORLDCUP!$Z$101:$Z$147,0))),"","( "&amp;INDEX(WORLDCUP!$AE$101:$AE$147,MATCH(Y10,WORLDCUP!$Z$101:$Z$147,0))&amp;" )")</f>
        <v/>
      </c>
      <c r="AD10" s="476">
        <v>90</v>
      </c>
      <c r="AE10" s="432" t="str">
        <f ca="1">+MID(INDEX(WORLDCUP!$AA$101:$AA$147,MATCH(AD10,WORLDCUP!$Z$101:$Z$147,0)),1,3)</f>
        <v>Cor</v>
      </c>
      <c r="AF10" s="433">
        <f>+IF(ISBLANK(INDEX(WORLDCUP!$AC$101:$AC$147,MATCH(AD10,WORLDCUP!$Z$101:$Z$147,0))),"",INDEX(WORLDCUP!$AC$101:$AC$147,MATCH(AD10,WORLDCUP!$Z$101:$Z$147,0)))</f>
        <v>1</v>
      </c>
      <c r="AG10" s="477" t="str">
        <f>+IF(ISBLANK(INDEX(WORLDCUP!$AB$101:$AB$147,MATCH(AD10,WORLDCUP!$Z$101:$Z$147,0))),"","( "&amp;INDEX(WORLDCUP!$AB$101:$AB$147,MATCH(AD10,WORLDCUP!$Z$101:$Z$147,0))&amp;" )")</f>
        <v>( 4 )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1</v>
      </c>
      <c r="BK10" s="441">
        <f ca="1">COUNTIF(Pool!$C$210:$C$217,Fixture!BG10)-BL10-BM10-BN10-BO10</f>
        <v>0</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5</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1</v>
      </c>
      <c r="AG11" s="450" t="str">
        <f>+IF(ISBLANK(INDEX(WORLDCUP!$AE$101:$AE$147,MATCH(AD11,WORLDCUP!$Z$101:$Z$147,0))),"","( "&amp;INDEX(WORLDCUP!$AE$101:$AE$147,MATCH(AD11,WORLDCUP!$Z$101:$Z$147,0))&amp;" )")</f>
        <v>( 3 )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3</v>
      </c>
      <c r="F12" s="422" t="str">
        <f ca="1">+MID(INDEX(WORLDCUP!$AF$4:$AF$147,MATCH(A12,WORLDCUP!$AH$4:$AH$147,0)),1,3)</f>
        <v>Sui</v>
      </c>
      <c r="G12" s="423">
        <v>1</v>
      </c>
      <c r="H12" s="424" t="str">
        <f ca="1">+MID(INDEX(WORLDCUP!$AL$6:$AL$97,MATCH(L12,WORLDCUP!$AI$6:$AI$97,0)),1,3)</f>
        <v>Sui</v>
      </c>
      <c r="I12" s="425">
        <f ca="1">+INDEX(WORLDCUP!$AM$6:$AM$97,MATCH(L12,WORLDCUP!$AI$6:$AI$97,0))</f>
        <v>9</v>
      </c>
      <c r="J12" s="426">
        <f ca="1">+INDEX(WORLDCUP!$AT$6:$AT$97,MATCH(L12,WORLDCUP!$AI$6:$AI$97,0))</f>
        <v>5</v>
      </c>
      <c r="K12" s="427" t="str">
        <f ca="1">+INDEX(WORLDCUP!$AR$6:$AR$97,MATCH(L12,WORLDCUP!$AI$6:$AI$97,0))&amp;"-"&amp;INDEX(WORLDCUP!$AS$6:$AS$97,MATCH(L12,WORLDCUP!$AI$6:$AI$97,0))</f>
        <v>6-1</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9</v>
      </c>
      <c r="W12" s="427" t="str">
        <f ca="1">+INDEX(WORLDCUP!$AR$6:$AR$97,MATCH(X12,WORLDCUP!$AI$6:$AI$97,0))&amp;"-"&amp;INDEX(WORLDCUP!$AS$6:$AS$97,MATCH(X12,WORLDCUP!$AI$6:$AI$97,0))</f>
        <v>10-1</v>
      </c>
      <c r="X12" s="171" t="s">
        <v>682</v>
      </c>
      <c r="Y12" s="171">
        <v>75</v>
      </c>
      <c r="Z12" s="401" t="s">
        <v>676</v>
      </c>
      <c r="AA12" s="402" t="str">
        <f ca="1">+MID(INDEX(WORLDCUP!$AA$101:$AA$147,MATCH(Y12,WORLDCUP!$Z$101:$Z$147,0)),1,3)</f>
        <v>Jap</v>
      </c>
      <c r="AB12" s="448">
        <f>+IF(ISBLANK(INDEX(WORLDCUP!$AC$101:$AC$147,MATCH(Y12,WORLDCUP!$Z$101:$Z$147,0))),"",INDEX(WORLDCUP!$AC$101:$AC$147,MATCH(Y12,WORLDCUP!$Z$101:$Z$147,0)))</f>
        <v>1</v>
      </c>
      <c r="AC12" s="482" t="str">
        <f>+IF(ISBLANK(INDEX(WORLDCUP!$AB$101:$AB$147,MATCH(Y12,WORLDCUP!$Z$101:$Z$147,0))),"","( "&amp;INDEX(WORLDCUP!$AB$101:$AB$147,MATCH(Y12,WORLDCUP!$Z$101:$Z$147,0))&amp;" )")</f>
        <v>( 3 )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1</v>
      </c>
      <c r="BL12" s="441">
        <f ca="1">COUNTIF(Pool!$C$226:$C$229,Fixture!BG12)-BM12-BN12-BO12</f>
        <v>0</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1</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Can</v>
      </c>
      <c r="I13" s="38">
        <f ca="1">+INDEX(WORLDCUP!$AM$6:$AM$97,MATCH(L13,WORLDCUP!$AI$6:$AI$97,0))</f>
        <v>4</v>
      </c>
      <c r="J13" s="39">
        <f ca="1">+INDEX(WORLDCUP!$AT$6:$AT$97,MATCH(L13,WORLDCUP!$AI$6:$AI$97,0))</f>
        <v>1</v>
      </c>
      <c r="K13" s="43" t="str">
        <f ca="1">+INDEX(WORLDCUP!$AR$6:$AR$97,MATCH(L13,WORLDCUP!$AI$6:$AI$97,0))&amp;"-"&amp;INDEX(WORLDCUP!$AS$6:$AS$97,MATCH(L13,WORLDCUP!$AI$6:$AI$97,0))</f>
        <v>4-3</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6-2</v>
      </c>
      <c r="X13" s="171" t="s">
        <v>683</v>
      </c>
      <c r="Y13" s="171">
        <v>75</v>
      </c>
      <c r="Z13" s="401" t="s">
        <v>668</v>
      </c>
      <c r="AA13" s="456" t="str">
        <f ca="1">+MID(INDEX(WORLDCUP!$AF$101:$AF$147,MATCH(Y13,WORLDCUP!$Z$101:$Z$147,0)),1,3)</f>
        <v>Mar</v>
      </c>
      <c r="AB13" s="457">
        <f>+IF(ISBLANK(INDEX(WORLDCUP!$AD$101:$AD$147,MATCH(Y13,WORLDCUP!$Z$101:$Z$147,0))),"",INDEX(WORLDCUP!$AD$101:$AD$147,MATCH(Y13,WORLDCUP!$Z$101:$Z$147,0)))</f>
        <v>1</v>
      </c>
      <c r="AC13" s="483" t="str">
        <f>+IF(ISBLANK(INDEX(WORLDCUP!$AE$101:$AE$147,MATCH(Y13,WORLDCUP!$Z$101:$Z$147,0))),"","( "&amp;INDEX(WORLDCUP!$AE$101:$AE$147,MATCH(Y13,WORLDCUP!$Z$101:$Z$147,0))&amp;" )")</f>
        <v>( 5 )</v>
      </c>
      <c r="AD13" s="171"/>
      <c r="AE13" s="405"/>
      <c r="AF13" s="405"/>
      <c r="AG13" s="405"/>
      <c r="AH13" s="171"/>
      <c r="AI13" s="435"/>
      <c r="AJ13" s="435"/>
      <c r="AK13" s="475"/>
      <c r="AL13" s="476">
        <v>101</v>
      </c>
      <c r="AM13" s="484" t="str">
        <f ca="1">+MID(INDEX(WORLDCUP!$AA$101:$AA$147,MATCH(AL13,WORLDCUP!$Z$101:$Z$147,0)),1,3)</f>
        <v>Ale</v>
      </c>
      <c r="AN13" s="485">
        <f>+IF(ISBLANK(INDEX(WORLDCUP!$AC$101:$AC$147,MATCH(AL13,WORLDCUP!$Z$101:$Z$147,0))),"",INDEX(WORLDCUP!$AC$101:$AC$147,MATCH(AL13,WORLDCUP!$Z$101:$Z$147,0)))</f>
        <v>0</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2-2</v>
      </c>
      <c r="L14" s="171" t="s">
        <v>91</v>
      </c>
      <c r="M14" s="171">
        <v>37</v>
      </c>
      <c r="N14" s="481"/>
      <c r="O14" s="420" t="str">
        <f ca="1">+MID(INDEX(WORLDCUP!$AA$4:$AA$147,MATCH(M14,WORLDCUP!$AH$4:$AH$147,0)),1,3)</f>
        <v>Uru</v>
      </c>
      <c r="P14" s="421">
        <f>IF(ISBLANK(INDEX(WORLDCUP!$AC$4:$AC$147,MATCH(M14,WORLDCUP!$AH$4:$AH$147,0))),"",INDEX(WORLDCUP!$AC$4:$AC$147,MATCH(M14,WORLDCUP!$AH$4:$AH$147,0)))</f>
        <v>3</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-4</v>
      </c>
      <c r="W14" s="43" t="str">
        <f ca="1">+INDEX(WORLDCUP!$AR$6:$AR$97,MATCH(X14,WORLDCUP!$AI$6:$AI$97,0))&amp;"-"&amp;INDEX(WORLDCUP!$AS$6:$AS$97,MATCH(X14,WORLDCUP!$AI$6:$AI$97,0))</f>
        <v>2-6</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1</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1</v>
      </c>
      <c r="BJ14" s="440">
        <f ca="1">COUNTIF(Pool!$C$182:$C$197,Fixture!BG14)-BK14-BL14-BM14-BN14-BO14</f>
        <v>0</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2</v>
      </c>
      <c r="E15" s="421">
        <f>IF(ISBLANK(INDEX(WORLDCUP!$AD$4:$AD$147,MATCH(A15,WORLDCUP!$AH$4:$AH$147,0))),"",INDEX(WORLDCUP!$AD$4:$AD$147,MATCH(A15,WORLDCUP!$AH$4:$AH$147,0)))</f>
        <v>1</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-6</v>
      </c>
      <c r="K15" s="455" t="str">
        <f ca="1">+INDEX(WORLDCUP!$AR$6:$AR$97,MATCH(L15,WORLDCUP!$AI$6:$AI$97,0))&amp;"-"&amp;INDEX(WORLDCUP!$AS$6:$AS$97,MATCH(L15,WORLDCUP!$AI$6:$AI$97,0))</f>
        <v>0-6</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2</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-9</v>
      </c>
      <c r="W15" s="455" t="str">
        <f ca="1">+INDEX(WORLDCUP!$AR$6:$AR$97,MATCH(X15,WORLDCUP!$AI$6:$AI$97,0))&amp;"-"&amp;INDEX(WORLDCUP!$AS$6:$AS$97,MATCH(X15,WORLDCUP!$AI$6:$AI$97,0))</f>
        <v>1-10</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1</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0</v>
      </c>
      <c r="BJ17" s="440">
        <f ca="1">COUNTIF(Pool!$C$182:$C$197,Fixture!BG17)-BK17-BL17-BM17-BN17-BO17</f>
        <v>0</v>
      </c>
      <c r="BK17" s="441">
        <f ca="1">COUNTIF(Pool!$C$210:$C$217,Fixture!BG17)-BL17-BM17-BN17-BO17</f>
        <v>1</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3</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1</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1</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Jor</v>
      </c>
      <c r="AB19" s="457">
        <f>+IF(ISBLANK(INDEX(WORLDCUP!$AD$101:$AD$147,MATCH(Y19,WORLDCUP!$Z$101:$Z$147,0))),"",INDEX(WORLDCUP!$AD$101:$AD$147,MATCH(Y19,WORLDCUP!$Z$101:$Z$147,0)))</f>
        <v>1</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2</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1</v>
      </c>
      <c r="F20" s="422" t="str">
        <f ca="1">+MID(INDEX(WORLDCUP!$AF$4:$AF$147,MATCH(A20,WORLDCUP!$AH$4:$AH$147,0)),1,3)</f>
        <v>Esc</v>
      </c>
      <c r="G20" s="423">
        <v>1</v>
      </c>
      <c r="H20" s="424" t="str">
        <f ca="1">+MID(INDEX(WORLDCUP!$AL$6:$AL$97,MATCH(L20,WORLDCUP!$AI$6:$AI$97,0)),1,3)</f>
        <v>Bra</v>
      </c>
      <c r="I20" s="425">
        <f ca="1">+INDEX(WORLDCUP!$AM$6:$AM$97,MATCH(L20,WORLDCUP!$AI$6:$AI$97,0))</f>
        <v>7</v>
      </c>
      <c r="J20" s="426">
        <f ca="1">+INDEX(WORLDCUP!$AT$6:$AT$97,MATCH(L20,WORLDCUP!$AI$6:$AI$97,0))</f>
        <v>7</v>
      </c>
      <c r="K20" s="427" t="str">
        <f ca="1">+INDEX(WORLDCUP!$AR$6:$AR$97,MATCH(L20,WORLDCUP!$AI$6:$AI$97,0))&amp;"-"&amp;INDEX(WORLDCUP!$AS$6:$AS$97,MATCH(L20,WORLDCUP!$AI$6:$AI$97,0))</f>
        <v>8-1</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7</v>
      </c>
      <c r="V20" s="426">
        <f ca="1">+INDEX(WORLDCUP!$AT$6:$AT$97,MATCH(X20,WORLDCUP!$AI$6:$AI$97,0))</f>
        <v>4</v>
      </c>
      <c r="W20" s="427" t="str">
        <f ca="1">+INDEX(WORLDCUP!$AR$6:$AR$97,MATCH(X20,WORLDCUP!$AI$6:$AI$97,0))&amp;"-"&amp;INDEX(WORLDCUP!$AS$6:$AS$97,MATCH(X20,WORLDCUP!$AI$6:$AI$97,0))</f>
        <v>6-2</v>
      </c>
      <c r="X20" s="171" t="s">
        <v>685</v>
      </c>
      <c r="Y20" s="171"/>
      <c r="Z20" s="401"/>
      <c r="AA20" s="470"/>
      <c r="AB20" s="470"/>
      <c r="AC20" s="470"/>
      <c r="AD20" s="171"/>
      <c r="AE20" s="405"/>
      <c r="AF20" s="405"/>
      <c r="AG20" s="451"/>
      <c r="AH20" s="171">
        <v>98</v>
      </c>
      <c r="AI20" s="459" t="str">
        <f ca="1">+MID(INDEX(WORLDCUP!$AF$101:$AF$147,MATCH(AH20,WORLDCUP!$Z$101:$Z$147,0)),1,3)</f>
        <v>Par</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0</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Mar</v>
      </c>
      <c r="I21" s="38">
        <f ca="1">+INDEX(WORLDCUP!$AM$6:$AM$97,MATCH(L21,WORLDCUP!$AI$6:$AI$97,0))</f>
        <v>7</v>
      </c>
      <c r="J21" s="39">
        <f ca="1">+INDEX(WORLDCUP!$AT$6:$AT$97,MATCH(L21,WORLDCUP!$AI$6:$AI$97,0))</f>
        <v>5</v>
      </c>
      <c r="K21" s="43" t="str">
        <f ca="1">+INDEX(WORLDCUP!$AR$6:$AR$97,MATCH(L21,WORLDCUP!$AI$6:$AI$97,0))&amp;"-"&amp;INDEX(WORLDCUP!$AS$6:$AS$97,MATCH(L21,WORLDCUP!$AI$6:$AI$97,0))</f>
        <v>6-1</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2</v>
      </c>
      <c r="W21" s="43" t="str">
        <f ca="1">+INDEX(WORLDCUP!$AR$6:$AR$97,MATCH(X21,WORLDCUP!$AI$6:$AI$97,0))&amp;"-"&amp;INDEX(WORLDCUP!$AS$6:$AS$97,MATCH(X21,WORLDCUP!$AI$6:$AI$97,0))</f>
        <v>5-3</v>
      </c>
      <c r="X21" s="171" t="s">
        <v>686</v>
      </c>
      <c r="Y21" s="171">
        <v>81</v>
      </c>
      <c r="Z21" s="401" t="s">
        <v>670</v>
      </c>
      <c r="AA21" s="402" t="str">
        <f ca="1">+MID(INDEX(WORLDCUP!$AA$101:$AA$147,MATCH(Y21,WORLDCUP!$Z$101:$Z$147,0)),1,3)</f>
        <v>Par</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1</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5</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4-3</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0</v>
      </c>
      <c r="AC22" s="430" t="str">
        <f>+IF(ISBLANK(INDEX(WORLDCUP!$AE$101:$AE$147,MATCH(Y22,WORLDCUP!$Z$101:$Z$147,0))),"","( "&amp;INDEX(WORLDCUP!$AE$101:$AE$147,MATCH(Y22,WORLDCUP!$Z$101:$Z$147,0))&amp;" )")</f>
        <v/>
      </c>
      <c r="AD22" s="431">
        <v>94</v>
      </c>
      <c r="AE22" s="432" t="str">
        <f ca="1">+MID(INDEX(WORLDCUP!$AA$101:$AA$147,MATCH(AD22,WORLDCUP!$Z$101:$Z$147,0)),1,3)</f>
        <v>Par</v>
      </c>
      <c r="AF22" s="433">
        <f>+IF(ISBLANK(INDEX(WORLDCUP!$AC$101:$AC$147,MATCH(AD22,WORLDCUP!$Z$101:$Z$147,0))),"",INDEX(WORLDCUP!$AC$101:$AC$147,MATCH(AD22,WORLDCUP!$Z$101:$Z$147,0)))</f>
        <v>2</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-9</v>
      </c>
      <c r="K23" s="455" t="str">
        <f ca="1">+INDEX(WORLDCUP!$AR$6:$AR$97,MATCH(L23,WORLDCUP!$AI$6:$AI$97,0))&amp;"-"&amp;INDEX(WORLDCUP!$AS$6:$AS$97,MATCH(L23,WORLDCUP!$AI$6:$AI$97,0))</f>
        <v>0-9</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-7</v>
      </c>
      <c r="W23" s="455" t="str">
        <f ca="1">+INDEX(WORLDCUP!$AR$6:$AR$97,MATCH(X23,WORLDCUP!$AI$6:$AI$97,0))&amp;"-"&amp;INDEX(WORLDCUP!$AS$6:$AS$97,MATCH(X23,WORLDCUP!$AI$6:$AI$97,0))</f>
        <v>0-7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1</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Portugal</v>
      </c>
      <c r="BC23" s="505"/>
      <c r="BD23" s="143"/>
      <c r="BE23" s="143"/>
      <c r="BG23" s="438" t="str">
        <f ca="1">Horarios!Q22</f>
        <v>Escocia</v>
      </c>
      <c r="BH23" s="439">
        <f t="shared" ca="1" si="0"/>
        <v>1</v>
      </c>
      <c r="BI23" s="439">
        <f ca="1">COUNTIF(Pool!$C$130:$C$161,Fixture!BG23)-BJ23-BK23-BL23-BM23-BN23-BO23</f>
        <v>0</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Rep</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3</v>
      </c>
      <c r="AW25" s="515" t="str">
        <f>+IF(ISBLANK(INDEX(WORLDCUP!$AB$101:$AB$147,MATCH(AT25,WORLDCUP!$Z$101:$Z$147,0))),"","( "&amp;INDEX(WORLDCUP!$AB$101:$AB$147,MATCH(AT25,WORLDCUP!$Z$101:$Z$147,0))&amp;" )")</f>
        <v/>
      </c>
      <c r="AX25" s="516"/>
      <c r="AY25" s="503"/>
      <c r="AZ25" s="504" t="str">
        <f ca="1">+WORLDCUP!AA152</f>
        <v>Alemania</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2</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1</v>
      </c>
      <c r="BK26" s="441">
        <f ca="1">COUNTIF(Pool!$C$210:$C$217,Fixture!BG26)-BL26-BM26-BN26-BO26</f>
        <v>0</v>
      </c>
      <c r="BL26" s="441">
        <f ca="1">COUNTIF(Pool!$C$226:$C$229,Fixture!BG26)-BM26-BN26-BO26</f>
        <v>0</v>
      </c>
      <c r="BM26" s="439">
        <f ca="1">COUNTIF(Pool!$C$252,Fixture!BG26)</f>
        <v>0</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0</v>
      </c>
      <c r="E27" s="394">
        <f>IF(ISBLANK(INDEX(WORLDCUP!$AD$4:$AD$147,MATCH(A27,WORLDCUP!$AH$4:$AH$147,0))),"",INDEX(WORLDCUP!$AD$4:$AD$147,MATCH(A27,WORLDCUP!$AH$4:$AH$147,0)))</f>
        <v>2</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2</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1</v>
      </c>
      <c r="BI27" s="439">
        <f ca="1">COUNTIF(Pool!$C$130:$C$161,Fixture!BG27)-BJ27-BK27-BL27-BM27-BN27-BO27</f>
        <v>0</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0</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Par</v>
      </c>
      <c r="I28" s="425">
        <f ca="1">+INDEX(WORLDCUP!$AM$6:$AM$97,MATCH(L28,WORLDCUP!$AI$6:$AI$97,0))</f>
        <v>9</v>
      </c>
      <c r="J28" s="426">
        <f ca="1">+INDEX(WORLDCUP!$AT$6:$AT$97,MATCH(L28,WORLDCUP!$AI$6:$AI$97,0))</f>
        <v>4</v>
      </c>
      <c r="K28" s="427" t="str">
        <f ca="1">+INDEX(WORLDCUP!$AR$6:$AR$97,MATCH(L28,WORLDCUP!$AI$6:$AI$97,0))&amp;"-"&amp;INDEX(WORLDCUP!$AS$6:$AS$97,MATCH(L28,WORLDCUP!$AI$6:$AI$97,0))</f>
        <v>5-1</v>
      </c>
      <c r="L28" s="171" t="s">
        <v>670</v>
      </c>
      <c r="M28" s="171">
        <v>20</v>
      </c>
      <c r="N28" s="521"/>
      <c r="O28" s="420" t="str">
        <f ca="1">+MID(INDEX(WORLDCUP!$AA$4:$AA$147,MATCH(M28,WORLDCUP!$AH$4:$AH$147,0)),1,3)</f>
        <v>Aus</v>
      </c>
      <c r="P28" s="421">
        <f>IF(ISBLANK(INDEX(WORLDCUP!$AC$4:$AC$147,MATCH(M28,WORLDCUP!$AH$4:$AH$147,0))),"",INDEX(WORLDCUP!$AC$4:$AC$147,MATCH(M28,WORLDCUP!$AH$4:$AH$147,0)))</f>
        <v>1</v>
      </c>
      <c r="Q28" s="421">
        <f>IF(ISBLANK(INDEX(WORLDCUP!$AD$4:$AD$147,MATCH(M28,WORLDCUP!$AH$4:$AH$147,0))),"",INDEX(WORLDCUP!$AD$4:$AD$147,MATCH(M28,WORLDCUP!$AH$4:$AH$147,0)))</f>
        <v>1</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4</v>
      </c>
      <c r="W28" s="427" t="str">
        <f ca="1">+INDEX(WORLDCUP!$AR$6:$AR$97,MATCH(X28,WORLDCUP!$AI$6:$AI$97,0))&amp;"-"&amp;INDEX(WORLDCUP!$AS$6:$AS$97,MATCH(X28,WORLDCUP!$AI$6:$AI$97,0))</f>
        <v>4-0</v>
      </c>
      <c r="X28" s="171" t="s">
        <v>688</v>
      </c>
      <c r="Y28" s="171">
        <v>76</v>
      </c>
      <c r="Z28" s="401" t="s">
        <v>677</v>
      </c>
      <c r="AA28" s="402" t="str">
        <f ca="1">+MID(INDEX(WORLDCUP!$AF$101:$AF$147,MATCH(Y28,WORLDCUP!$Z$101:$Z$147,0)),1,3)</f>
        <v>Paí</v>
      </c>
      <c r="AB28" s="429">
        <f>+IF(ISBLANK(INDEX(WORLDCUP!$AD$101:$AD$147,MATCH(Y28,WORLDCUP!$Z$101:$Z$147,0))),"",INDEX(WORLDCUP!$AD$101:$AD$147,MATCH(Y28,WORLDCUP!$Z$101:$Z$147,0)))</f>
        <v>0</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2</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1</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Tur</v>
      </c>
      <c r="I29" s="38">
        <f ca="1">+INDEX(WORLDCUP!$AM$6:$AM$97,MATCH(L29,WORLDCUP!$AI$6:$AI$97,0))</f>
        <v>6</v>
      </c>
      <c r="J29" s="39">
        <f ca="1">+INDEX(WORLDCUP!$AT$6:$AT$97,MATCH(L29,WORLDCUP!$AI$6:$AI$97,0))</f>
        <v>2</v>
      </c>
      <c r="K29" s="43" t="str">
        <f ca="1">+INDEX(WORLDCUP!$AR$6:$AR$97,MATCH(L29,WORLDCUP!$AI$6:$AI$97,0))&amp;"-"&amp;INDEX(WORLDCUP!$AS$6:$AS$97,MATCH(L29,WORLDCUP!$AI$6:$AI$97,0))</f>
        <v>4-2</v>
      </c>
      <c r="L29" s="171" t="s">
        <v>671</v>
      </c>
      <c r="M29" s="171">
        <v>43</v>
      </c>
      <c r="N29" s="521"/>
      <c r="O29" s="420" t="str">
        <f ca="1">+MID(INDEX(WORLDCUP!$AA$4:$AA$147,MATCH(M29,WORLDCUP!$AH$4:$AH$147,0)),1,3)</f>
        <v>Arg</v>
      </c>
      <c r="P29" s="421">
        <f>IF(ISBLANK(INDEX(WORLDCUP!$AC$4:$AC$147,MATCH(M29,WORLDCUP!$AH$4:$AH$147,0))),"",INDEX(WORLDCUP!$AC$4:$AC$147,MATCH(M29,WORLDCUP!$AH$4:$AH$147,0)))</f>
        <v>1</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Jor</v>
      </c>
      <c r="U29" s="38">
        <f ca="1">+INDEX(WORLDCUP!$AM$6:$AM$97,MATCH(X29,WORLDCUP!$AI$6:$AI$97,0))</f>
        <v>4</v>
      </c>
      <c r="V29" s="39">
        <f ca="1">+INDEX(WORLDCUP!$AT$6:$AT$97,MATCH(X29,WORLDCUP!$AI$6:$AI$97,0))</f>
        <v>0</v>
      </c>
      <c r="W29" s="43" t="str">
        <f ca="1">+INDEX(WORLDCUP!$AR$6:$AR$97,MATCH(X29,WORLDCUP!$AI$6:$AI$97,0))&amp;"-"&amp;INDEX(WORLDCUP!$AS$6:$AS$97,MATCH(X29,WORLDCUP!$AI$6:$AI$97,0))</f>
        <v>3-3</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0</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1</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2</v>
      </c>
      <c r="F30" s="422" t="str">
        <f ca="1">+MID(INDEX(WORLDCUP!$AF$4:$AF$147,MATCH(A30,WORLDCUP!$AH$4:$AH$147,0)),1,3)</f>
        <v>Par</v>
      </c>
      <c r="G30" s="443">
        <v>3</v>
      </c>
      <c r="H30" s="444" t="str">
        <f ca="1">+MID(INDEX(WORLDCUP!$AL$6:$AL$97,MATCH(L30,WORLDCUP!$AI$6:$AI$97,0)),1,3)</f>
        <v>Est</v>
      </c>
      <c r="I30" s="38">
        <f ca="1">+INDEX(WORLDCUP!$AM$6:$AM$97,MATCH(L30,WORLDCUP!$AI$6:$AI$97,0))</f>
        <v>3</v>
      </c>
      <c r="J30" s="39">
        <f ca="1">+INDEX(WORLDCUP!$AT$6:$AT$97,MATCH(L30,WORLDCUP!$AI$6:$AI$97,0))</f>
        <v>-2</v>
      </c>
      <c r="K30" s="43" t="str">
        <f ca="1">+INDEX(WORLDCUP!$AR$6:$AR$97,MATCH(L30,WORLDCUP!$AI$6:$AI$97,0))&amp;"-"&amp;INDEX(WORLDCUP!$AS$6:$AS$97,MATCH(L30,WORLDCUP!$AI$6:$AI$97,0))</f>
        <v>1-3</v>
      </c>
      <c r="L30" s="171" t="s">
        <v>93</v>
      </c>
      <c r="M30" s="171">
        <v>44</v>
      </c>
      <c r="N30" s="521"/>
      <c r="O30" s="420" t="str">
        <f ca="1">+MID(INDEX(WORLDCUP!$AA$4:$AA$147,MATCH(M30,WORLDCUP!$AH$4:$AH$147,0)),1,3)</f>
        <v>Jor</v>
      </c>
      <c r="P30" s="421">
        <f>IF(ISBLANK(INDEX(WORLDCUP!$AC$4:$AC$147,MATCH(M30,WORLDCUP!$AH$4:$AH$147,0))),"",INDEX(WORLDCUP!$AC$4:$AC$147,MATCH(M30,WORLDCUP!$AH$4:$AH$147,0)))</f>
        <v>2</v>
      </c>
      <c r="Q30" s="421">
        <f>IF(ISBLANK(INDEX(WORLDCUP!$AD$4:$AD$147,MATCH(M30,WORLDCUP!$AH$4:$AH$147,0))),"",INDEX(WORLDCUP!$AD$4:$AD$147,MATCH(M30,WORLDCUP!$AH$4:$AH$147,0)))</f>
        <v>1</v>
      </c>
      <c r="R30" s="422" t="str">
        <f ca="1">+MID(INDEX(WORLDCUP!$AF$4:$AF$147,MATCH(M30,WORLDCUP!$AH$4:$AH$147,0)),1,3)</f>
        <v>Arg</v>
      </c>
      <c r="S30" s="443">
        <v>3</v>
      </c>
      <c r="T30" s="444" t="str">
        <f ca="1">+MID(INDEX(WORLDCUP!$AL$6:$AL$97,MATCH(X30,WORLDCUP!$AI$6:$AI$97,0)),1,3)</f>
        <v>Aus</v>
      </c>
      <c r="U30" s="38">
        <f ca="1">+INDEX(WORLDCUP!$AM$6:$AM$97,MATCH(X30,WORLDCUP!$AI$6:$AI$97,0))</f>
        <v>4</v>
      </c>
      <c r="V30" s="39">
        <f ca="1">+INDEX(WORLDCUP!$AT$6:$AT$97,MATCH(X30,WORLDCUP!$AI$6:$AI$97,0))</f>
        <v>0</v>
      </c>
      <c r="W30" s="43" t="str">
        <f ca="1">+INDEX(WORLDCUP!$AR$6:$AR$97,MATCH(X30,WORLDCUP!$AI$6:$AI$97,0))&amp;"-"&amp;INDEX(WORLDCUP!$AS$6:$AS$97,MATCH(X30,WORLDCUP!$AI$6:$AI$97,0))</f>
        <v>3-3</v>
      </c>
      <c r="X30" s="171" t="s">
        <v>451</v>
      </c>
      <c r="Y30" s="171">
        <v>78</v>
      </c>
      <c r="Z30" s="401" t="s">
        <v>674</v>
      </c>
      <c r="AA30" s="402" t="str">
        <f ca="1">+MID(INDEX(WORLDCUP!$AA$101:$AA$147,MATCH(Y30,WORLDCUP!$Z$101:$Z$147,0)),1,3)</f>
        <v>Ecu</v>
      </c>
      <c r="AB30" s="448">
        <f>+IF(ISBLANK(INDEX(WORLDCUP!$AC$101:$AC$147,MATCH(Y30,WORLDCUP!$Z$101:$Z$147,0))),"",INDEX(WORLDCUP!$AC$101:$AC$147,MATCH(Y30,WORLDCUP!$Z$101:$Z$147,0)))</f>
        <v>2</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0</v>
      </c>
      <c r="F31" s="422" t="str">
        <f ca="1">+MID(INDEX(WORLDCUP!$AF$4:$AF$147,MATCH(A31,WORLDCUP!$AH$4:$AH$147,0)),1,3)</f>
        <v>Est</v>
      </c>
      <c r="G31" s="443">
        <v>4</v>
      </c>
      <c r="H31" s="452" t="str">
        <f ca="1">+MID(INDEX(WORLDCUP!$AL$6:$AL$97,MATCH(L31,WORLDCUP!$AI$6:$AI$97,0)),1,3)</f>
        <v>Aus</v>
      </c>
      <c r="I31" s="453">
        <f ca="1">+INDEX(WORLDCUP!$AM$6:$AM$97,MATCH(L31,WORLDCUP!$AI$6:$AI$97,0))</f>
        <v>0</v>
      </c>
      <c r="J31" s="454">
        <f ca="1">+INDEX(WORLDCUP!$AT$6:$AT$97,MATCH(L31,WORLDCUP!$AI$6:$AI$97,0))</f>
        <v>-4</v>
      </c>
      <c r="K31" s="455" t="str">
        <f ca="1">+INDEX(WORLDCUP!$AR$6:$AR$97,MATCH(L31,WORLDCUP!$AI$6:$AI$97,0))&amp;"-"&amp;INDEX(WORLDCUP!$AS$6:$AS$97,MATCH(L31,WORLDCUP!$AI$6:$AI$97,0))</f>
        <v>0-4</v>
      </c>
      <c r="L31" s="171" t="s">
        <v>672</v>
      </c>
      <c r="M31" s="171">
        <v>69</v>
      </c>
      <c r="N31" s="521"/>
      <c r="O31" s="420" t="str">
        <f ca="1">+MID(INDEX(WORLDCUP!$AA$4:$AA$147,MATCH(M31,WORLDCUP!$AH$4:$AH$147,0)),1,3)</f>
        <v>Arg</v>
      </c>
      <c r="P31" s="421">
        <f>IF(ISBLANK(INDEX(WORLDCUP!$AC$4:$AC$147,MATCH(M31,WORLDCUP!$AH$4:$AH$147,0))),"",INDEX(WORLDCUP!$AC$4:$AC$147,MATCH(M31,WORLDCUP!$AH$4:$AH$147,0)))</f>
        <v>1</v>
      </c>
      <c r="Q31" s="421">
        <f>IF(ISBLANK(INDEX(WORLDCUP!$AD$4:$AD$147,MATCH(M31,WORLDCUP!$AH$4:$AH$147,0))),"",INDEX(WORLDCUP!$AD$4:$AD$147,MATCH(M31,WORLDCUP!$AH$4:$AH$147,0)))</f>
        <v>2</v>
      </c>
      <c r="R31" s="422" t="str">
        <f ca="1">+MID(INDEX(WORLDCUP!$AF$4:$AF$147,MATCH(M31,WORLDCUP!$AH$4:$AH$147,0)),1,3)</f>
        <v>Aus</v>
      </c>
      <c r="S31" s="443">
        <v>4</v>
      </c>
      <c r="T31" s="452" t="str">
        <f ca="1">+MID(INDEX(WORLDCUP!$AL$6:$AL$97,MATCH(X31,WORLDCUP!$AI$6:$AI$97,0)),1,3)</f>
        <v>Arg</v>
      </c>
      <c r="U31" s="453">
        <f ca="1">+INDEX(WORLDCUP!$AM$6:$AM$97,MATCH(X31,WORLDCUP!$AI$6:$AI$97,0))</f>
        <v>0</v>
      </c>
      <c r="V31" s="454">
        <f ca="1">+INDEX(WORLDCUP!$AT$6:$AT$97,MATCH(X31,WORLDCUP!$AI$6:$AI$97,0))</f>
        <v>-4</v>
      </c>
      <c r="W31" s="455" t="str">
        <f ca="1">+INDEX(WORLDCUP!$AR$6:$AR$97,MATCH(X31,WORLDCUP!$AI$6:$AI$97,0))&amp;"-"&amp;INDEX(WORLDCUP!$AS$6:$AS$97,MATCH(X31,WORLDCUP!$AI$6:$AI$97,0))</f>
        <v>2-6</v>
      </c>
      <c r="X31" s="171" t="s">
        <v>690</v>
      </c>
      <c r="Y31" s="171">
        <v>78</v>
      </c>
      <c r="Z31" s="401" t="s">
        <v>686</v>
      </c>
      <c r="AA31" s="456" t="str">
        <f ca="1">+MID(INDEX(WORLDCUP!$AF$101:$AF$147,MATCH(Y31,WORLDCUP!$Z$101:$Z$147,0)),1,3)</f>
        <v>Nor</v>
      </c>
      <c r="AB31" s="457">
        <f>+IF(ISBLANK(INDEX(WORLDCUP!$AD$101:$AD$147,MATCH(Y31,WORLDCUP!$Z$101:$Z$147,0))),"",INDEX(WORLDCUP!$AD$101:$AD$147,MATCH(Y31,WORLDCUP!$Z$101:$Z$147,0)))</f>
        <v>0</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1</v>
      </c>
      <c r="AK31" s="461" t="str">
        <f>+IF(ISBLANK(INDEX(WORLDCUP!$AB$101:$AB$147,MATCH(AH31,WORLDCUP!$Z$101:$Z$147,0))),"","( "&amp;INDEX(WORLDCUP!$AB$101:$AB$147,MATCH(AH31,WORLDCUP!$Z$101:$Z$147,0))&amp;" )")</f>
        <v>( 2 )</v>
      </c>
      <c r="AL31" s="171"/>
      <c r="AM31" s="407"/>
      <c r="AN31" s="407"/>
      <c r="AO31" s="488"/>
      <c r="AP31" s="522">
        <v>103</v>
      </c>
      <c r="AQ31" s="523" t="str">
        <f ca="1">+MID(INDEX(WORLDCUP!$AA$101:$AA$147,MATCH(AP31,WORLDCUP!$Z$101:$Z$147,0)),1,4)</f>
        <v>Alem</v>
      </c>
      <c r="AR31" s="524">
        <f>+IF(ISBLANK(INDEX(WORLDCUP!$AC$101:$AC$147,MATCH(AP31,WORLDCUP!$Z$101:$Z$147,0))),"",INDEX(WORLDCUP!$AC$101:$AC$147,MATCH(AP31,WORLDCUP!$Z$101:$Z$147,0)))</f>
        <v>1</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1</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1</v>
      </c>
      <c r="AK32" s="471" t="str">
        <f>+IF(ISBLANK(INDEX(WORLDCUP!$AE$101:$AE$147,MATCH(AH32,WORLDCUP!$Z$101:$Z$147,0))),"","( "&amp;INDEX(WORLDCUP!$AE$101:$AE$147,MATCH(AH32,WORLDCUP!$Z$101:$Z$147,0))&amp;" )")</f>
        <v>( 4 )</v>
      </c>
      <c r="AL32" s="171"/>
      <c r="AM32" s="407"/>
      <c r="AN32" s="407"/>
      <c r="AO32" s="488"/>
      <c r="AP32" s="391">
        <v>103</v>
      </c>
      <c r="AQ32" s="523" t="str">
        <f ca="1">+MID(INDEX(WORLDCUP!$AF$101:$AF$147,MATCH(AP32,WORLDCUP!$Z$101:$Z$147,0)),1,4)</f>
        <v>Ingl</v>
      </c>
      <c r="AR32" s="524">
        <f>+IF(ISBLANK(INDEX(WORLDCUP!$AD$101:$AD$147,MATCH(AP32,WORLDCUP!$Z$101:$Z$147,0))),"",INDEX(WORLDCUP!$AD$101:$AD$147,MATCH(AP32,WORLDCUP!$Z$101:$Z$147,0)))</f>
        <v>0</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1</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0</v>
      </c>
      <c r="BI33" s="439">
        <f ca="1">COUNTIF(Pool!$C$130:$C$161,Fixture!BG33)-BJ33-BK33-BL33-BM33-BN33-BO33</f>
        <v>1</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Cos</v>
      </c>
      <c r="AB34" s="429">
        <f>+IF(ISBLANK(INDEX(WORLDCUP!$AD$101:$AD$147,MATCH(Y34,WORLDCUP!$Z$101:$Z$147,0))),"",INDEX(WORLDCUP!$AD$101:$AD$147,MATCH(Y34,WORLDCUP!$Z$101:$Z$147,0)))</f>
        <v>0</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1</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5</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1</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8</v>
      </c>
      <c r="K36" s="427" t="str">
        <f ca="1">+INDEX(WORLDCUP!$AR$6:$AR$97,MATCH(L36,WORLDCUP!$AI$6:$AI$97,0))&amp;"-"&amp;INDEX(WORLDCUP!$AS$6:$AS$97,MATCH(L36,WORLDCUP!$AI$6:$AI$97,0))</f>
        <v>9-1</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6</v>
      </c>
      <c r="W36" s="427" t="str">
        <f ca="1">+INDEX(WORLDCUP!$AR$6:$AR$97,MATCH(X36,WORLDCUP!$AI$6:$AI$97,0))&amp;"-"&amp;INDEX(WORLDCUP!$AS$6:$AS$97,MATCH(X36,WORLDCUP!$AI$6:$AI$97,0))</f>
        <v>7-1</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6</v>
      </c>
      <c r="J37" s="39">
        <f ca="1">+INDEX(WORLDCUP!$AT$6:$AT$97,MATCH(L37,WORLDCUP!$AI$6:$AI$97,0))</f>
        <v>3</v>
      </c>
      <c r="K37" s="43" t="str">
        <f ca="1">+INDEX(WORLDCUP!$AR$6:$AR$97,MATCH(L37,WORLDCUP!$AI$6:$AI$97,0))&amp;"-"&amp;INDEX(WORLDCUP!$AS$6:$AS$97,MATCH(L37,WORLDCUP!$AI$6:$AI$97,0))</f>
        <v>6-3</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71" t="s">
        <v>692</v>
      </c>
      <c r="Y37" s="171">
        <v>80</v>
      </c>
      <c r="Z37" s="401" t="s">
        <v>737</v>
      </c>
      <c r="AA37" s="456" t="str">
        <f ca="1">+MID(INDEX(WORLDCUP!$AF$101:$AF$147,MATCH(Y37,WORLDCUP!$Z$101:$Z$147,0)),1,IF(WORLDCUP!$H$113&lt;144,6,3))</f>
        <v>Aus</v>
      </c>
      <c r="AB37" s="457">
        <f>+IF(ISBLANK(INDEX(WORLDCUP!$AD$101:$AD$147,MATCH(Y37,WORLDCUP!$Z$101:$Z$147,0))),"",INDEX(WORLDCUP!$AD$101:$AD$147,MATCH(Y37,WORLDCUP!$Z$101:$Z$147,0)))</f>
        <v>1</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1</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3-4</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-4</v>
      </c>
      <c r="W38" s="43" t="str">
        <f ca="1">+INDEX(WORLDCUP!$AR$6:$AR$97,MATCH(X38,WORLDCUP!$AI$6:$AI$97,0))&amp;"-"&amp;INDEX(WORLDCUP!$AS$6:$AS$97,MATCH(X38,WORLDCUP!$AI$6:$AI$97,0))</f>
        <v>1-5</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2</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-10</v>
      </c>
      <c r="K39" s="455" t="str">
        <f ca="1">+INDEX(WORLDCUP!$AR$6:$AR$97,MATCH(L39,WORLDCUP!$AI$6:$AI$97,0))&amp;"-"&amp;INDEX(WORLDCUP!$AS$6:$AS$97,MATCH(L39,WORLDCUP!$AI$6:$AI$97,0))</f>
        <v>0-10</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-5</v>
      </c>
      <c r="W39" s="455" t="str">
        <f ca="1">+INDEX(WORLDCUP!$AR$6:$AR$97,MATCH(X39,WORLDCUP!$AI$6:$AI$97,0))&amp;"-"&amp;INDEX(WORLDCUP!$AS$6:$AS$97,MATCH(X39,WORLDCUP!$AI$6:$AI$97,0))</f>
        <v>1-6</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0</v>
      </c>
      <c r="BJ40" s="440">
        <f ca="1">COUNTIF(Pool!$C$182:$C$197,Fixture!BG40)-BK40-BL40-BM40-BN40-BO40</f>
        <v>0</v>
      </c>
      <c r="BK40" s="441">
        <f ca="1">COUNTIF(Pool!$C$210:$C$217,Fixture!BG40)-BL40-BM40-BN40-BO40</f>
        <v>1</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Tur</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1</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Tur</v>
      </c>
      <c r="AB42" s="448">
        <f>+IF(ISBLANK(INDEX(WORLDCUP!$AC$101:$AC$147,MATCH(Y42,WORLDCUP!$Z$101:$Z$147,0))),"",INDEX(WORLDCUP!$AC$101:$AC$147,MATCH(Y42,WORLDCUP!$Z$101:$Z$147,0)))</f>
        <v>1</v>
      </c>
      <c r="AC42" s="482" t="str">
        <f>+IF(ISBLANK(INDEX(WORLDCUP!$AB$101:$AB$147,MATCH(Y42,WORLDCUP!$Z$101:$Z$147,0))),"","( "&amp;INDEX(WORLDCUP!$AB$101:$AB$147,MATCH(Y42,WORLDCUP!$Z$101:$Z$147,0))&amp;" )")</f>
        <v>( 4 )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1</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( 2 )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0</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2</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Jap</v>
      </c>
      <c r="I44" s="425">
        <f ca="1">+INDEX(WORLDCUP!$AM$6:$AM$97,MATCH(L44,WORLDCUP!$AI$6:$AI$97,0))</f>
        <v>7</v>
      </c>
      <c r="J44" s="426">
        <f ca="1">+INDEX(WORLDCUP!$AT$6:$AT$97,MATCH(L44,WORLDCUP!$AI$6:$AI$97,0))</f>
        <v>4</v>
      </c>
      <c r="K44" s="427" t="str">
        <f ca="1">+INDEX(WORLDCUP!$AR$6:$AR$97,MATCH(L44,WORLDCUP!$AI$6:$AI$97,0))&amp;"-"&amp;INDEX(WORLDCUP!$AS$6:$AS$97,MATCH(L44,WORLDCUP!$AI$6:$AI$97,0))</f>
        <v>6-2</v>
      </c>
      <c r="L44" s="171" t="s">
        <v>676</v>
      </c>
      <c r="M44" s="171">
        <v>21</v>
      </c>
      <c r="N44" s="544"/>
      <c r="O44" s="420" t="str">
        <f ca="1">+MID(INDEX(WORLDCUP!$AA$4:$AA$147,MATCH(M44,WORLDCUP!$AH$4:$AH$147,0)),1,3)</f>
        <v>Gha</v>
      </c>
      <c r="P44" s="421">
        <f>IF(ISBLANK(INDEX(WORLDCUP!$AC$4:$AC$147,MATCH(M44,WORLDCUP!$AH$4:$AH$147,0))),"",INDEX(WORLDCUP!$AC$4:$AC$147,MATCH(M44,WORLDCUP!$AH$4:$AH$147,0)))</f>
        <v>1</v>
      </c>
      <c r="Q44" s="421">
        <f>IF(ISBLANK(INDEX(WORLDCUP!$AD$4:$AD$147,MATCH(M44,WORLDCUP!$AH$4:$AH$147,0))),"",INDEX(WORLDCUP!$AD$4:$AD$147,MATCH(M44,WORLDCUP!$AH$4:$AH$147,0)))</f>
        <v>2</v>
      </c>
      <c r="R44" s="422" t="str">
        <f ca="1">+MID(INDEX(WORLDCUP!$AF$4:$AF$147,MATCH(M44,WORLDCUP!$AH$4:$AH$147,0)),1,3)</f>
        <v>Pan</v>
      </c>
      <c r="S44" s="423">
        <v>1</v>
      </c>
      <c r="T44" s="424" t="str">
        <f ca="1">+MID(INDEX(WORLDCUP!$AL$6:$AL$97,MATCH(X44,WORLDCUP!$AI$6:$AI$97,0)),1,3)</f>
        <v>Ing</v>
      </c>
      <c r="U44" s="425">
        <f ca="1">+INDEX(WORLDCUP!$AM$6:$AM$97,MATCH(X44,WORLDCUP!$AI$6:$AI$97,0))</f>
        <v>7</v>
      </c>
      <c r="V44" s="426">
        <f ca="1">+INDEX(WORLDCUP!$AT$6:$AT$97,MATCH(X44,WORLDCUP!$AI$6:$AI$97,0))</f>
        <v>3</v>
      </c>
      <c r="W44" s="427" t="str">
        <f ca="1">+INDEX(WORLDCUP!$AR$6:$AR$97,MATCH(X44,WORLDCUP!$AI$6:$AI$97,0))&amp;"-"&amp;INDEX(WORLDCUP!$AS$6:$AS$97,MATCH(X44,WORLDCUP!$AI$6:$AI$97,0))</f>
        <v>4-1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1</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Paí</v>
      </c>
      <c r="I45" s="38">
        <f ca="1">+INDEX(WORLDCUP!$AM$6:$AM$97,MATCH(L45,WORLDCUP!$AI$6:$AI$97,0))</f>
        <v>7</v>
      </c>
      <c r="J45" s="39">
        <f ca="1">+INDEX(WORLDCUP!$AT$6:$AT$97,MATCH(L45,WORLDCUP!$AI$6:$AI$97,0))</f>
        <v>3</v>
      </c>
      <c r="K45" s="43" t="str">
        <f ca="1">+INDEX(WORLDCUP!$AR$6:$AR$97,MATCH(L45,WORLDCUP!$AI$6:$AI$97,0))&amp;"-"&amp;INDEX(WORLDCUP!$AS$6:$AS$97,MATCH(L45,WORLDCUP!$AI$6:$AI$97,0))</f>
        <v>4-1</v>
      </c>
      <c r="L45" s="171" t="s">
        <v>677</v>
      </c>
      <c r="M45" s="171">
        <v>45</v>
      </c>
      <c r="N45" s="544"/>
      <c r="O45" s="420" t="str">
        <f ca="1">+MID(INDEX(WORLDCUP!$AA$4:$AA$147,MATCH(M45,WORLDCUP!$AH$4:$AH$147,0)),1,3)</f>
        <v>Ing</v>
      </c>
      <c r="P45" s="421">
        <f>IF(ISBLANK(INDEX(WORLDCUP!$AC$4:$AC$147,MATCH(M45,WORLDCUP!$AH$4:$AH$147,0))),"",INDEX(WORLDCUP!$AC$4:$AC$147,MATCH(M45,WORLDCUP!$AH$4:$AH$147,0)))</f>
        <v>1</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5</v>
      </c>
      <c r="V45" s="39">
        <f ca="1">+INDEX(WORLDCUP!$AT$6:$AT$97,MATCH(X45,WORLDCUP!$AI$6:$AI$97,0))</f>
        <v>2</v>
      </c>
      <c r="W45" s="43" t="str">
        <f ca="1">+INDEX(WORLDCUP!$AR$6:$AR$97,MATCH(X45,WORLDCUP!$AI$6:$AI$97,0))&amp;"-"&amp;INDEX(WORLDCUP!$AS$6:$AS$97,MATCH(X45,WORLDCUP!$AI$6:$AI$97,0))</f>
        <v>4-2</v>
      </c>
      <c r="X45" s="171" t="s">
        <v>695</v>
      </c>
      <c r="Y45" s="171">
        <v>85</v>
      </c>
      <c r="Z45" s="401" t="s">
        <v>660</v>
      </c>
      <c r="AA45" s="402" t="str">
        <f ca="1">+MID(INDEX(WORLDCUP!$AA$101:$AA$147,MATCH(Y45,WORLDCUP!$Z$101:$Z$147,0)),1,3)</f>
        <v>Sui</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3</v>
      </c>
      <c r="F46" s="422" t="str">
        <f ca="1">+MID(INDEX(WORLDCUP!$AF$4:$AF$147,MATCH(A46,WORLDCUP!$AH$4:$AH$147,0)),1,3)</f>
        <v>Jap</v>
      </c>
      <c r="G46" s="443">
        <v>3</v>
      </c>
      <c r="H46" s="444" t="str">
        <f ca="1">+MID(INDEX(WORLDCUP!$AL$6:$AL$97,MATCH(L46,WORLDCUP!$AI$6:$AI$97,0)),1,3)</f>
        <v>Sue</v>
      </c>
      <c r="I46" s="38">
        <f ca="1">+INDEX(WORLDCUP!$AM$6:$AM$97,MATCH(L46,WORLDCUP!$AI$6:$AI$97,0))</f>
        <v>3</v>
      </c>
      <c r="J46" s="39">
        <f ca="1">+INDEX(WORLDCUP!$AT$6:$AT$97,MATCH(L46,WORLDCUP!$AI$6:$AI$97,0))</f>
        <v>-1</v>
      </c>
      <c r="K46" s="43" t="str">
        <f ca="1">+INDEX(WORLDCUP!$AR$6:$AR$97,MATCH(L46,WORLDCUP!$AI$6:$AI$97,0))&amp;"-"&amp;INDEX(WORLDCUP!$AS$6:$AS$97,MATCH(L46,WORLDCUP!$AI$6:$AI$97,0))</f>
        <v>3-4</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Pan</v>
      </c>
      <c r="U46" s="38">
        <f ca="1">+INDEX(WORLDCUP!$AM$6:$AM$97,MATCH(X46,WORLDCUP!$AI$6:$AI$97,0))</f>
        <v>3</v>
      </c>
      <c r="V46" s="39">
        <f ca="1">+INDEX(WORLDCUP!$AT$6:$AT$97,MATCH(X46,WORLDCUP!$AI$6:$AI$97,0))</f>
        <v>-3</v>
      </c>
      <c r="W46" s="43" t="str">
        <f ca="1">+INDEX(WORLDCUP!$AR$6:$AR$97,MATCH(X46,WORLDCUP!$AI$6:$AI$97,0))&amp;"-"&amp;INDEX(WORLDCUP!$AS$6:$AS$97,MATCH(X46,WORLDCUP!$AI$6:$AI$97,0))</f>
        <v>2-5</v>
      </c>
      <c r="X46" s="171" t="s">
        <v>453</v>
      </c>
      <c r="Y46" s="171">
        <v>85</v>
      </c>
      <c r="Z46" s="401" t="s">
        <v>740</v>
      </c>
      <c r="AA46" s="402" t="str">
        <f ca="1">+MID(INDEX(WORLDCUP!$AF$101:$AF$147,MATCH(Y46,WORLDCUP!$Z$101:$Z$147,0)),1,IF(WORLDCUP!$H$113&lt;144,6,3))</f>
        <v>Irá</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1</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2</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-6</v>
      </c>
      <c r="K47" s="455" t="str">
        <f ca="1">+INDEX(WORLDCUP!$AR$6:$AR$97,MATCH(L47,WORLDCUP!$AI$6:$AI$97,0))&amp;"-"&amp;INDEX(WORLDCUP!$AS$6:$AS$97,MATCH(L47,WORLDCUP!$AI$6:$AI$97,0))</f>
        <v>0-6</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2</v>
      </c>
      <c r="R47" s="422" t="str">
        <f ca="1">+MID(INDEX(WORLDCUP!$AF$4:$AF$147,MATCH(M47,WORLDCUP!$AH$4:$AH$147,0)),1,3)</f>
        <v>Ing</v>
      </c>
      <c r="S47" s="443">
        <v>4</v>
      </c>
      <c r="T47" s="452" t="str">
        <f ca="1">+MID(INDEX(WORLDCUP!$AL$6:$AL$97,MATCH(X47,WORLDCUP!$AI$6:$AI$97,0)),1,3)</f>
        <v>Gha</v>
      </c>
      <c r="U47" s="453">
        <f ca="1">+INDEX(WORLDCUP!$AM$6:$AM$97,MATCH(X47,WORLDCUP!$AI$6:$AI$97,0))</f>
        <v>1</v>
      </c>
      <c r="V47" s="454">
        <f ca="1">+INDEX(WORLDCUP!$AT$6:$AT$97,MATCH(X47,WORLDCUP!$AI$6:$AI$97,0))</f>
        <v>-2</v>
      </c>
      <c r="W47" s="455" t="str">
        <f ca="1">+INDEX(WORLDCUP!$AR$6:$AR$97,MATCH(X47,WORLDCUP!$AI$6:$AI$97,0))&amp;"-"&amp;INDEX(WORLDCUP!$AS$6:$AS$97,MATCH(X47,WORLDCUP!$AI$6:$AI$97,0))</f>
        <v>2-4</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1</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1</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1</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Sen</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Austria</v>
      </c>
      <c r="E2" s="9" t="str">
        <f ca="1">+WORLDCUP!BD66</f>
        <v>Senegal</v>
      </c>
      <c r="F2" s="9" t="str">
        <f ca="1">+WORLDCUP!BD63</f>
        <v>Suecia</v>
      </c>
      <c r="G2" s="9" t="str">
        <f ca="1">+WORLDCUP!BD65</f>
        <v>Arabia Saudita</v>
      </c>
      <c r="H2" s="9" t="str">
        <f ca="1">+WORLDCUP!BD64</f>
        <v>Irán</v>
      </c>
      <c r="I2" s="9" t="str">
        <f ca="1">+WORLDCUP!BD69</f>
        <v>Panamá</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Senegal</v>
      </c>
      <c r="F3" s="9" t="str">
        <f ca="1">+WORLDCUP!BD61</f>
        <v>Estados Unidos</v>
      </c>
      <c r="G3" s="9" t="str">
        <f ca="1">+WORLDCUP!BD67</f>
        <v>Austria</v>
      </c>
      <c r="H3" s="9" t="str">
        <f ca="1">+WORLDCUP!BD63</f>
        <v>Suecia</v>
      </c>
      <c r="I3" s="9" t="str">
        <f ca="1">+WORLDCUP!BD69</f>
        <v>Panamá</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Austria</v>
      </c>
      <c r="E4" s="9" t="str">
        <f ca="1">+WORLDCUP!BD66</f>
        <v>Senegal</v>
      </c>
      <c r="F4" s="9" t="str">
        <f ca="1">+WORLDCUP!BD61</f>
        <v>Estados Unidos</v>
      </c>
      <c r="G4" s="9" t="str">
        <f ca="1">+WORLDCUP!BD65</f>
        <v>Arabia Saudita</v>
      </c>
      <c r="H4" s="9" t="str">
        <f ca="1">+WORLDCUP!BD64</f>
        <v>Irán</v>
      </c>
      <c r="I4" s="9" t="str">
        <f ca="1">+WORLDCUP!BD69</f>
        <v>Panamá</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Austria</v>
      </c>
      <c r="E5" s="9" t="str">
        <f ca="1">+WORLDCUP!BD66</f>
        <v>Senegal</v>
      </c>
      <c r="F5" s="9" t="str">
        <f ca="1">+WORLDCUP!BD61</f>
        <v>Estados Unidos</v>
      </c>
      <c r="G5" s="9" t="str">
        <f ca="1">+WORLDCUP!BD65</f>
        <v>Arabia Saudita</v>
      </c>
      <c r="H5" s="9" t="str">
        <f ca="1">+WORLDCUP!BD63</f>
        <v>Suecia</v>
      </c>
      <c r="I5" s="9" t="str">
        <f ca="1">+WORLDCUP!BD69</f>
        <v>Panamá</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Senegal</v>
      </c>
      <c r="F6" s="9" t="str">
        <f ca="1">+WORLDCUP!BD61</f>
        <v>Estados Unidos</v>
      </c>
      <c r="G6" s="9" t="str">
        <f ca="1">+WORLDCUP!BD67</f>
        <v>Austria</v>
      </c>
      <c r="H6" s="9" t="str">
        <f ca="1">+WORLDCUP!BD63</f>
        <v>Suecia</v>
      </c>
      <c r="I6" s="9" t="str">
        <f ca="1">+WORLDCUP!BD69</f>
        <v>Panamá</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Austria</v>
      </c>
      <c r="F7" s="9" t="str">
        <f ca="1">+WORLDCUP!BD61</f>
        <v>Estados Unidos</v>
      </c>
      <c r="G7" s="9" t="str">
        <f ca="1">+WORLDCUP!BD65</f>
        <v>Arabia Saudita</v>
      </c>
      <c r="H7" s="9" t="str">
        <f ca="1">+WORLDCUP!BD63</f>
        <v>Suecia</v>
      </c>
      <c r="I7" s="9" t="str">
        <f ca="1">+WORLDCUP!BD69</f>
        <v>Panamá</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Estados Unidos</v>
      </c>
      <c r="G8" s="9" t="str">
        <f ca="1">+WORLDCUP!BD65</f>
        <v>Arabia Saudita</v>
      </c>
      <c r="H8" s="9" t="str">
        <f ca="1">+WORLDCUP!BD63</f>
        <v>Suecia</v>
      </c>
      <c r="I8" s="9" t="str">
        <f ca="1">+WORLDCUP!BD69</f>
        <v>Panamá</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Austria</v>
      </c>
      <c r="F9" s="9" t="str">
        <f ca="1">+WORLDCUP!BD61</f>
        <v>Estados Unidos</v>
      </c>
      <c r="G9" s="9" t="str">
        <f ca="1">+WORLDCUP!BD65</f>
        <v>Arabia Saudita</v>
      </c>
      <c r="H9" s="9" t="str">
        <f ca="1">+WORLDCUP!BD63</f>
        <v>Suecia</v>
      </c>
      <c r="I9" s="9" t="str">
        <f ca="1">+WORLDCUP!BD69</f>
        <v>Panamá</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Austria</v>
      </c>
      <c r="F10" s="9" t="str">
        <f ca="1">+WORLDCUP!BD61</f>
        <v>Estados Unidos</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Senegal</v>
      </c>
      <c r="F11" s="9" t="str">
        <f ca="1">+WORLDCUP!BD60</f>
        <v>Escocia</v>
      </c>
      <c r="G11" s="9" t="str">
        <f ca="1">+WORLDCUP!BD67</f>
        <v>Austria</v>
      </c>
      <c r="H11" s="9" t="str">
        <f ca="1">+WORLDCUP!BD63</f>
        <v>Suecia</v>
      </c>
      <c r="I11" s="9" t="str">
        <f ca="1">+WORLDCUP!BD69</f>
        <v>Panamá</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Austria</v>
      </c>
      <c r="E12" s="9" t="str">
        <f ca="1">+WORLDCUP!BD66</f>
        <v>Senegal</v>
      </c>
      <c r="F12" s="9" t="str">
        <f ca="1">+WORLDCUP!BD60</f>
        <v>Escocia</v>
      </c>
      <c r="G12" s="9" t="str">
        <f ca="1">+WORLDCUP!BD65</f>
        <v>Arabia Saudita</v>
      </c>
      <c r="H12" s="9" t="str">
        <f ca="1">+WORLDCUP!BD64</f>
        <v>Irán</v>
      </c>
      <c r="I12" s="9" t="str">
        <f ca="1">+WORLDCUP!BD69</f>
        <v>Panamá</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Austria</v>
      </c>
      <c r="E13" s="9" t="str">
        <f ca="1">+WORLDCUP!BD66</f>
        <v>Senegal</v>
      </c>
      <c r="F13" s="9" t="str">
        <f ca="1">+WORLDCUP!BD60</f>
        <v>Escocia</v>
      </c>
      <c r="G13" s="9" t="str">
        <f ca="1">+WORLDCUP!BD65</f>
        <v>Arabia Saudita</v>
      </c>
      <c r="H13" s="9" t="str">
        <f ca="1">+WORLDCUP!BD63</f>
        <v>Suecia</v>
      </c>
      <c r="I13" s="9" t="str">
        <f ca="1">+WORLDCUP!BD69</f>
        <v>Panamá</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Senegal</v>
      </c>
      <c r="F14" s="9" t="str">
        <f ca="1">+WORLDCUP!BD60</f>
        <v>Escocia</v>
      </c>
      <c r="G14" s="9" t="str">
        <f ca="1">+WORLDCUP!BD67</f>
        <v>Austria</v>
      </c>
      <c r="H14" s="9" t="str">
        <f ca="1">+WORLDCUP!BD63</f>
        <v>Suecia</v>
      </c>
      <c r="I14" s="9" t="str">
        <f ca="1">+WORLDCUP!BD69</f>
        <v>Panamá</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Austria</v>
      </c>
      <c r="F15" s="9" t="str">
        <f ca="1">+WORLDCUP!BD60</f>
        <v>Escocia</v>
      </c>
      <c r="G15" s="9" t="str">
        <f ca="1">+WORLDCUP!BD65</f>
        <v>Arabia Saudita</v>
      </c>
      <c r="H15" s="9" t="str">
        <f ca="1">+WORLDCUP!BD63</f>
        <v>Suecia</v>
      </c>
      <c r="I15" s="9" t="str">
        <f ca="1">+WORLDCUP!BD69</f>
        <v>Panamá</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Panamá</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Austria</v>
      </c>
      <c r="F17" s="9" t="str">
        <f ca="1">+WORLDCUP!BD60</f>
        <v>Escocia</v>
      </c>
      <c r="G17" s="9" t="str">
        <f ca="1">+WORLDCUP!BD65</f>
        <v>Arabia Saudita</v>
      </c>
      <c r="H17" s="9" t="str">
        <f ca="1">+WORLDCUP!BD63</f>
        <v>Suecia</v>
      </c>
      <c r="I17" s="9" t="str">
        <f ca="1">+WORLDCUP!BD69</f>
        <v>Panamá</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Austria</v>
      </c>
      <c r="F18" s="9" t="str">
        <f ca="1">+WORLDCUP!BD60</f>
        <v>Escocia</v>
      </c>
      <c r="G18" s="9" t="str">
        <f ca="1">+WORLDCUP!BD65</f>
        <v>Arabia Saudita</v>
      </c>
      <c r="H18" s="9" t="str">
        <f ca="1">+WORLDCUP!BD63</f>
        <v>Suecia</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Senegal</v>
      </c>
      <c r="F19" s="9" t="str">
        <f ca="1">+WORLDCUP!BD60</f>
        <v>Escocia</v>
      </c>
      <c r="G19" s="9" t="str">
        <f ca="1">+WORLDCUP!BD67</f>
        <v>Austria</v>
      </c>
      <c r="H19" s="9" t="str">
        <f ca="1">+WORLDCUP!BD61</f>
        <v>Estados Unidos</v>
      </c>
      <c r="I19" s="9" t="str">
        <f ca="1">+WORLDCUP!BD69</f>
        <v>Panamá</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Austria</v>
      </c>
      <c r="E20" s="9" t="str">
        <f ca="1">+WORLDCUP!BD66</f>
        <v>Senegal</v>
      </c>
      <c r="F20" s="9" t="str">
        <f ca="1">+WORLDCUP!BD61</f>
        <v>Estados Unidos</v>
      </c>
      <c r="G20" s="9" t="str">
        <f ca="1">+WORLDCUP!BD65</f>
        <v>Arabia Saudita</v>
      </c>
      <c r="H20" s="9" t="str">
        <f ca="1">+WORLDCUP!BD63</f>
        <v>Suecia</v>
      </c>
      <c r="I20" s="9" t="str">
        <f ca="1">+WORLDCUP!BD69</f>
        <v>Panamá</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Senegal</v>
      </c>
      <c r="F21" s="9" t="str">
        <f ca="1">+WORLDCUP!BD61</f>
        <v>Estados Unidos</v>
      </c>
      <c r="G21" s="9" t="str">
        <f ca="1">+WORLDCUP!BD67</f>
        <v>Austria</v>
      </c>
      <c r="H21" s="9" t="str">
        <f ca="1">+WORLDCUP!BD63</f>
        <v>Suecia</v>
      </c>
      <c r="I21" s="9" t="str">
        <f ca="1">+WORLDCUP!BD69</f>
        <v>Panamá</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Austria</v>
      </c>
      <c r="F22" s="9" t="str">
        <f ca="1">+WORLDCUP!BD61</f>
        <v>Estados Unidos</v>
      </c>
      <c r="G22" s="9" t="str">
        <f ca="1">+WORLDCUP!BD65</f>
        <v>Arabia Saudita</v>
      </c>
      <c r="H22" s="9" t="str">
        <f ca="1">+WORLDCUP!BD63</f>
        <v>Suecia</v>
      </c>
      <c r="I22" s="9" t="str">
        <f ca="1">+WORLDCUP!BD69</f>
        <v>Panamá</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Senegal</v>
      </c>
      <c r="F23" s="9" t="str">
        <f ca="1">+WORLDCUP!BD61</f>
        <v>Estados Unidos</v>
      </c>
      <c r="G23" s="9" t="str">
        <f ca="1">+WORLDCUP!BD65</f>
        <v>Arabia Saudita</v>
      </c>
      <c r="H23" s="9" t="str">
        <f ca="1">+WORLDCUP!BD63</f>
        <v>Suecia</v>
      </c>
      <c r="I23" s="9" t="str">
        <f ca="1">+WORLDCUP!BD69</f>
        <v>Panamá</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Austria</v>
      </c>
      <c r="F24" s="9" t="str">
        <f ca="1">+WORLDCUP!BD61</f>
        <v>Estados Unidos</v>
      </c>
      <c r="G24" s="9" t="str">
        <f ca="1">+WORLDCUP!BD65</f>
        <v>Arabia Saudita</v>
      </c>
      <c r="H24" s="9" t="str">
        <f ca="1">+WORLDCUP!BD63</f>
        <v>Suecia</v>
      </c>
      <c r="I24" s="9" t="str">
        <f ca="1">+WORLDCUP!BD69</f>
        <v>Panamá</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Austria</v>
      </c>
      <c r="F25" s="9" t="str">
        <f ca="1">+WORLDCUP!BD61</f>
        <v>Estados Unidos</v>
      </c>
      <c r="G25" s="9" t="str">
        <f ca="1">+WORLDCUP!BD65</f>
        <v>Arabia Saudita</v>
      </c>
      <c r="H25" s="9" t="str">
        <f ca="1">+WORLDCUP!BD63</f>
        <v>Suecia</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Austria</v>
      </c>
      <c r="E26" s="9" t="str">
        <f ca="1">+WORLDCUP!BD66</f>
        <v>Senegal</v>
      </c>
      <c r="F26" s="9" t="str">
        <f ca="1">+WORLDCUP!BD60</f>
        <v>Escocia</v>
      </c>
      <c r="G26" s="9" t="str">
        <f ca="1">+WORLDCUP!BD65</f>
        <v>Arabia Saudita</v>
      </c>
      <c r="H26" s="9" t="str">
        <f ca="1">+WORLDCUP!BD61</f>
        <v>Estados Unidos</v>
      </c>
      <c r="I26" s="9" t="str">
        <f ca="1">+WORLDCUP!BD69</f>
        <v>Panamá</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Senegal</v>
      </c>
      <c r="F27" s="9" t="str">
        <f ca="1">+WORLDCUP!BD60</f>
        <v>Escocia</v>
      </c>
      <c r="G27" s="9" t="str">
        <f ca="1">+WORLDCUP!BD67</f>
        <v>Austria</v>
      </c>
      <c r="H27" s="9" t="str">
        <f ca="1">+WORLDCUP!BD61</f>
        <v>Estados Unidos</v>
      </c>
      <c r="I27" s="9" t="str">
        <f ca="1">+WORLDCUP!BD69</f>
        <v>Panamá</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Austria</v>
      </c>
      <c r="F28" s="9" t="str">
        <f ca="1">+WORLDCUP!BD60</f>
        <v>Escocia</v>
      </c>
      <c r="G28" s="9" t="str">
        <f ca="1">+WORLDCUP!BD65</f>
        <v>Arabia Saudita</v>
      </c>
      <c r="H28" s="9" t="str">
        <f ca="1">+WORLDCUP!BD61</f>
        <v>Estados Unidos</v>
      </c>
      <c r="I28" s="9" t="str">
        <f ca="1">+WORLDCUP!BD69</f>
        <v>Panamá</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Estados Unidos</v>
      </c>
      <c r="I29" s="9" t="str">
        <f ca="1">+WORLDCUP!BD69</f>
        <v>Panamá</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Austria</v>
      </c>
      <c r="F30" s="9" t="str">
        <f ca="1">+WORLDCUP!BD60</f>
        <v>Escocia</v>
      </c>
      <c r="G30" s="9" t="str">
        <f ca="1">+WORLDCUP!BD65</f>
        <v>Arabia Saudita</v>
      </c>
      <c r="H30" s="9" t="str">
        <f ca="1">+WORLDCUP!BD61</f>
        <v>Estados Unidos</v>
      </c>
      <c r="I30" s="9" t="str">
        <f ca="1">+WORLDCUP!BD69</f>
        <v>Panamá</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Austria</v>
      </c>
      <c r="F31" s="9" t="str">
        <f ca="1">+WORLDCUP!BD60</f>
        <v>Escocia</v>
      </c>
      <c r="G31" s="9" t="str">
        <f ca="1">+WORLDCUP!BD65</f>
        <v>Arabia Saudita</v>
      </c>
      <c r="H31" s="9" t="str">
        <f ca="1">+WORLDCUP!BD61</f>
        <v>Estados Unidos</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Austria</v>
      </c>
      <c r="E32" s="9" t="str">
        <f ca="1">+WORLDCUP!BD62</f>
        <v>Costa de Marfil</v>
      </c>
      <c r="F32" s="9" t="str">
        <f ca="1">+WORLDCUP!BD61</f>
        <v>Estados Unidos</v>
      </c>
      <c r="G32" s="9" t="str">
        <f ca="1">+WORLDCUP!BD66</f>
        <v>Senegal</v>
      </c>
      <c r="H32" s="9" t="str">
        <f ca="1">+WORLDCUP!BD63</f>
        <v>Suecia</v>
      </c>
      <c r="I32" s="9" t="str">
        <f ca="1">+WORLDCUP!BD69</f>
        <v>Panamá</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Austria</v>
      </c>
      <c r="E33" s="9" t="str">
        <f ca="1">+WORLDCUP!BD62</f>
        <v>Costa de Marfil</v>
      </c>
      <c r="F33" s="9" t="str">
        <f ca="1">+WORLDCUP!BD61</f>
        <v>Estados Unidos</v>
      </c>
      <c r="G33" s="9" t="str">
        <f ca="1">+WORLDCUP!BD65</f>
        <v>Arabia Saudita</v>
      </c>
      <c r="H33" s="9" t="str">
        <f ca="1">+WORLDCUP!BD63</f>
        <v>Suecia</v>
      </c>
      <c r="I33" s="9" t="str">
        <f ca="1">+WORLDCUP!BD69</f>
        <v>Panamá</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Estados Unidos</v>
      </c>
      <c r="G34" s="9" t="str">
        <f ca="1">+WORLDCUP!BD65</f>
        <v>Arabia Saudita</v>
      </c>
      <c r="H34" s="9" t="str">
        <f ca="1">+WORLDCUP!BD63</f>
        <v>Suecia</v>
      </c>
      <c r="I34" s="9" t="str">
        <f ca="1">+WORLDCUP!BD69</f>
        <v>Panamá</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Austria</v>
      </c>
      <c r="E35" s="9" t="str">
        <f ca="1">+WORLDCUP!BD62</f>
        <v>Costa de Marfil</v>
      </c>
      <c r="F35" s="9" t="str">
        <f ca="1">+WORLDCUP!BD61</f>
        <v>Estados Unidos</v>
      </c>
      <c r="G35" s="9" t="str">
        <f ca="1">+WORLDCUP!BD65</f>
        <v>Arabia Saudita</v>
      </c>
      <c r="H35" s="9" t="str">
        <f ca="1">+WORLDCUP!BD63</f>
        <v>Suecia</v>
      </c>
      <c r="I35" s="9" t="str">
        <f ca="1">+WORLDCUP!BD69</f>
        <v>Panamá</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Austria</v>
      </c>
      <c r="E36" s="9" t="str">
        <f ca="1">+WORLDCUP!BD62</f>
        <v>Costa de Marfil</v>
      </c>
      <c r="F36" s="9" t="str">
        <f ca="1">+WORLDCUP!BD61</f>
        <v>Estados Unidos</v>
      </c>
      <c r="G36" s="9" t="str">
        <f ca="1">+WORLDCUP!BD65</f>
        <v>Arabia Saudita</v>
      </c>
      <c r="H36" s="9" t="str">
        <f ca="1">+WORLDCUP!BD63</f>
        <v>Suecia</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Estados Unidos</v>
      </c>
      <c r="G37" s="9" t="str">
        <f ca="1">+WORLDCUP!BD67</f>
        <v>Austria</v>
      </c>
      <c r="H37" s="9" t="str">
        <f ca="1">+WORLDCUP!BD63</f>
        <v>Suecia</v>
      </c>
      <c r="I37" s="9" t="str">
        <f ca="1">+WORLDCUP!BD69</f>
        <v>Panamá</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Estados Unidos</v>
      </c>
      <c r="G38" s="9" t="str">
        <f ca="1">+WORLDCUP!BD66</f>
        <v>Senegal</v>
      </c>
      <c r="H38" s="9" t="str">
        <f ca="1">+WORLDCUP!BD63</f>
        <v>Suecia</v>
      </c>
      <c r="I38" s="9" t="str">
        <f ca="1">+WORLDCUP!BD69</f>
        <v>Panamá</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Estados Unidos</v>
      </c>
      <c r="G39" s="9" t="str">
        <f ca="1">+WORLDCUP!BD67</f>
        <v>Austria</v>
      </c>
      <c r="H39" s="9" t="str">
        <f ca="1">+WORLDCUP!BD63</f>
        <v>Suecia</v>
      </c>
      <c r="I39" s="9" t="str">
        <f ca="1">+WORLDCUP!BD69</f>
        <v>Panamá</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Estados Unidos</v>
      </c>
      <c r="G40" s="9" t="str">
        <f ca="1">+WORLDCUP!BD67</f>
        <v>Austria</v>
      </c>
      <c r="H40" s="9" t="str">
        <f ca="1">+WORLDCUP!BD63</f>
        <v>Suecia</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Estados Unidos</v>
      </c>
      <c r="G41" s="9" t="str">
        <f ca="1">+WORLDCUP!BD65</f>
        <v>Arabia Saudita</v>
      </c>
      <c r="H41" s="9" t="str">
        <f ca="1">+WORLDCUP!BD63</f>
        <v>Suecia</v>
      </c>
      <c r="I41" s="9" t="str">
        <f ca="1">+WORLDCUP!BD69</f>
        <v>Panamá</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Austria</v>
      </c>
      <c r="F42" s="9" t="str">
        <f ca="1">+WORLDCUP!BD61</f>
        <v>Estados Unidos</v>
      </c>
      <c r="G42" s="9" t="str">
        <f ca="1">+WORLDCUP!BD65</f>
        <v>Arabia Saudita</v>
      </c>
      <c r="H42" s="9" t="str">
        <f ca="1">+WORLDCUP!BD63</f>
        <v>Suecia</v>
      </c>
      <c r="I42" s="9" t="str">
        <f ca="1">+WORLDCUP!BD69</f>
        <v>Panamá</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Austria</v>
      </c>
      <c r="F43" s="9" t="str">
        <f ca="1">+WORLDCUP!BD61</f>
        <v>Estados Unidos</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Estados Unidos</v>
      </c>
      <c r="G44" s="9" t="str">
        <f ca="1">+WORLDCUP!BD65</f>
        <v>Arabia Saudita</v>
      </c>
      <c r="H44" s="9" t="str">
        <f ca="1">+WORLDCUP!BD63</f>
        <v>Suecia</v>
      </c>
      <c r="I44" s="9" t="str">
        <f ca="1">+WORLDCUP!BD69</f>
        <v>Panamá</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Estados Unidos</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Austria</v>
      </c>
      <c r="F46" s="9" t="str">
        <f ca="1">+WORLDCUP!BD61</f>
        <v>Estados Unidos</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Austria</v>
      </c>
      <c r="E47" s="9" t="str">
        <f ca="1">+WORLDCUP!BD59</f>
        <v>Bosnia y Herzegovina</v>
      </c>
      <c r="F47" s="9" t="str">
        <f ca="1">+WORLDCUP!BD63</f>
        <v>Suecia</v>
      </c>
      <c r="G47" s="9" t="str">
        <f ca="1">+WORLDCUP!BD66</f>
        <v>Senegal</v>
      </c>
      <c r="H47" s="9" t="str">
        <f ca="1">+WORLDCUP!BD64</f>
        <v>Irán</v>
      </c>
      <c r="I47" s="9" t="str">
        <f ca="1">+WORLDCUP!BD69</f>
        <v>Panamá</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Austria</v>
      </c>
      <c r="E48" s="9" t="str">
        <f ca="1">+WORLDCUP!BD66</f>
        <v>Senegal</v>
      </c>
      <c r="F48" s="9" t="str">
        <f ca="1">+WORLDCUP!BD59</f>
        <v>Bosnia y Herzegovina</v>
      </c>
      <c r="G48" s="9" t="str">
        <f ca="1">+WORLDCUP!BD65</f>
        <v>Arabia Saudita</v>
      </c>
      <c r="H48" s="9" t="str">
        <f ca="1">+WORLDCUP!BD64</f>
        <v>Irán</v>
      </c>
      <c r="I48" s="9" t="str">
        <f ca="1">+WORLDCUP!BD69</f>
        <v>Panamá</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Austria</v>
      </c>
      <c r="E49" s="9" t="str">
        <f ca="1">+WORLDCUP!BD59</f>
        <v>Bosnia y Herzegovina</v>
      </c>
      <c r="F49" s="9" t="str">
        <f ca="1">+WORLDCUP!BD63</f>
        <v>Suecia</v>
      </c>
      <c r="G49" s="9" t="str">
        <f ca="1">+WORLDCUP!BD66</f>
        <v>Senegal</v>
      </c>
      <c r="H49" s="9" t="str">
        <f ca="1">+WORLDCUP!BD65</f>
        <v>Arabia Saudita</v>
      </c>
      <c r="I49" s="9" t="str">
        <f ca="1">+WORLDCUP!BD69</f>
        <v>Panamá</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Austria</v>
      </c>
      <c r="E50" s="9" t="str">
        <f ca="1">+WORLDCUP!BD59</f>
        <v>Bosnia y Herzegovina</v>
      </c>
      <c r="F50" s="9" t="str">
        <f ca="1">+WORLDCUP!BD63</f>
        <v>Suecia</v>
      </c>
      <c r="G50" s="9" t="str">
        <f ca="1">+WORLDCUP!BD66</f>
        <v>Senegal</v>
      </c>
      <c r="H50" s="9" t="str">
        <f ca="1">+WORLDCUP!BD64</f>
        <v>Irán</v>
      </c>
      <c r="I50" s="9" t="str">
        <f ca="1">+WORLDCUP!BD69</f>
        <v>Panamá</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Austria</v>
      </c>
      <c r="E51" s="9" t="str">
        <f ca="1">+WORLDCUP!BD59</f>
        <v>Bosnia y Herzegovina</v>
      </c>
      <c r="F51" s="9" t="str">
        <f ca="1">+WORLDCUP!BD63</f>
        <v>Suecia</v>
      </c>
      <c r="G51" s="9" t="str">
        <f ca="1">+WORLDCUP!BD65</f>
        <v>Arabia Saudita</v>
      </c>
      <c r="H51" s="9" t="str">
        <f ca="1">+WORLDCUP!BD64</f>
        <v>Irán</v>
      </c>
      <c r="I51" s="9" t="str">
        <f ca="1">+WORLDCUP!BD69</f>
        <v>Panamá</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Panamá</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Austria</v>
      </c>
      <c r="E53" s="9" t="str">
        <f ca="1">+WORLDCUP!BD59</f>
        <v>Bosnia y Herzegovina</v>
      </c>
      <c r="F53" s="9" t="str">
        <f ca="1">+WORLDCUP!BD63</f>
        <v>Suecia</v>
      </c>
      <c r="G53" s="9" t="str">
        <f ca="1">+WORLDCUP!BD65</f>
        <v>Arabia Saudita</v>
      </c>
      <c r="H53" s="9" t="str">
        <f ca="1">+WORLDCUP!BD64</f>
        <v>Irán</v>
      </c>
      <c r="I53" s="9" t="str">
        <f ca="1">+WORLDCUP!BD69</f>
        <v>Panamá</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Austria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Austria</v>
      </c>
      <c r="E55" s="9" t="str">
        <f ca="1">+WORLDCUP!BD59</f>
        <v>Bosnia y Herzegovina</v>
      </c>
      <c r="F55" s="9" t="str">
        <f ca="1">+WORLDCUP!BD61</f>
        <v>Estados Unidos</v>
      </c>
      <c r="G55" s="9" t="str">
        <f ca="1">+WORLDCUP!BD66</f>
        <v>Senegal</v>
      </c>
      <c r="H55" s="9" t="str">
        <f ca="1">+WORLDCUP!BD64</f>
        <v>Irán</v>
      </c>
      <c r="I55" s="9" t="str">
        <f ca="1">+WORLDCUP!BD69</f>
        <v>Panamá</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Austria</v>
      </c>
      <c r="E56" s="9" t="str">
        <f ca="1">+WORLDCUP!BD59</f>
        <v>Bosnia y Herzegovina</v>
      </c>
      <c r="F56" s="9" t="str">
        <f ca="1">+WORLDCUP!BD61</f>
        <v>Estados Unidos</v>
      </c>
      <c r="G56" s="9" t="str">
        <f ca="1">+WORLDCUP!BD66</f>
        <v>Senegal</v>
      </c>
      <c r="H56" s="9" t="str">
        <f ca="1">+WORLDCUP!BD63</f>
        <v>Suecia</v>
      </c>
      <c r="I56" s="9" t="str">
        <f ca="1">+WORLDCUP!BD69</f>
        <v>Panamá</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Bosnia y Herzegovina</v>
      </c>
      <c r="F57" s="9" t="str">
        <f ca="1">+WORLDCUP!BD61</f>
        <v>Estados Unidos</v>
      </c>
      <c r="G57" s="9" t="str">
        <f ca="1">+WORLDCUP!BD67</f>
        <v>Austria</v>
      </c>
      <c r="H57" s="9" t="str">
        <f ca="1">+WORLDCUP!BD63</f>
        <v>Suecia</v>
      </c>
      <c r="I57" s="9" t="str">
        <f ca="1">+WORLDCUP!BD69</f>
        <v>Panamá</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Bosnia y Herzegovina</v>
      </c>
      <c r="F58" s="9" t="str">
        <f ca="1">+WORLDCUP!BD61</f>
        <v>Estados Unidos</v>
      </c>
      <c r="G58" s="9" t="str">
        <f ca="1">+WORLDCUP!BD67</f>
        <v>Austria</v>
      </c>
      <c r="H58" s="9" t="str">
        <f ca="1">+WORLDCUP!BD63</f>
        <v>Suecia</v>
      </c>
      <c r="I58" s="9" t="str">
        <f ca="1">+WORLDCUP!BD69</f>
        <v>Panamá</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Bosnia y Herzegovina</v>
      </c>
      <c r="F59" s="9" t="str">
        <f ca="1">+WORLDCUP!BD61</f>
        <v>Estados Unidos</v>
      </c>
      <c r="G59" s="9" t="str">
        <f ca="1">+WORLDCUP!BD66</f>
        <v>Senegal</v>
      </c>
      <c r="H59" s="9" t="str">
        <f ca="1">+WORLDCUP!BD63</f>
        <v>Suecia</v>
      </c>
      <c r="I59" s="9" t="str">
        <f ca="1">+WORLDCUP!BD69</f>
        <v>Panamá</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Bosnia y Herzegovina</v>
      </c>
      <c r="F60" s="9" t="str">
        <f ca="1">+WORLDCUP!BD61</f>
        <v>Estados Unidos</v>
      </c>
      <c r="G60" s="9" t="str">
        <f ca="1">+WORLDCUP!BD67</f>
        <v>Austria</v>
      </c>
      <c r="H60" s="9" t="str">
        <f ca="1">+WORLDCUP!BD63</f>
        <v>Suecia</v>
      </c>
      <c r="I60" s="9" t="str">
        <f ca="1">+WORLDCUP!BD69</f>
        <v>Panamá</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Bosnia y Herzegovina</v>
      </c>
      <c r="F61" s="9" t="str">
        <f ca="1">+WORLDCUP!BD61</f>
        <v>Estados Unidos</v>
      </c>
      <c r="G61" s="9" t="str">
        <f ca="1">+WORLDCUP!BD67</f>
        <v>Austria</v>
      </c>
      <c r="H61" s="9" t="str">
        <f ca="1">+WORLDCUP!BD63</f>
        <v>Suecia</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Austria</v>
      </c>
      <c r="E62" s="9" t="str">
        <f ca="1">+WORLDCUP!BD59</f>
        <v>Bosnia y Herzegovina</v>
      </c>
      <c r="F62" s="9" t="str">
        <f ca="1">+WORLDCUP!BD61</f>
        <v>Estados Unidos</v>
      </c>
      <c r="G62" s="9" t="str">
        <f ca="1">+WORLDCUP!BD66</f>
        <v>Senegal</v>
      </c>
      <c r="H62" s="9" t="str">
        <f ca="1">+WORLDCUP!BD65</f>
        <v>Arabia Saudita</v>
      </c>
      <c r="I62" s="9" t="str">
        <f ca="1">+WORLDCUP!BD69</f>
        <v>Panamá</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Austria</v>
      </c>
      <c r="E63" s="9" t="str">
        <f ca="1">+WORLDCUP!BD59</f>
        <v>Bosnia y Herzegovina</v>
      </c>
      <c r="F63" s="9" t="str">
        <f ca="1">+WORLDCUP!BD61</f>
        <v>Estados Unidos</v>
      </c>
      <c r="G63" s="9" t="str">
        <f ca="1">+WORLDCUP!BD66</f>
        <v>Senegal</v>
      </c>
      <c r="H63" s="9" t="str">
        <f ca="1">+WORLDCUP!BD64</f>
        <v>Irán</v>
      </c>
      <c r="I63" s="9" t="str">
        <f ca="1">+WORLDCUP!BD69</f>
        <v>Panamá</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Austria</v>
      </c>
      <c r="E64" s="9" t="str">
        <f ca="1">+WORLDCUP!BD59</f>
        <v>Bosnia y Herzegovina</v>
      </c>
      <c r="F64" s="9" t="str">
        <f ca="1">+WORLDCUP!BD61</f>
        <v>Estados Unidos</v>
      </c>
      <c r="G64" s="9" t="str">
        <f ca="1">+WORLDCUP!BD65</f>
        <v>Arabia Saudita</v>
      </c>
      <c r="H64" s="9" t="str">
        <f ca="1">+WORLDCUP!BD64</f>
        <v>Irán</v>
      </c>
      <c r="I64" s="9" t="str">
        <f ca="1">+WORLDCUP!BD69</f>
        <v>Panamá</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Estados Unidos</v>
      </c>
      <c r="G65" s="9" t="str">
        <f ca="1">+WORLDCUP!BD66</f>
        <v>Senegal</v>
      </c>
      <c r="H65" s="9" t="str">
        <f ca="1">+WORLDCUP!BD65</f>
        <v>Arabia Saudita</v>
      </c>
      <c r="I65" s="9" t="str">
        <f ca="1">+WORLDCUP!BD69</f>
        <v>Panamá</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Austria</v>
      </c>
      <c r="E66" s="9" t="str">
        <f ca="1">+WORLDCUP!BD59</f>
        <v>Bosnia y Herzegovina</v>
      </c>
      <c r="F66" s="9" t="str">
        <f ca="1">+WORLDCUP!BD61</f>
        <v>Estados Unidos</v>
      </c>
      <c r="G66" s="9" t="str">
        <f ca="1">+WORLDCUP!BD65</f>
        <v>Arabia Saudita</v>
      </c>
      <c r="H66" s="9" t="str">
        <f ca="1">+WORLDCUP!BD64</f>
        <v>Irán</v>
      </c>
      <c r="I66" s="9" t="str">
        <f ca="1">+WORLDCUP!BD69</f>
        <v>Panamá</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Austria</v>
      </c>
      <c r="E67" s="9" t="str">
        <f ca="1">+WORLDCUP!BD59</f>
        <v>Bosnia y Herzegovina</v>
      </c>
      <c r="F67" s="9" t="str">
        <f ca="1">+WORLDCUP!BD61</f>
        <v>Estados Unidos</v>
      </c>
      <c r="G67" s="9" t="str">
        <f ca="1">+WORLDCUP!BD65</f>
        <v>Arabia Saudita</v>
      </c>
      <c r="H67" s="9" t="str">
        <f ca="1">+WORLDCUP!BD64</f>
        <v>Irán</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Austria</v>
      </c>
      <c r="E68" s="9" t="str">
        <f ca="1">+WORLDCUP!BD59</f>
        <v>Bosnia y Herzegovina</v>
      </c>
      <c r="F68" s="9" t="str">
        <f ca="1">+WORLDCUP!BD61</f>
        <v>Estados Unidos</v>
      </c>
      <c r="G68" s="9" t="str">
        <f ca="1">+WORLDCUP!BD66</f>
        <v>Senegal</v>
      </c>
      <c r="H68" s="9" t="str">
        <f ca="1">+WORLDCUP!BD63</f>
        <v>Suecia</v>
      </c>
      <c r="I68" s="9" t="str">
        <f ca="1">+WORLDCUP!BD69</f>
        <v>Panamá</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Austria</v>
      </c>
      <c r="E69" s="9" t="str">
        <f ca="1">+WORLDCUP!BD59</f>
        <v>Bosnia y Herzegovina</v>
      </c>
      <c r="F69" s="9" t="str">
        <f ca="1">+WORLDCUP!BD61</f>
        <v>Estados Unidos</v>
      </c>
      <c r="G69" s="9" t="str">
        <f ca="1">+WORLDCUP!BD65</f>
        <v>Arabia Saudita</v>
      </c>
      <c r="H69" s="9" t="str">
        <f ca="1">+WORLDCUP!BD63</f>
        <v>Suecia</v>
      </c>
      <c r="I69" s="9" t="str">
        <f ca="1">+WORLDCUP!BD69</f>
        <v>Panamá</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Bosnia y Herzegovina</v>
      </c>
      <c r="F70" s="9" t="str">
        <f ca="1">+WORLDCUP!BD61</f>
        <v>Estados Unidos</v>
      </c>
      <c r="G70" s="9" t="str">
        <f ca="1">+WORLDCUP!BD65</f>
        <v>Arabia Saudita</v>
      </c>
      <c r="H70" s="9" t="str">
        <f ca="1">+WORLDCUP!BD63</f>
        <v>Suecia</v>
      </c>
      <c r="I70" s="9" t="str">
        <f ca="1">+WORLDCUP!BD69</f>
        <v>Panamá</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Austria</v>
      </c>
      <c r="E71" s="9" t="str">
        <f ca="1">+WORLDCUP!BD59</f>
        <v>Bosnia y Herzegovina</v>
      </c>
      <c r="F71" s="9" t="str">
        <f ca="1">+WORLDCUP!BD61</f>
        <v>Estados Unidos</v>
      </c>
      <c r="G71" s="9" t="str">
        <f ca="1">+WORLDCUP!BD65</f>
        <v>Arabia Saudita</v>
      </c>
      <c r="H71" s="9" t="str">
        <f ca="1">+WORLDCUP!BD63</f>
        <v>Suecia</v>
      </c>
      <c r="I71" s="9" t="str">
        <f ca="1">+WORLDCUP!BD69</f>
        <v>Panamá</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Austria</v>
      </c>
      <c r="E72" s="9" t="str">
        <f ca="1">+WORLDCUP!BD59</f>
        <v>Bosnia y Herzegovina</v>
      </c>
      <c r="F72" s="9" t="str">
        <f ca="1">+WORLDCUP!BD61</f>
        <v>Estados Unidos</v>
      </c>
      <c r="G72" s="9" t="str">
        <f ca="1">+WORLDCUP!BD65</f>
        <v>Arabia Saudita</v>
      </c>
      <c r="H72" s="9" t="str">
        <f ca="1">+WORLDCUP!BD63</f>
        <v>Suecia</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Estados Unidos</v>
      </c>
      <c r="G73" s="9" t="str">
        <f ca="1">+WORLDCUP!BD67</f>
        <v>Austria</v>
      </c>
      <c r="H73" s="9" t="str">
        <f ca="1">+WORLDCUP!BD63</f>
        <v>Suecia</v>
      </c>
      <c r="I73" s="9" t="str">
        <f ca="1">+WORLDCUP!BD69</f>
        <v>Panamá</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Estados Unidos</v>
      </c>
      <c r="G74" s="9" t="str">
        <f ca="1">+WORLDCUP!BD66</f>
        <v>Senegal</v>
      </c>
      <c r="H74" s="9" t="str">
        <f ca="1">+WORLDCUP!BD63</f>
        <v>Suecia</v>
      </c>
      <c r="I74" s="9" t="str">
        <f ca="1">+WORLDCUP!BD69</f>
        <v>Panamá</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Estados Unidos</v>
      </c>
      <c r="G75" s="9" t="str">
        <f ca="1">+WORLDCUP!BD67</f>
        <v>Austria</v>
      </c>
      <c r="H75" s="9" t="str">
        <f ca="1">+WORLDCUP!BD63</f>
        <v>Suecia</v>
      </c>
      <c r="I75" s="9" t="str">
        <f ca="1">+WORLDCUP!BD69</f>
        <v>Panamá</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Estados Unidos</v>
      </c>
      <c r="G76" s="9" t="str">
        <f ca="1">+WORLDCUP!BD67</f>
        <v>Austria</v>
      </c>
      <c r="H76" s="9" t="str">
        <f ca="1">+WORLDCUP!BD63</f>
        <v>Suecia</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Estados Unidos</v>
      </c>
      <c r="G77" s="9" t="str">
        <f ca="1">+WORLDCUP!BD65</f>
        <v>Arabia Saudita</v>
      </c>
      <c r="H77" s="9" t="str">
        <f ca="1">+WORLDCUP!BD63</f>
        <v>Suecia</v>
      </c>
      <c r="I77" s="9" t="str">
        <f ca="1">+WORLDCUP!BD69</f>
        <v>Panamá</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Bosnia y Herzegovina</v>
      </c>
      <c r="F78" s="9" t="str">
        <f ca="1">+WORLDCUP!BD61</f>
        <v>Estados Unidos</v>
      </c>
      <c r="G78" s="9" t="str">
        <f ca="1">+WORLDCUP!BD67</f>
        <v>Austria</v>
      </c>
      <c r="H78" s="9" t="str">
        <f ca="1">+WORLDCUP!BD63</f>
        <v>Suecia</v>
      </c>
      <c r="I78" s="9" t="str">
        <f ca="1">+WORLDCUP!BD69</f>
        <v>Panamá</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Bosnia y Herzegovina</v>
      </c>
      <c r="F79" s="9" t="str">
        <f ca="1">+WORLDCUP!BD61</f>
        <v>Estados Unidos</v>
      </c>
      <c r="G79" s="9" t="str">
        <f ca="1">+WORLDCUP!BD67</f>
        <v>Austria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Estados Unidos</v>
      </c>
      <c r="G80" s="9" t="str">
        <f ca="1">+WORLDCUP!BD65</f>
        <v>Arabia Saudita</v>
      </c>
      <c r="H80" s="9" t="str">
        <f ca="1">+WORLDCUP!BD63</f>
        <v>Suecia</v>
      </c>
      <c r="I80" s="9" t="str">
        <f ca="1">+WORLDCUP!BD69</f>
        <v>Panamá</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Estados Unidos</v>
      </c>
      <c r="G81" s="9" t="str">
        <f ca="1">+WORLDCUP!BD65</f>
        <v>Arabia Saudita</v>
      </c>
      <c r="H81" s="9" t="str">
        <f ca="1">+WORLDCUP!BD63</f>
        <v>Suecia</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Bosnia y Herzegovina</v>
      </c>
      <c r="F82" s="9" t="str">
        <f ca="1">+WORLDCUP!BD61</f>
        <v>Estados Unidos</v>
      </c>
      <c r="G82" s="9" t="str">
        <f ca="1">+WORLDCUP!BD67</f>
        <v>Austria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Austria</v>
      </c>
      <c r="E83" s="9" t="str">
        <f ca="1">+WORLDCUP!BD59</f>
        <v>Bosnia y Herzegovina</v>
      </c>
      <c r="F83" s="9" t="str">
        <f ca="1">+WORLDCUP!BD60</f>
        <v>Escocia</v>
      </c>
      <c r="G83" s="9" t="str">
        <f ca="1">+WORLDCUP!BD66</f>
        <v>Senegal</v>
      </c>
      <c r="H83" s="9" t="str">
        <f ca="1">+WORLDCUP!BD64</f>
        <v>Irán</v>
      </c>
      <c r="I83" s="9" t="str">
        <f ca="1">+WORLDCUP!BD69</f>
        <v>Panamá</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Austria</v>
      </c>
      <c r="E84" s="9" t="str">
        <f ca="1">+WORLDCUP!BD59</f>
        <v>Bosnia y Herzegovina</v>
      </c>
      <c r="F84" s="9" t="str">
        <f ca="1">+WORLDCUP!BD60</f>
        <v>Escocia</v>
      </c>
      <c r="G84" s="9" t="str">
        <f ca="1">+WORLDCUP!BD66</f>
        <v>Senegal</v>
      </c>
      <c r="H84" s="9" t="str">
        <f ca="1">+WORLDCUP!BD63</f>
        <v>Suecia</v>
      </c>
      <c r="I84" s="9" t="str">
        <f ca="1">+WORLDCUP!BD69</f>
        <v>Panamá</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Bosnia y Herzegovina</v>
      </c>
      <c r="F85" s="9" t="str">
        <f ca="1">+WORLDCUP!BD60</f>
        <v>Escocia</v>
      </c>
      <c r="G85" s="9" t="str">
        <f ca="1">+WORLDCUP!BD67</f>
        <v>Austria</v>
      </c>
      <c r="H85" s="9" t="str">
        <f ca="1">+WORLDCUP!BD63</f>
        <v>Suecia</v>
      </c>
      <c r="I85" s="9" t="str">
        <f ca="1">+WORLDCUP!BD69</f>
        <v>Panamá</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Austria</v>
      </c>
      <c r="H86" s="9" t="str">
        <f ca="1">+WORLDCUP!BD63</f>
        <v>Suecia</v>
      </c>
      <c r="I86" s="9" t="str">
        <f ca="1">+WORLDCUP!BD69</f>
        <v>Panamá</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Panamá</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Austria</v>
      </c>
      <c r="H88" s="9" t="str">
        <f ca="1">+WORLDCUP!BD63</f>
        <v>Suecia</v>
      </c>
      <c r="I88" s="9" t="str">
        <f ca="1">+WORLDCUP!BD69</f>
        <v>Panamá</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Austria</v>
      </c>
      <c r="H89" s="9" t="str">
        <f ca="1">+WORLDCUP!BD63</f>
        <v>Suecia</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Austria</v>
      </c>
      <c r="E90" s="9" t="str">
        <f ca="1">+WORLDCUP!BD59</f>
        <v>Bosnia y Herzegovina</v>
      </c>
      <c r="F90" s="9" t="str">
        <f ca="1">+WORLDCUP!BD60</f>
        <v>Escocia</v>
      </c>
      <c r="G90" s="9" t="str">
        <f ca="1">+WORLDCUP!BD66</f>
        <v>Senegal</v>
      </c>
      <c r="H90" s="9" t="str">
        <f ca="1">+WORLDCUP!BD65</f>
        <v>Arabia Saudita</v>
      </c>
      <c r="I90" s="9" t="str">
        <f ca="1">+WORLDCUP!BD69</f>
        <v>Panamá</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Austria</v>
      </c>
      <c r="E91" s="9" t="str">
        <f ca="1">+WORLDCUP!BD59</f>
        <v>Bosnia y Herzegovina</v>
      </c>
      <c r="F91" s="9" t="str">
        <f ca="1">+WORLDCUP!BD60</f>
        <v>Escocia</v>
      </c>
      <c r="G91" s="9" t="str">
        <f ca="1">+WORLDCUP!BD66</f>
        <v>Senegal</v>
      </c>
      <c r="H91" s="9" t="str">
        <f ca="1">+WORLDCUP!BD64</f>
        <v>Irán</v>
      </c>
      <c r="I91" s="9" t="str">
        <f ca="1">+WORLDCUP!BD69</f>
        <v>Panamá</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Austria</v>
      </c>
      <c r="E92" s="9" t="str">
        <f ca="1">+WORLDCUP!BD59</f>
        <v>Bosnia y Herzegovina</v>
      </c>
      <c r="F92" s="9" t="str">
        <f ca="1">+WORLDCUP!BD60</f>
        <v>Escocia</v>
      </c>
      <c r="G92" s="9" t="str">
        <f ca="1">+WORLDCUP!BD65</f>
        <v>Arabia Saudita</v>
      </c>
      <c r="H92" s="9" t="str">
        <f ca="1">+WORLDCUP!BD64</f>
        <v>Irán</v>
      </c>
      <c r="I92" s="9" t="str">
        <f ca="1">+WORLDCUP!BD69</f>
        <v>Panamá</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Panamá</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Austria</v>
      </c>
      <c r="E94" s="9" t="str">
        <f ca="1">+WORLDCUP!BD59</f>
        <v>Bosnia y Herzegovina</v>
      </c>
      <c r="F94" s="9" t="str">
        <f ca="1">+WORLDCUP!BD60</f>
        <v>Escocia</v>
      </c>
      <c r="G94" s="9" t="str">
        <f ca="1">+WORLDCUP!BD65</f>
        <v>Arabia Saudita</v>
      </c>
      <c r="H94" s="9" t="str">
        <f ca="1">+WORLDCUP!BD64</f>
        <v>Irán</v>
      </c>
      <c r="I94" s="9" t="str">
        <f ca="1">+WORLDCUP!BD69</f>
        <v>Panamá</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Austria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Austria</v>
      </c>
      <c r="E96" s="9" t="str">
        <f ca="1">+WORLDCUP!BD59</f>
        <v>Bosnia y Herzegovina</v>
      </c>
      <c r="F96" s="9" t="str">
        <f ca="1">+WORLDCUP!BD60</f>
        <v>Escocia</v>
      </c>
      <c r="G96" s="9" t="str">
        <f ca="1">+WORLDCUP!BD66</f>
        <v>Senegal</v>
      </c>
      <c r="H96" s="9" t="str">
        <f ca="1">+WORLDCUP!BD63</f>
        <v>Suecia</v>
      </c>
      <c r="I96" s="9" t="str">
        <f ca="1">+WORLDCUP!BD69</f>
        <v>Panamá</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Austria</v>
      </c>
      <c r="E97" s="9" t="str">
        <f ca="1">+WORLDCUP!BD59</f>
        <v>Bosnia y Herzegovina</v>
      </c>
      <c r="F97" s="9" t="str">
        <f ca="1">+WORLDCUP!BD60</f>
        <v>Escocia</v>
      </c>
      <c r="G97" s="9" t="str">
        <f ca="1">+WORLDCUP!BD65</f>
        <v>Arabia Saudita</v>
      </c>
      <c r="H97" s="9" t="str">
        <f ca="1">+WORLDCUP!BD63</f>
        <v>Suecia</v>
      </c>
      <c r="I97" s="9" t="str">
        <f ca="1">+WORLDCUP!BD69</f>
        <v>Panamá</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Panamá</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Austria</v>
      </c>
      <c r="E99" s="9" t="str">
        <f ca="1">+WORLDCUP!BD59</f>
        <v>Bosnia y Herzegovina</v>
      </c>
      <c r="F99" s="9" t="str">
        <f ca="1">+WORLDCUP!BD60</f>
        <v>Escocia</v>
      </c>
      <c r="G99" s="9" t="str">
        <f ca="1">+WORLDCUP!BD65</f>
        <v>Arabia Saudita</v>
      </c>
      <c r="H99" s="9" t="str">
        <f ca="1">+WORLDCUP!BD63</f>
        <v>Suecia</v>
      </c>
      <c r="I99" s="9" t="str">
        <f ca="1">+WORLDCUP!BD69</f>
        <v>Panamá</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Austria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Austria</v>
      </c>
      <c r="H101" s="9" t="str">
        <f ca="1">+WORLDCUP!BD63</f>
        <v>Suecia</v>
      </c>
      <c r="I101" s="9" t="str">
        <f ca="1">+WORLDCUP!BD69</f>
        <v>Panamá</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Panamá</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Austria</v>
      </c>
      <c r="H103" s="9" t="str">
        <f ca="1">+WORLDCUP!BD63</f>
        <v>Suecia</v>
      </c>
      <c r="I103" s="9" t="str">
        <f ca="1">+WORLDCUP!BD69</f>
        <v>Panamá</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Austria</v>
      </c>
      <c r="H104" s="9" t="str">
        <f ca="1">+WORLDCUP!BD63</f>
        <v>Suecia</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Panamá</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Austria</v>
      </c>
      <c r="H106" s="9" t="str">
        <f ca="1">+WORLDCUP!BD63</f>
        <v>Suecia</v>
      </c>
      <c r="I106" s="9" t="str">
        <f ca="1">+WORLDCUP!BD69</f>
        <v>Panamá</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Austria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Panamá</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Austria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Austria</v>
      </c>
      <c r="E111" s="9" t="str">
        <f ca="1">+WORLDCUP!BD59</f>
        <v>Bosnia y Herzegovina</v>
      </c>
      <c r="F111" s="9" t="str">
        <f ca="1">+WORLDCUP!BD60</f>
        <v>Escocia</v>
      </c>
      <c r="G111" s="9" t="str">
        <f ca="1">+WORLDCUP!BD66</f>
        <v>Senegal</v>
      </c>
      <c r="H111" s="9" t="str">
        <f ca="1">+WORLDCUP!BD61</f>
        <v>Estados Unidos</v>
      </c>
      <c r="I111" s="9" t="str">
        <f ca="1">+WORLDCUP!BD69</f>
        <v>Panamá</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Austria</v>
      </c>
      <c r="H112" s="9" t="str">
        <f ca="1">+WORLDCUP!BD61</f>
        <v>Estados Unidos</v>
      </c>
      <c r="I112" s="9" t="str">
        <f ca="1">+WORLDCUP!BD69</f>
        <v>Panamá</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Austria</v>
      </c>
      <c r="H113" s="9" t="str">
        <f ca="1">+WORLDCUP!BD61</f>
        <v>Estados Unidos</v>
      </c>
      <c r="I113" s="9" t="str">
        <f ca="1">+WORLDCUP!BD69</f>
        <v>Panamá</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Estados Unidos</v>
      </c>
      <c r="I114" s="9" t="str">
        <f ca="1">+WORLDCUP!BD69</f>
        <v>Panamá</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Austria</v>
      </c>
      <c r="H115" s="9" t="str">
        <f ca="1">+WORLDCUP!BD61</f>
        <v>Estados Unidos</v>
      </c>
      <c r="I115" s="9" t="str">
        <f ca="1">+WORLDCUP!BD69</f>
        <v>Panamá</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Austria</v>
      </c>
      <c r="H116" s="9" t="str">
        <f ca="1">+WORLDCUP!BD61</f>
        <v>Estados Unidos</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Austria</v>
      </c>
      <c r="E117" s="9" t="str">
        <f ca="1">+WORLDCUP!BD59</f>
        <v>Bosnia y Herzegovina</v>
      </c>
      <c r="F117" s="9" t="str">
        <f ca="1">+WORLDCUP!BD61</f>
        <v>Estados Unidos</v>
      </c>
      <c r="G117" s="9" t="str">
        <f ca="1">+WORLDCUP!BD66</f>
        <v>Senegal</v>
      </c>
      <c r="H117" s="9" t="str">
        <f ca="1">+WORLDCUP!BD63</f>
        <v>Suecia</v>
      </c>
      <c r="I117" s="9" t="str">
        <f ca="1">+WORLDCUP!BD69</f>
        <v>Panamá</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Austria</v>
      </c>
      <c r="E118" s="9" t="str">
        <f ca="1">+WORLDCUP!BD59</f>
        <v>Bosnia y Herzegovina</v>
      </c>
      <c r="F118" s="9" t="str">
        <f ca="1">+WORLDCUP!BD61</f>
        <v>Estados Unidos</v>
      </c>
      <c r="G118" s="9" t="str">
        <f ca="1">+WORLDCUP!BD65</f>
        <v>Arabia Saudita</v>
      </c>
      <c r="H118" s="9" t="str">
        <f ca="1">+WORLDCUP!BD63</f>
        <v>Suecia</v>
      </c>
      <c r="I118" s="9" t="str">
        <f ca="1">+WORLDCUP!BD69</f>
        <v>Panamá</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Estados Unidos</v>
      </c>
      <c r="G119" s="9" t="str">
        <f ca="1">+WORLDCUP!BD65</f>
        <v>Arabia Saudita</v>
      </c>
      <c r="H119" s="9" t="str">
        <f ca="1">+WORLDCUP!BD63</f>
        <v>Suecia</v>
      </c>
      <c r="I119" s="9" t="str">
        <f ca="1">+WORLDCUP!BD69</f>
        <v>Panamá</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Austria</v>
      </c>
      <c r="E120" s="9" t="str">
        <f ca="1">+WORLDCUP!BD59</f>
        <v>Bosnia y Herzegovina</v>
      </c>
      <c r="F120" s="9" t="str">
        <f ca="1">+WORLDCUP!BD61</f>
        <v>Estados Unidos</v>
      </c>
      <c r="G120" s="9" t="str">
        <f ca="1">+WORLDCUP!BD65</f>
        <v>Arabia Saudita</v>
      </c>
      <c r="H120" s="9" t="str">
        <f ca="1">+WORLDCUP!BD63</f>
        <v>Suecia</v>
      </c>
      <c r="I120" s="9" t="str">
        <f ca="1">+WORLDCUP!BD69</f>
        <v>Panamá</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Austria</v>
      </c>
      <c r="E121" s="9" t="str">
        <f ca="1">+WORLDCUP!BD59</f>
        <v>Bosnia y Herzegovina</v>
      </c>
      <c r="F121" s="9" t="str">
        <f ca="1">+WORLDCUP!BD61</f>
        <v>Estados Unidos</v>
      </c>
      <c r="G121" s="9" t="str">
        <f ca="1">+WORLDCUP!BD65</f>
        <v>Arabia Saudita</v>
      </c>
      <c r="H121" s="9" t="str">
        <f ca="1">+WORLDCUP!BD63</f>
        <v>Suecia</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Estados Unidos</v>
      </c>
      <c r="G122" s="9" t="str">
        <f ca="1">+WORLDCUP!BD67</f>
        <v>Austria</v>
      </c>
      <c r="H122" s="9" t="str">
        <f ca="1">+WORLDCUP!BD63</f>
        <v>Suecia</v>
      </c>
      <c r="I122" s="9" t="str">
        <f ca="1">+WORLDCUP!BD69</f>
        <v>Panamá</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Estados Unidos</v>
      </c>
      <c r="G123" s="9" t="str">
        <f ca="1">+WORLDCUP!BD66</f>
        <v>Senegal</v>
      </c>
      <c r="H123" s="9" t="str">
        <f ca="1">+WORLDCUP!BD63</f>
        <v>Suecia</v>
      </c>
      <c r="I123" s="9" t="str">
        <f ca="1">+WORLDCUP!BD69</f>
        <v>Panamá</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Estados Unidos</v>
      </c>
      <c r="G124" s="9" t="str">
        <f ca="1">+WORLDCUP!BD67</f>
        <v>Austria</v>
      </c>
      <c r="H124" s="9" t="str">
        <f ca="1">+WORLDCUP!BD63</f>
        <v>Suecia</v>
      </c>
      <c r="I124" s="9" t="str">
        <f ca="1">+WORLDCUP!BD69</f>
        <v>Panamá</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Estados Unidos</v>
      </c>
      <c r="G125" s="9" t="str">
        <f ca="1">+WORLDCUP!BD67</f>
        <v>Austria</v>
      </c>
      <c r="H125" s="9" t="str">
        <f ca="1">+WORLDCUP!BD63</f>
        <v>Suecia</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Estados Unidos</v>
      </c>
      <c r="G126" s="9" t="str">
        <f ca="1">+WORLDCUP!BD65</f>
        <v>Arabia Saudita</v>
      </c>
      <c r="H126" s="9" t="str">
        <f ca="1">+WORLDCUP!BD63</f>
        <v>Suecia</v>
      </c>
      <c r="I126" s="9" t="str">
        <f ca="1">+WORLDCUP!BD69</f>
        <v>Panamá</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Estados Unidos</v>
      </c>
      <c r="G127" s="9" t="str">
        <f ca="1">+WORLDCUP!BD65</f>
        <v>Arabia Saudita</v>
      </c>
      <c r="H127" s="9" t="str">
        <f ca="1">+WORLDCUP!BD63</f>
        <v>Suecia</v>
      </c>
      <c r="I127" s="9" t="str">
        <f ca="1">+WORLDCUP!BD69</f>
        <v>Panamá</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Austria</v>
      </c>
      <c r="H128" s="9" t="str">
        <f ca="1">+WORLDCUP!BD63</f>
        <v>Suecia</v>
      </c>
      <c r="I128" s="9" t="str">
        <f ca="1">+WORLDCUP!BD61</f>
        <v>Estados Unidos</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Estados Unidos</v>
      </c>
      <c r="G129" s="9" t="str">
        <f ca="1">+WORLDCUP!BD65</f>
        <v>Arabia Saudita</v>
      </c>
      <c r="H129" s="9" t="str">
        <f ca="1">+WORLDCUP!BD63</f>
        <v>Suecia</v>
      </c>
      <c r="I129" s="9" t="str">
        <f ca="1">+WORLDCUP!BD69</f>
        <v>Panamá</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Estados Unidos</v>
      </c>
      <c r="G130" s="9" t="str">
        <f ca="1">+WORLDCUP!BD65</f>
        <v>Arabia Saudita</v>
      </c>
      <c r="H130" s="9" t="str">
        <f ca="1">+WORLDCUP!BD63</f>
        <v>Suecia</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Austria</v>
      </c>
      <c r="H131" s="9" t="str">
        <f ca="1">+WORLDCUP!BD63</f>
        <v>Suecia</v>
      </c>
      <c r="I131" s="9" t="str">
        <f ca="1">+WORLDCUP!BD61</f>
        <v>Estados Unidos</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Austria</v>
      </c>
      <c r="E132" s="9" t="str">
        <f ca="1">+WORLDCUP!BD59</f>
        <v>Bosnia y Herzegovina</v>
      </c>
      <c r="F132" s="9" t="str">
        <f ca="1">+WORLDCUP!BD60</f>
        <v>Escocia</v>
      </c>
      <c r="G132" s="9" t="str">
        <f ca="1">+WORLDCUP!BD66</f>
        <v>Senegal</v>
      </c>
      <c r="H132" s="9" t="str">
        <f ca="1">+WORLDCUP!BD61</f>
        <v>Estados Unidos</v>
      </c>
      <c r="I132" s="9" t="str">
        <f ca="1">+WORLDCUP!BD69</f>
        <v>Panamá</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Austria</v>
      </c>
      <c r="E133" s="9" t="str">
        <f ca="1">+WORLDCUP!BD59</f>
        <v>Bosnia y Herzegovina</v>
      </c>
      <c r="F133" s="9" t="str">
        <f ca="1">+WORLDCUP!BD60</f>
        <v>Escocia</v>
      </c>
      <c r="G133" s="9" t="str">
        <f ca="1">+WORLDCUP!BD65</f>
        <v>Arabia Saudita</v>
      </c>
      <c r="H133" s="9" t="str">
        <f ca="1">+WORLDCUP!BD61</f>
        <v>Estados Unidos</v>
      </c>
      <c r="I133" s="9" t="str">
        <f ca="1">+WORLDCUP!BD69</f>
        <v>Panamá</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Estados Unidos</v>
      </c>
      <c r="I134" s="9" t="str">
        <f ca="1">+WORLDCUP!BD69</f>
        <v>Panamá</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Austria</v>
      </c>
      <c r="E135" s="9" t="str">
        <f ca="1">+WORLDCUP!BD59</f>
        <v>Bosnia y Herzegovina</v>
      </c>
      <c r="F135" s="9" t="str">
        <f ca="1">+WORLDCUP!BD60</f>
        <v>Escocia</v>
      </c>
      <c r="G135" s="9" t="str">
        <f ca="1">+WORLDCUP!BD65</f>
        <v>Arabia Saudita</v>
      </c>
      <c r="H135" s="9" t="str">
        <f ca="1">+WORLDCUP!BD61</f>
        <v>Estados Unidos</v>
      </c>
      <c r="I135" s="9" t="str">
        <f ca="1">+WORLDCUP!BD69</f>
        <v>Panamá</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Austria</v>
      </c>
      <c r="E136" s="9" t="str">
        <f ca="1">+WORLDCUP!BD59</f>
        <v>Bosnia y Herzegovina</v>
      </c>
      <c r="F136" s="9" t="str">
        <f ca="1">+WORLDCUP!BD60</f>
        <v>Escocia</v>
      </c>
      <c r="G136" s="9" t="str">
        <f ca="1">+WORLDCUP!BD65</f>
        <v>Arabia Saudita</v>
      </c>
      <c r="H136" s="9" t="str">
        <f ca="1">+WORLDCUP!BD61</f>
        <v>Estados Unidos</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Austria</v>
      </c>
      <c r="H137" s="9" t="str">
        <f ca="1">+WORLDCUP!BD61</f>
        <v>Estados Unidos</v>
      </c>
      <c r="I137" s="9" t="str">
        <f ca="1">+WORLDCUP!BD69</f>
        <v>Panamá</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Estados Unidos</v>
      </c>
      <c r="I138" s="9" t="str">
        <f ca="1">+WORLDCUP!BD69</f>
        <v>Panamá</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Austria</v>
      </c>
      <c r="H139" s="9" t="str">
        <f ca="1">+WORLDCUP!BD61</f>
        <v>Estados Unidos</v>
      </c>
      <c r="I139" s="9" t="str">
        <f ca="1">+WORLDCUP!BD69</f>
        <v>Panamá</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Austria</v>
      </c>
      <c r="H140" s="9" t="str">
        <f ca="1">+WORLDCUP!BD61</f>
        <v>Estados Unidos</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Estados Unidos</v>
      </c>
      <c r="I141" s="9" t="str">
        <f ca="1">+WORLDCUP!BD69</f>
        <v>Panamá</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Austria</v>
      </c>
      <c r="H142" s="9" t="str">
        <f ca="1">+WORLDCUP!BD61</f>
        <v>Estados Unidos</v>
      </c>
      <c r="I142" s="9" t="str">
        <f ca="1">+WORLDCUP!BD69</f>
        <v>Panamá</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Austria</v>
      </c>
      <c r="H143" s="9" t="str">
        <f ca="1">+WORLDCUP!BD61</f>
        <v>Estados Unidos</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Estados Unidos</v>
      </c>
      <c r="I144" s="9" t="str">
        <f ca="1">+WORLDCUP!BD69</f>
        <v>Panamá</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Estados Unidos</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Austria</v>
      </c>
      <c r="H146" s="9" t="str">
        <f ca="1">+WORLDCUP!BD61</f>
        <v>Estados Unidos</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Austria</v>
      </c>
      <c r="E147" s="9" t="str">
        <f ca="1">+WORLDCUP!BD59</f>
        <v>Bosnia y Herzegovina</v>
      </c>
      <c r="F147" s="9" t="str">
        <f ca="1">+WORLDCUP!BD61</f>
        <v>Estados Unidos</v>
      </c>
      <c r="G147" s="9" t="str">
        <f ca="1">+WORLDCUP!BD62</f>
        <v>Costa de Marfil</v>
      </c>
      <c r="H147" s="9" t="str">
        <f ca="1">+WORLDCUP!BD63</f>
        <v>Suecia</v>
      </c>
      <c r="I147" s="9" t="str">
        <f ca="1">+WORLDCUP!BD69</f>
        <v>Panamá</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Senegal</v>
      </c>
      <c r="H148" s="9" t="str">
        <f ca="1">+WORLDCUP!BD63</f>
        <v>Suecia</v>
      </c>
      <c r="I148" s="9" t="str">
        <f ca="1">+WORLDCUP!BD69</f>
        <v>Panamá</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Austria</v>
      </c>
      <c r="E149" s="9" t="str">
        <f ca="1">+WORLDCUP!BD59</f>
        <v>Bosnia y Herzegovina</v>
      </c>
      <c r="F149" s="9" t="str">
        <f ca="1">+WORLDCUP!BD61</f>
        <v>Estados Unidos</v>
      </c>
      <c r="G149" s="9" t="str">
        <f ca="1">+WORLDCUP!BD62</f>
        <v>Costa de Marfil</v>
      </c>
      <c r="H149" s="9" t="str">
        <f ca="1">+WORLDCUP!BD63</f>
        <v>Suecia</v>
      </c>
      <c r="I149" s="9" t="str">
        <f ca="1">+WORLDCUP!BD69</f>
        <v>Panamá</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Austria</v>
      </c>
      <c r="E150" s="9" t="str">
        <f ca="1">+WORLDCUP!BD59</f>
        <v>Bosnia y Herzegovina</v>
      </c>
      <c r="F150" s="9" t="str">
        <f ca="1">+WORLDCUP!BD61</f>
        <v>Estados Unidos</v>
      </c>
      <c r="G150" s="9" t="str">
        <f ca="1">+WORLDCUP!BD62</f>
        <v>Costa de Marfil</v>
      </c>
      <c r="H150" s="9" t="str">
        <f ca="1">+WORLDCUP!BD63</f>
        <v>Suecia</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Arabia Saudita</v>
      </c>
      <c r="H151" s="9" t="str">
        <f ca="1">+WORLDCUP!BD63</f>
        <v>Suecia</v>
      </c>
      <c r="I151" s="9" t="str">
        <f ca="1">+WORLDCUP!BD69</f>
        <v>Panamá</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Austria</v>
      </c>
      <c r="E152" s="9" t="str">
        <f ca="1">+WORLDCUP!BD59</f>
        <v>Bosnia y Herzegovina</v>
      </c>
      <c r="F152" s="9" t="str">
        <f ca="1">+WORLDCUP!BD61</f>
        <v>Estados Unidos</v>
      </c>
      <c r="G152" s="9" t="str">
        <f ca="1">+WORLDCUP!BD65</f>
        <v>Arabia Saudita</v>
      </c>
      <c r="H152" s="9" t="str">
        <f ca="1">+WORLDCUP!BD63</f>
        <v>Suecia</v>
      </c>
      <c r="I152" s="9" t="str">
        <f ca="1">+WORLDCUP!BD69</f>
        <v>Panamá</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Austria</v>
      </c>
      <c r="E153" s="9" t="str">
        <f ca="1">+WORLDCUP!BD59</f>
        <v>Bosnia y Herzegovina</v>
      </c>
      <c r="F153" s="9" t="str">
        <f ca="1">+WORLDCUP!BD61</f>
        <v>Estados Unidos</v>
      </c>
      <c r="G153" s="9" t="str">
        <f ca="1">+WORLDCUP!BD65</f>
        <v>Arabia Saudita</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Arabia Saudita</v>
      </c>
      <c r="H154" s="9" t="str">
        <f ca="1">+WORLDCUP!BD63</f>
        <v>Suecia</v>
      </c>
      <c r="I154" s="9" t="str">
        <f ca="1">+WORLDCUP!BD69</f>
        <v>Panamá</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Arabia Saudita</v>
      </c>
      <c r="H155" s="9" t="str">
        <f ca="1">+WORLDCUP!BD63</f>
        <v>Suecia</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Austria</v>
      </c>
      <c r="E156" s="9" t="str">
        <f ca="1">+WORLDCUP!BD59</f>
        <v>Bosnia y Herzegovina</v>
      </c>
      <c r="F156" s="9" t="str">
        <f ca="1">+WORLDCUP!BD61</f>
        <v>Estados Unidos</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Estados Unidos</v>
      </c>
      <c r="G157" s="9" t="str">
        <f ca="1">+WORLDCUP!BD62</f>
        <v>Costa de Marfil</v>
      </c>
      <c r="H157" s="9" t="str">
        <f ca="1">+WORLDCUP!BD63</f>
        <v>Suecia</v>
      </c>
      <c r="I157" s="9" t="str">
        <f ca="1">+WORLDCUP!BD69</f>
        <v>Panamá</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Estados Unidos</v>
      </c>
      <c r="G158" s="9" t="str">
        <f ca="1">+WORLDCUP!BD67</f>
        <v>Austria</v>
      </c>
      <c r="H158" s="9" t="str">
        <f ca="1">+WORLDCUP!BD63</f>
        <v>Suecia</v>
      </c>
      <c r="I158" s="9" t="str">
        <f ca="1">+WORLDCUP!BD69</f>
        <v>Panamá</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Estados Unidos</v>
      </c>
      <c r="G159" s="9" t="str">
        <f ca="1">+WORLDCUP!BD67</f>
        <v>Austria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Estados Unidos</v>
      </c>
      <c r="G160" s="9" t="str">
        <f ca="1">+WORLDCUP!BD62</f>
        <v>Costa de Marfil</v>
      </c>
      <c r="H160" s="9" t="str">
        <f ca="1">+WORLDCUP!BD63</f>
        <v>Suecia</v>
      </c>
      <c r="I160" s="9" t="str">
        <f ca="1">+WORLDCUP!BD69</f>
        <v>Panamá</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Estados Unidos</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Estados Unidos</v>
      </c>
      <c r="G162" s="9" t="str">
        <f ca="1">+WORLDCUP!BD67</f>
        <v>Austria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Estados Unidos</v>
      </c>
      <c r="G163" s="9" t="str">
        <f ca="1">+WORLDCUP!BD65</f>
        <v>Arabia Saudita</v>
      </c>
      <c r="H163" s="9" t="str">
        <f ca="1">+WORLDCUP!BD63</f>
        <v>Suecia</v>
      </c>
      <c r="I163" s="9" t="str">
        <f ca="1">+WORLDCUP!BD69</f>
        <v>Panamá</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Estados Unidos</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Austria</v>
      </c>
      <c r="H165" s="9" t="str">
        <f ca="1">+WORLDCUP!BD63</f>
        <v>Suecia</v>
      </c>
      <c r="I165" s="9" t="str">
        <f ca="1">+WORLDCUP!BD61</f>
        <v>Estados Unidos</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Estados Unidos</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Austria</v>
      </c>
      <c r="E167" s="9" t="str">
        <f ca="1">+WORLDCUP!BD66</f>
        <v>Senegal</v>
      </c>
      <c r="F167" s="9" t="str">
        <f ca="1">+WORLDCUP!BD63</f>
        <v>Suecia</v>
      </c>
      <c r="G167" s="9" t="str">
        <f ca="1">+WORLDCUP!BD58</f>
        <v>República Checa</v>
      </c>
      <c r="H167" s="9" t="str">
        <f ca="1">+WORLDCUP!BD64</f>
        <v>Irán</v>
      </c>
      <c r="I167" s="9" t="str">
        <f ca="1">+WORLDCUP!BD69</f>
        <v>Panamá</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Austria</v>
      </c>
      <c r="E168" s="9" t="str">
        <f ca="1">+WORLDCUP!BD66</f>
        <v>Senegal</v>
      </c>
      <c r="F168" s="9" t="str">
        <f ca="1">+WORLDCUP!BD58</f>
        <v>República Checa</v>
      </c>
      <c r="G168" s="9" t="str">
        <f ca="1">+WORLDCUP!BD65</f>
        <v>Arabia Saudita</v>
      </c>
      <c r="H168" s="9" t="str">
        <f ca="1">+WORLDCUP!BD64</f>
        <v>Irán</v>
      </c>
      <c r="I168" s="9" t="str">
        <f ca="1">+WORLDCUP!BD69</f>
        <v>Panamá</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Austria</v>
      </c>
      <c r="E169" s="9" t="str">
        <f ca="1">+WORLDCUP!BD66</f>
        <v>Senegal</v>
      </c>
      <c r="F169" s="9" t="str">
        <f ca="1">+WORLDCUP!BD63</f>
        <v>Suecia</v>
      </c>
      <c r="G169" s="9" t="str">
        <f ca="1">+WORLDCUP!BD58</f>
        <v>República Checa</v>
      </c>
      <c r="H169" s="9" t="str">
        <f ca="1">+WORLDCUP!BD65</f>
        <v>Arabia Saudita</v>
      </c>
      <c r="I169" s="9" t="str">
        <f ca="1">+WORLDCUP!BD69</f>
        <v>Panamá</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Austria</v>
      </c>
      <c r="E170" s="9" t="str">
        <f ca="1">+WORLDCUP!BD66</f>
        <v>Senegal</v>
      </c>
      <c r="F170" s="9" t="str">
        <f ca="1">+WORLDCUP!BD63</f>
        <v>Suecia</v>
      </c>
      <c r="G170" s="9" t="str">
        <f ca="1">+WORLDCUP!BD58</f>
        <v>República Checa</v>
      </c>
      <c r="H170" s="9" t="str">
        <f ca="1">+WORLDCUP!BD64</f>
        <v>Irán</v>
      </c>
      <c r="I170" s="9" t="str">
        <f ca="1">+WORLDCUP!BD69</f>
        <v>Panamá</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Austria</v>
      </c>
      <c r="F171" s="9" t="str">
        <f ca="1">+WORLDCUP!BD63</f>
        <v>Suecia</v>
      </c>
      <c r="G171" s="9" t="str">
        <f ca="1">+WORLDCUP!BD58</f>
        <v>República Checa</v>
      </c>
      <c r="H171" s="9" t="str">
        <f ca="1">+WORLDCUP!BD65</f>
        <v>Arabia Saudita</v>
      </c>
      <c r="I171" s="9" t="str">
        <f ca="1">+WORLDCUP!BD69</f>
        <v>Panamá</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Panamá</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Austria</v>
      </c>
      <c r="F173" s="9" t="str">
        <f ca="1">+WORLDCUP!BD63</f>
        <v>Suecia</v>
      </c>
      <c r="G173" s="9" t="str">
        <f ca="1">+WORLDCUP!BD58</f>
        <v>República Checa</v>
      </c>
      <c r="H173" s="9" t="str">
        <f ca="1">+WORLDCUP!BD65</f>
        <v>Arabia Saudita</v>
      </c>
      <c r="I173" s="9" t="str">
        <f ca="1">+WORLDCUP!BD69</f>
        <v>Panamá</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Austria</v>
      </c>
      <c r="F174" s="9" t="str">
        <f ca="1">+WORLDCUP!BD63</f>
        <v>Suecia</v>
      </c>
      <c r="G174" s="9" t="str">
        <f ca="1">+WORLDCUP!BD58</f>
        <v>República Checa</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Austria</v>
      </c>
      <c r="E175" s="9" t="str">
        <f ca="1">+WORLDCUP!BD66</f>
        <v>Senegal</v>
      </c>
      <c r="F175" s="9" t="str">
        <f ca="1">+WORLDCUP!BD61</f>
        <v>Estados Unidos</v>
      </c>
      <c r="G175" s="9" t="str">
        <f ca="1">+WORLDCUP!BD58</f>
        <v>República Checa</v>
      </c>
      <c r="H175" s="9" t="str">
        <f ca="1">+WORLDCUP!BD64</f>
        <v>Irán</v>
      </c>
      <c r="I175" s="9" t="str">
        <f ca="1">+WORLDCUP!BD69</f>
        <v>Panamá</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Austria</v>
      </c>
      <c r="E176" s="9" t="str">
        <f ca="1">+WORLDCUP!BD66</f>
        <v>Senegal</v>
      </c>
      <c r="F176" s="9" t="str">
        <f ca="1">+WORLDCUP!BD61</f>
        <v>Estados Unidos</v>
      </c>
      <c r="G176" s="9" t="str">
        <f ca="1">+WORLDCUP!BD58</f>
        <v>República Checa</v>
      </c>
      <c r="H176" s="9" t="str">
        <f ca="1">+WORLDCUP!BD63</f>
        <v>Suecia</v>
      </c>
      <c r="I176" s="9" t="str">
        <f ca="1">+WORLDCUP!BD69</f>
        <v>Panamá</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Austria</v>
      </c>
      <c r="F177" s="9" t="str">
        <f ca="1">+WORLDCUP!BD61</f>
        <v>Estados Unidos</v>
      </c>
      <c r="G177" s="9" t="str">
        <f ca="1">+WORLDCUP!BD58</f>
        <v>República Checa</v>
      </c>
      <c r="H177" s="9" t="str">
        <f ca="1">+WORLDCUP!BD63</f>
        <v>Suecia</v>
      </c>
      <c r="I177" s="9" t="str">
        <f ca="1">+WORLDCUP!BD69</f>
        <v>Panamá</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Austria</v>
      </c>
      <c r="F178" s="9" t="str">
        <f ca="1">+WORLDCUP!BD61</f>
        <v>Estados Unidos</v>
      </c>
      <c r="G178" s="9" t="str">
        <f ca="1">+WORLDCUP!BD58</f>
        <v>República Checa</v>
      </c>
      <c r="H178" s="9" t="str">
        <f ca="1">+WORLDCUP!BD63</f>
        <v>Suecia</v>
      </c>
      <c r="I178" s="9" t="str">
        <f ca="1">+WORLDCUP!BD69</f>
        <v>Panamá</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Senegal</v>
      </c>
      <c r="F179" s="9" t="str">
        <f ca="1">+WORLDCUP!BD61</f>
        <v>Estados Unidos</v>
      </c>
      <c r="G179" s="9" t="str">
        <f ca="1">+WORLDCUP!BD58</f>
        <v>República Checa</v>
      </c>
      <c r="H179" s="9" t="str">
        <f ca="1">+WORLDCUP!BD63</f>
        <v>Suecia</v>
      </c>
      <c r="I179" s="9" t="str">
        <f ca="1">+WORLDCUP!BD69</f>
        <v>Panamá</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Austria</v>
      </c>
      <c r="F180" s="9" t="str">
        <f ca="1">+WORLDCUP!BD61</f>
        <v>Estados Unidos</v>
      </c>
      <c r="G180" s="9" t="str">
        <f ca="1">+WORLDCUP!BD58</f>
        <v>República Checa</v>
      </c>
      <c r="H180" s="9" t="str">
        <f ca="1">+WORLDCUP!BD63</f>
        <v>Suecia</v>
      </c>
      <c r="I180" s="9" t="str">
        <f ca="1">+WORLDCUP!BD69</f>
        <v>Panamá</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Austria</v>
      </c>
      <c r="F181" s="9" t="str">
        <f ca="1">+WORLDCUP!BD61</f>
        <v>Estados Unidos</v>
      </c>
      <c r="G181" s="9" t="str">
        <f ca="1">+WORLDCUP!BD58</f>
        <v>República Checa</v>
      </c>
      <c r="H181" s="9" t="str">
        <f ca="1">+WORLDCUP!BD63</f>
        <v>Suecia</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Austria</v>
      </c>
      <c r="E182" s="9" t="str">
        <f ca="1">+WORLDCUP!BD66</f>
        <v>Senegal</v>
      </c>
      <c r="F182" s="9" t="str">
        <f ca="1">+WORLDCUP!BD61</f>
        <v>Estados Unidos</v>
      </c>
      <c r="G182" s="9" t="str">
        <f ca="1">+WORLDCUP!BD58</f>
        <v>República Checa</v>
      </c>
      <c r="H182" s="9" t="str">
        <f ca="1">+WORLDCUP!BD65</f>
        <v>Arabia Saudita</v>
      </c>
      <c r="I182" s="9" t="str">
        <f ca="1">+WORLDCUP!BD69</f>
        <v>Panamá</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Austria</v>
      </c>
      <c r="E183" s="9" t="str">
        <f ca="1">+WORLDCUP!BD66</f>
        <v>Senegal</v>
      </c>
      <c r="F183" s="9" t="str">
        <f ca="1">+WORLDCUP!BD61</f>
        <v>Estados Unidos</v>
      </c>
      <c r="G183" s="9" t="str">
        <f ca="1">+WORLDCUP!BD58</f>
        <v>República Checa</v>
      </c>
      <c r="H183" s="9" t="str">
        <f ca="1">+WORLDCUP!BD64</f>
        <v>Irán</v>
      </c>
      <c r="I183" s="9" t="str">
        <f ca="1">+WORLDCUP!BD69</f>
        <v>Panamá</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Austria</v>
      </c>
      <c r="F184" s="9" t="str">
        <f ca="1">+WORLDCUP!BD61</f>
        <v>Estados Unidos</v>
      </c>
      <c r="G184" s="9" t="str">
        <f ca="1">+WORLDCUP!BD58</f>
        <v>República Checa</v>
      </c>
      <c r="H184" s="9" t="str">
        <f ca="1">+WORLDCUP!BD65</f>
        <v>Arabia Saudita</v>
      </c>
      <c r="I184" s="9" t="str">
        <f ca="1">+WORLDCUP!BD69</f>
        <v>Panamá</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Senegal</v>
      </c>
      <c r="F185" s="9" t="str">
        <f ca="1">+WORLDCUP!BD61</f>
        <v>Estados Unidos</v>
      </c>
      <c r="G185" s="9" t="str">
        <f ca="1">+WORLDCUP!BD58</f>
        <v>República Checa</v>
      </c>
      <c r="H185" s="9" t="str">
        <f ca="1">+WORLDCUP!BD65</f>
        <v>Arabia Saudita</v>
      </c>
      <c r="I185" s="9" t="str">
        <f ca="1">+WORLDCUP!BD69</f>
        <v>Panamá</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Austria</v>
      </c>
      <c r="F186" s="9" t="str">
        <f ca="1">+WORLDCUP!BD61</f>
        <v>Estados Unidos</v>
      </c>
      <c r="G186" s="9" t="str">
        <f ca="1">+WORLDCUP!BD58</f>
        <v>República Checa</v>
      </c>
      <c r="H186" s="9" t="str">
        <f ca="1">+WORLDCUP!BD65</f>
        <v>Arabia Saudita</v>
      </c>
      <c r="I186" s="9" t="str">
        <f ca="1">+WORLDCUP!BD69</f>
        <v>Panamá</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Austria</v>
      </c>
      <c r="F187" s="9" t="str">
        <f ca="1">+WORLDCUP!BD61</f>
        <v>Estados Unidos</v>
      </c>
      <c r="G187" s="9" t="str">
        <f ca="1">+WORLDCUP!BD58</f>
        <v>República Checa</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Austria</v>
      </c>
      <c r="E188" s="9" t="str">
        <f ca="1">+WORLDCUP!BD66</f>
        <v>Senegal</v>
      </c>
      <c r="F188" s="9" t="str">
        <f ca="1">+WORLDCUP!BD61</f>
        <v>Estados Unidos</v>
      </c>
      <c r="G188" s="9" t="str">
        <f ca="1">+WORLDCUP!BD58</f>
        <v>República Checa</v>
      </c>
      <c r="H188" s="9" t="str">
        <f ca="1">+WORLDCUP!BD63</f>
        <v>Suecia</v>
      </c>
      <c r="I188" s="9" t="str">
        <f ca="1">+WORLDCUP!BD69</f>
        <v>Panamá</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Austria</v>
      </c>
      <c r="E189" s="9" t="str">
        <f ca="1">+WORLDCUP!BD62</f>
        <v>Costa de Marfil</v>
      </c>
      <c r="F189" s="9" t="str">
        <f ca="1">+WORLDCUP!BD61</f>
        <v>Estados Unidos</v>
      </c>
      <c r="G189" s="9" t="str">
        <f ca="1">+WORLDCUP!BD58</f>
        <v>República Checa</v>
      </c>
      <c r="H189" s="9" t="str">
        <f ca="1">+WORLDCUP!BD63</f>
        <v>Suecia</v>
      </c>
      <c r="I189" s="9" t="str">
        <f ca="1">+WORLDCUP!BD69</f>
        <v>Panamá</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Estados Unidos</v>
      </c>
      <c r="G190" s="9" t="str">
        <f ca="1">+WORLDCUP!BD58</f>
        <v>República Checa</v>
      </c>
      <c r="H190" s="9" t="str">
        <f ca="1">+WORLDCUP!BD63</f>
        <v>Suecia</v>
      </c>
      <c r="I190" s="9" t="str">
        <f ca="1">+WORLDCUP!BD69</f>
        <v>Panamá</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Austria</v>
      </c>
      <c r="E191" s="9" t="str">
        <f ca="1">+WORLDCUP!BD62</f>
        <v>Costa de Marfil</v>
      </c>
      <c r="F191" s="9" t="str">
        <f ca="1">+WORLDCUP!BD61</f>
        <v>Estados Unidos</v>
      </c>
      <c r="G191" s="9" t="str">
        <f ca="1">+WORLDCUP!BD58</f>
        <v>República Checa</v>
      </c>
      <c r="H191" s="9" t="str">
        <f ca="1">+WORLDCUP!BD63</f>
        <v>Suecia</v>
      </c>
      <c r="I191" s="9" t="str">
        <f ca="1">+WORLDCUP!BD69</f>
        <v>Panamá</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Austria</v>
      </c>
      <c r="E192" s="9" t="str">
        <f ca="1">+WORLDCUP!BD62</f>
        <v>Costa de Marfil</v>
      </c>
      <c r="F192" s="9" t="str">
        <f ca="1">+WORLDCUP!BD61</f>
        <v>Estados Unidos</v>
      </c>
      <c r="G192" s="9" t="str">
        <f ca="1">+WORLDCUP!BD58</f>
        <v>República Checa</v>
      </c>
      <c r="H192" s="9" t="str">
        <f ca="1">+WORLDCUP!BD63</f>
        <v>Suecia</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Austria</v>
      </c>
      <c r="F193" s="9" t="str">
        <f ca="1">+WORLDCUP!BD61</f>
        <v>Estados Unidos</v>
      </c>
      <c r="G193" s="9" t="str">
        <f ca="1">+WORLDCUP!BD58</f>
        <v>República Checa</v>
      </c>
      <c r="H193" s="9" t="str">
        <f ca="1">+WORLDCUP!BD63</f>
        <v>Suecia</v>
      </c>
      <c r="I193" s="9" t="str">
        <f ca="1">+WORLDCUP!BD69</f>
        <v>Panamá</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Senegal</v>
      </c>
      <c r="F194" s="9" t="str">
        <f ca="1">+WORLDCUP!BD61</f>
        <v>Estados Unidos</v>
      </c>
      <c r="G194" s="9" t="str">
        <f ca="1">+WORLDCUP!BD58</f>
        <v>República Checa</v>
      </c>
      <c r="H194" s="9" t="str">
        <f ca="1">+WORLDCUP!BD63</f>
        <v>Suecia</v>
      </c>
      <c r="I194" s="9" t="str">
        <f ca="1">+WORLDCUP!BD69</f>
        <v>Panamá</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Austria</v>
      </c>
      <c r="F195" s="9" t="str">
        <f ca="1">+WORLDCUP!BD61</f>
        <v>Estados Unidos</v>
      </c>
      <c r="G195" s="9" t="str">
        <f ca="1">+WORLDCUP!BD58</f>
        <v>República Checa</v>
      </c>
      <c r="H195" s="9" t="str">
        <f ca="1">+WORLDCUP!BD63</f>
        <v>Suecia</v>
      </c>
      <c r="I195" s="9" t="str">
        <f ca="1">+WORLDCUP!BD69</f>
        <v>Panamá</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Austria</v>
      </c>
      <c r="F196" s="9" t="str">
        <f ca="1">+WORLDCUP!BD61</f>
        <v>Estados Unidos</v>
      </c>
      <c r="G196" s="9" t="str">
        <f ca="1">+WORLDCUP!BD58</f>
        <v>República Checa</v>
      </c>
      <c r="H196" s="9" t="str">
        <f ca="1">+WORLDCUP!BD63</f>
        <v>Suecia</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Estados Unidos</v>
      </c>
      <c r="G197" s="9" t="str">
        <f ca="1">+WORLDCUP!BD58</f>
        <v>República Checa</v>
      </c>
      <c r="H197" s="9" t="str">
        <f ca="1">+WORLDCUP!BD63</f>
        <v>Suecia</v>
      </c>
      <c r="I197" s="9" t="str">
        <f ca="1">+WORLDCUP!BD69</f>
        <v>Panamá</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Austria</v>
      </c>
      <c r="F198" s="9" t="str">
        <f ca="1">+WORLDCUP!BD61</f>
        <v>Estados Unidos</v>
      </c>
      <c r="G198" s="9" t="str">
        <f ca="1">+WORLDCUP!BD58</f>
        <v>República Checa</v>
      </c>
      <c r="H198" s="9" t="str">
        <f ca="1">+WORLDCUP!BD63</f>
        <v>Suecia</v>
      </c>
      <c r="I198" s="9" t="str">
        <f ca="1">+WORLDCUP!BD69</f>
        <v>Panamá</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Austria</v>
      </c>
      <c r="F199" s="9" t="str">
        <f ca="1">+WORLDCUP!BD61</f>
        <v>Estados Unidos</v>
      </c>
      <c r="G199" s="9" t="str">
        <f ca="1">+WORLDCUP!BD58</f>
        <v>República Checa</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Estados Unidos</v>
      </c>
      <c r="G200" s="9" t="str">
        <f ca="1">+WORLDCUP!BD58</f>
        <v>República Checa</v>
      </c>
      <c r="H200" s="9" t="str">
        <f ca="1">+WORLDCUP!BD63</f>
        <v>Suecia</v>
      </c>
      <c r="I200" s="9" t="str">
        <f ca="1">+WORLDCUP!BD69</f>
        <v>Panamá</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Estados Unidos</v>
      </c>
      <c r="G201" s="9" t="str">
        <f ca="1">+WORLDCUP!BD58</f>
        <v>República Checa</v>
      </c>
      <c r="H201" s="9" t="str">
        <f ca="1">+WORLDCUP!BD63</f>
        <v>Suecia</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Austria</v>
      </c>
      <c r="F202" s="9" t="str">
        <f ca="1">+WORLDCUP!BD61</f>
        <v>Estados Unidos</v>
      </c>
      <c r="G202" s="9" t="str">
        <f ca="1">+WORLDCUP!BD58</f>
        <v>República Checa</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República Checa</v>
      </c>
      <c r="H203" s="9" t="str">
        <f ca="1">+WORLDCUP!BD64</f>
        <v>Irán</v>
      </c>
      <c r="I203" s="9" t="str">
        <f ca="1">+WORLDCUP!BD69</f>
        <v>Panamá</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República Checa</v>
      </c>
      <c r="H204" s="9" t="str">
        <f ca="1">+WORLDCUP!BD63</f>
        <v>Suecia</v>
      </c>
      <c r="I204" s="9" t="str">
        <f ca="1">+WORLDCUP!BD69</f>
        <v>Panamá</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Austria</v>
      </c>
      <c r="F205" s="9" t="str">
        <f ca="1">+WORLDCUP!BD60</f>
        <v>Escocia</v>
      </c>
      <c r="G205" s="9" t="str">
        <f ca="1">+WORLDCUP!BD58</f>
        <v>República Checa</v>
      </c>
      <c r="H205" s="9" t="str">
        <f ca="1">+WORLDCUP!BD63</f>
        <v>Suecia</v>
      </c>
      <c r="I205" s="9" t="str">
        <f ca="1">+WORLDCUP!BD69</f>
        <v>Panamá</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Austria</v>
      </c>
      <c r="F206" s="9" t="str">
        <f ca="1">+WORLDCUP!BD60</f>
        <v>Escocia</v>
      </c>
      <c r="G206" s="9" t="str">
        <f ca="1">+WORLDCUP!BD58</f>
        <v>República Checa</v>
      </c>
      <c r="H206" s="9" t="str">
        <f ca="1">+WORLDCUP!BD63</f>
        <v>Suecia</v>
      </c>
      <c r="I206" s="9" t="str">
        <f ca="1">+WORLDCUP!BD69</f>
        <v>Panamá</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Panamá</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Austria</v>
      </c>
      <c r="F208" s="9" t="str">
        <f ca="1">+WORLDCUP!BD60</f>
        <v>Escocia</v>
      </c>
      <c r="G208" s="9" t="str">
        <f ca="1">+WORLDCUP!BD58</f>
        <v>República Checa</v>
      </c>
      <c r="H208" s="9" t="str">
        <f ca="1">+WORLDCUP!BD63</f>
        <v>Suecia</v>
      </c>
      <c r="I208" s="9" t="str">
        <f ca="1">+WORLDCUP!BD69</f>
        <v>Panamá</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Austria</v>
      </c>
      <c r="F209" s="9" t="str">
        <f ca="1">+WORLDCUP!BD60</f>
        <v>Escocia</v>
      </c>
      <c r="G209" s="9" t="str">
        <f ca="1">+WORLDCUP!BD58</f>
        <v>República Checa</v>
      </c>
      <c r="H209" s="9" t="str">
        <f ca="1">+WORLDCUP!BD63</f>
        <v>Suecia</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República Checa</v>
      </c>
      <c r="H210" s="9" t="str">
        <f ca="1">+WORLDCUP!BD65</f>
        <v>Arabia Saudita</v>
      </c>
      <c r="I210" s="9" t="str">
        <f ca="1">+WORLDCUP!BD69</f>
        <v>Panamá</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República Checa</v>
      </c>
      <c r="H211" s="9" t="str">
        <f ca="1">+WORLDCUP!BD64</f>
        <v>Irán</v>
      </c>
      <c r="I211" s="9" t="str">
        <f ca="1">+WORLDCUP!BD69</f>
        <v>Panamá</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Austria</v>
      </c>
      <c r="F212" s="9" t="str">
        <f ca="1">+WORLDCUP!BD60</f>
        <v>Escocia</v>
      </c>
      <c r="G212" s="9" t="str">
        <f ca="1">+WORLDCUP!BD58</f>
        <v>República Checa</v>
      </c>
      <c r="H212" s="9" t="str">
        <f ca="1">+WORLDCUP!BD65</f>
        <v>Arabia Saudita</v>
      </c>
      <c r="I212" s="9" t="str">
        <f ca="1">+WORLDCUP!BD69</f>
        <v>Panamá</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Panamá</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Austria</v>
      </c>
      <c r="F214" s="9" t="str">
        <f ca="1">+WORLDCUP!BD60</f>
        <v>Escocia</v>
      </c>
      <c r="G214" s="9" t="str">
        <f ca="1">+WORLDCUP!BD58</f>
        <v>República Checa</v>
      </c>
      <c r="H214" s="9" t="str">
        <f ca="1">+WORLDCUP!BD65</f>
        <v>Arabia Saudita</v>
      </c>
      <c r="I214" s="9" t="str">
        <f ca="1">+WORLDCUP!BD69</f>
        <v>Panamá</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Austria</v>
      </c>
      <c r="F215" s="9" t="str">
        <f ca="1">+WORLDCUP!BD60</f>
        <v>Escocia</v>
      </c>
      <c r="G215" s="9" t="str">
        <f ca="1">+WORLDCUP!BD58</f>
        <v>República Checa</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República Checa</v>
      </c>
      <c r="H216" s="9" t="str">
        <f ca="1">+WORLDCUP!BD63</f>
        <v>Suecia</v>
      </c>
      <c r="I216" s="9" t="str">
        <f ca="1">+WORLDCUP!BD69</f>
        <v>Panamá</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República Checa</v>
      </c>
      <c r="H217" s="9" t="str">
        <f ca="1">+WORLDCUP!BD63</f>
        <v>Suecia</v>
      </c>
      <c r="I217" s="9" t="str">
        <f ca="1">+WORLDCUP!BD69</f>
        <v>Panamá</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Panamá</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República Checa</v>
      </c>
      <c r="H219" s="9" t="str">
        <f ca="1">+WORLDCUP!BD63</f>
        <v>Suecia</v>
      </c>
      <c r="I219" s="9" t="str">
        <f ca="1">+WORLDCUP!BD69</f>
        <v>Panamá</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Austria</v>
      </c>
      <c r="F221" s="9" t="str">
        <f ca="1">+WORLDCUP!BD60</f>
        <v>Escocia</v>
      </c>
      <c r="G221" s="9" t="str">
        <f ca="1">+WORLDCUP!BD58</f>
        <v>República Checa</v>
      </c>
      <c r="H221" s="9" t="str">
        <f ca="1">+WORLDCUP!BD63</f>
        <v>Suecia</v>
      </c>
      <c r="I221" s="9" t="str">
        <f ca="1">+WORLDCUP!BD69</f>
        <v>Panamá</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Panamá</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Austria</v>
      </c>
      <c r="F223" s="9" t="str">
        <f ca="1">+WORLDCUP!BD60</f>
        <v>Escocia</v>
      </c>
      <c r="G223" s="9" t="str">
        <f ca="1">+WORLDCUP!BD58</f>
        <v>República Checa</v>
      </c>
      <c r="H223" s="9" t="str">
        <f ca="1">+WORLDCUP!BD63</f>
        <v>Suecia</v>
      </c>
      <c r="I223" s="9" t="str">
        <f ca="1">+WORLDCUP!BD69</f>
        <v>Panamá</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Austria</v>
      </c>
      <c r="F224" s="9" t="str">
        <f ca="1">+WORLDCUP!BD60</f>
        <v>Escocia</v>
      </c>
      <c r="G224" s="9" t="str">
        <f ca="1">+WORLDCUP!BD58</f>
        <v>República Checa</v>
      </c>
      <c r="H224" s="9" t="str">
        <f ca="1">+WORLDCUP!BD63</f>
        <v>Suecia</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Panamá</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Austria</v>
      </c>
      <c r="F226" s="9" t="str">
        <f ca="1">+WORLDCUP!BD60</f>
        <v>Escocia</v>
      </c>
      <c r="G226" s="9" t="str">
        <f ca="1">+WORLDCUP!BD58</f>
        <v>República Checa</v>
      </c>
      <c r="H226" s="9" t="str">
        <f ca="1">+WORLDCUP!BD63</f>
        <v>Suecia</v>
      </c>
      <c r="I226" s="9" t="str">
        <f ca="1">+WORLDCUP!BD69</f>
        <v>Panamá</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Austria</v>
      </c>
      <c r="F227" s="9" t="str">
        <f ca="1">+WORLDCUP!BD60</f>
        <v>Escocia</v>
      </c>
      <c r="G227" s="9" t="str">
        <f ca="1">+WORLDCUP!BD58</f>
        <v>República Checa</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Panamá</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Austria</v>
      </c>
      <c r="F230" s="9" t="str">
        <f ca="1">+WORLDCUP!BD60</f>
        <v>Escocia</v>
      </c>
      <c r="G230" s="9" t="str">
        <f ca="1">+WORLDCUP!BD58</f>
        <v>República Checa</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República Checa</v>
      </c>
      <c r="H231" s="9" t="str">
        <f ca="1">+WORLDCUP!BD61</f>
        <v>Estados Unidos</v>
      </c>
      <c r="I231" s="9" t="str">
        <f ca="1">+WORLDCUP!BD69</f>
        <v>Panamá</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Austria</v>
      </c>
      <c r="F232" s="9" t="str">
        <f ca="1">+WORLDCUP!BD60</f>
        <v>Escocia</v>
      </c>
      <c r="G232" s="9" t="str">
        <f ca="1">+WORLDCUP!BD58</f>
        <v>República Checa</v>
      </c>
      <c r="H232" s="9" t="str">
        <f ca="1">+WORLDCUP!BD61</f>
        <v>Estados Unidos</v>
      </c>
      <c r="I232" s="9" t="str">
        <f ca="1">+WORLDCUP!BD69</f>
        <v>Panamá</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Austria</v>
      </c>
      <c r="F233" s="9" t="str">
        <f ca="1">+WORLDCUP!BD60</f>
        <v>Escocia</v>
      </c>
      <c r="G233" s="9" t="str">
        <f ca="1">+WORLDCUP!BD58</f>
        <v>República Checa</v>
      </c>
      <c r="H233" s="9" t="str">
        <f ca="1">+WORLDCUP!BD61</f>
        <v>Estados Unidos</v>
      </c>
      <c r="I233" s="9" t="str">
        <f ca="1">+WORLDCUP!BD69</f>
        <v>Panamá</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Estados Unidos</v>
      </c>
      <c r="I234" s="9" t="str">
        <f ca="1">+WORLDCUP!BD69</f>
        <v>Panamá</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Austria</v>
      </c>
      <c r="F235" s="9" t="str">
        <f ca="1">+WORLDCUP!BD60</f>
        <v>Escocia</v>
      </c>
      <c r="G235" s="9" t="str">
        <f ca="1">+WORLDCUP!BD58</f>
        <v>República Checa</v>
      </c>
      <c r="H235" s="9" t="str">
        <f ca="1">+WORLDCUP!BD61</f>
        <v>Estados Unidos</v>
      </c>
      <c r="I235" s="9" t="str">
        <f ca="1">+WORLDCUP!BD69</f>
        <v>Panamá</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Austria</v>
      </c>
      <c r="F236" s="9" t="str">
        <f ca="1">+WORLDCUP!BD60</f>
        <v>Escocia</v>
      </c>
      <c r="G236" s="9" t="str">
        <f ca="1">+WORLDCUP!BD58</f>
        <v>República Checa</v>
      </c>
      <c r="H236" s="9" t="str">
        <f ca="1">+WORLDCUP!BD61</f>
        <v>Estados Unidos</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Austria</v>
      </c>
      <c r="E237" s="9" t="str">
        <f ca="1">+WORLDCUP!BD66</f>
        <v>Senegal</v>
      </c>
      <c r="F237" s="9" t="str">
        <f ca="1">+WORLDCUP!BD61</f>
        <v>Estados Unidos</v>
      </c>
      <c r="G237" s="9" t="str">
        <f ca="1">+WORLDCUP!BD58</f>
        <v>República Checa</v>
      </c>
      <c r="H237" s="9" t="str">
        <f ca="1">+WORLDCUP!BD63</f>
        <v>Suecia</v>
      </c>
      <c r="I237" s="9" t="str">
        <f ca="1">+WORLDCUP!BD69</f>
        <v>Panamá</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Austria</v>
      </c>
      <c r="E238" s="9" t="str">
        <f ca="1">+WORLDCUP!BD63</f>
        <v>Suecia</v>
      </c>
      <c r="F238" s="9" t="str">
        <f ca="1">+WORLDCUP!BD60</f>
        <v>Escocia</v>
      </c>
      <c r="G238" s="9" t="str">
        <f ca="1">+WORLDCUP!BD58</f>
        <v>República Checa</v>
      </c>
      <c r="H238" s="9" t="str">
        <f ca="1">+WORLDCUP!BD61</f>
        <v>Estados Unidos</v>
      </c>
      <c r="I238" s="9" t="str">
        <f ca="1">+WORLDCUP!BD69</f>
        <v>Panamá</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Estados Unidos</v>
      </c>
      <c r="I239" s="9" t="str">
        <f ca="1">+WORLDCUP!BD69</f>
        <v>Panamá</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Austria</v>
      </c>
      <c r="E240" s="9" t="str">
        <f ca="1">+WORLDCUP!BD63</f>
        <v>Suecia</v>
      </c>
      <c r="F240" s="9" t="str">
        <f ca="1">+WORLDCUP!BD60</f>
        <v>Escocia</v>
      </c>
      <c r="G240" s="9" t="str">
        <f ca="1">+WORLDCUP!BD58</f>
        <v>República Checa</v>
      </c>
      <c r="H240" s="9" t="str">
        <f ca="1">+WORLDCUP!BD61</f>
        <v>Estados Unidos</v>
      </c>
      <c r="I240" s="9" t="str">
        <f ca="1">+WORLDCUP!BD69</f>
        <v>Panamá</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Austria</v>
      </c>
      <c r="E241" s="9" t="str">
        <f ca="1">+WORLDCUP!BD63</f>
        <v>Suecia</v>
      </c>
      <c r="F241" s="9" t="str">
        <f ca="1">+WORLDCUP!BD60</f>
        <v>Escocia</v>
      </c>
      <c r="G241" s="9" t="str">
        <f ca="1">+WORLDCUP!BD58</f>
        <v>República Checa</v>
      </c>
      <c r="H241" s="9" t="str">
        <f ca="1">+WORLDCUP!BD61</f>
        <v>Estados Unidos</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Austria</v>
      </c>
      <c r="F242" s="9" t="str">
        <f ca="1">+WORLDCUP!BD61</f>
        <v>Estados Unidos</v>
      </c>
      <c r="G242" s="9" t="str">
        <f ca="1">+WORLDCUP!BD58</f>
        <v>República Checa</v>
      </c>
      <c r="H242" s="9" t="str">
        <f ca="1">+WORLDCUP!BD63</f>
        <v>Suecia</v>
      </c>
      <c r="I242" s="9" t="str">
        <f ca="1">+WORLDCUP!BD69</f>
        <v>Panamá</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Senegal</v>
      </c>
      <c r="F243" s="9" t="str">
        <f ca="1">+WORLDCUP!BD61</f>
        <v>Estados Unidos</v>
      </c>
      <c r="G243" s="9" t="str">
        <f ca="1">+WORLDCUP!BD58</f>
        <v>República Checa</v>
      </c>
      <c r="H243" s="9" t="str">
        <f ca="1">+WORLDCUP!BD63</f>
        <v>Suecia</v>
      </c>
      <c r="I243" s="9" t="str">
        <f ca="1">+WORLDCUP!BD69</f>
        <v>Panamá</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Austria</v>
      </c>
      <c r="F244" s="9" t="str">
        <f ca="1">+WORLDCUP!BD61</f>
        <v>Estados Unidos</v>
      </c>
      <c r="G244" s="9" t="str">
        <f ca="1">+WORLDCUP!BD58</f>
        <v>República Checa</v>
      </c>
      <c r="H244" s="9" t="str">
        <f ca="1">+WORLDCUP!BD63</f>
        <v>Suecia</v>
      </c>
      <c r="I244" s="9" t="str">
        <f ca="1">+WORLDCUP!BD69</f>
        <v>Panamá</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Austria</v>
      </c>
      <c r="F245" s="9" t="str">
        <f ca="1">+WORLDCUP!BD61</f>
        <v>Estados Unidos</v>
      </c>
      <c r="G245" s="9" t="str">
        <f ca="1">+WORLDCUP!BD58</f>
        <v>República Checa</v>
      </c>
      <c r="H245" s="9" t="str">
        <f ca="1">+WORLDCUP!BD63</f>
        <v>Suecia</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Estados Unidos</v>
      </c>
      <c r="I246" s="9" t="str">
        <f ca="1">+WORLDCUP!BD69</f>
        <v>Panamá</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Austria</v>
      </c>
      <c r="F247" s="9" t="str">
        <f ca="1">+WORLDCUP!BD61</f>
        <v>Estados Unidos</v>
      </c>
      <c r="G247" s="9" t="str">
        <f ca="1">+WORLDCUP!BD58</f>
        <v>República Checa</v>
      </c>
      <c r="H247" s="9" t="str">
        <f ca="1">+WORLDCUP!BD63</f>
        <v>Suecia</v>
      </c>
      <c r="I247" s="9" t="str">
        <f ca="1">+WORLDCUP!BD69</f>
        <v>Panamá</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Austria</v>
      </c>
      <c r="F248" s="9" t="str">
        <f ca="1">+WORLDCUP!BD60</f>
        <v>Escocia</v>
      </c>
      <c r="G248" s="9" t="str">
        <f ca="1">+WORLDCUP!BD58</f>
        <v>República Checa</v>
      </c>
      <c r="H248" s="9" t="str">
        <f ca="1">+WORLDCUP!BD63</f>
        <v>Suecia</v>
      </c>
      <c r="I248" s="9" t="str">
        <f ca="1">+WORLDCUP!BD61</f>
        <v>Estados Unidos</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Estados Unidos</v>
      </c>
      <c r="I249" s="9" t="str">
        <f ca="1">+WORLDCUP!BD69</f>
        <v>Panamá</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Estados Unidos</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Austria</v>
      </c>
      <c r="F251" s="9" t="str">
        <f ca="1">+WORLDCUP!BD60</f>
        <v>Escocia</v>
      </c>
      <c r="G251" s="9" t="str">
        <f ca="1">+WORLDCUP!BD58</f>
        <v>República Checa</v>
      </c>
      <c r="H251" s="9" t="str">
        <f ca="1">+WORLDCUP!BD63</f>
        <v>Suecia</v>
      </c>
      <c r="I251" s="9" t="str">
        <f ca="1">+WORLDCUP!BD61</f>
        <v>Estados Unidos</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República Checa</v>
      </c>
      <c r="H252" s="9" t="str">
        <f ca="1">+WORLDCUP!BD61</f>
        <v>Estados Unidos</v>
      </c>
      <c r="I252" s="9" t="str">
        <f ca="1">+WORLDCUP!BD69</f>
        <v>Panamá</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República Checa</v>
      </c>
      <c r="H253" s="9" t="str">
        <f ca="1">+WORLDCUP!BD61</f>
        <v>Estados Unidos</v>
      </c>
      <c r="I253" s="9" t="str">
        <f ca="1">+WORLDCUP!BD69</f>
        <v>Panamá</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Estados Unidos</v>
      </c>
      <c r="I254" s="9" t="str">
        <f ca="1">+WORLDCUP!BD69</f>
        <v>Panamá</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República Checa</v>
      </c>
      <c r="H255" s="9" t="str">
        <f ca="1">+WORLDCUP!BD61</f>
        <v>Estados Unidos</v>
      </c>
      <c r="I255" s="9" t="str">
        <f ca="1">+WORLDCUP!BD69</f>
        <v>Panamá</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República Checa</v>
      </c>
      <c r="H256" s="9" t="str">
        <f ca="1">+WORLDCUP!BD61</f>
        <v>Estados Unidos</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Austria</v>
      </c>
      <c r="F257" s="9" t="str">
        <f ca="1">+WORLDCUP!BD60</f>
        <v>Escocia</v>
      </c>
      <c r="G257" s="9" t="str">
        <f ca="1">+WORLDCUP!BD58</f>
        <v>República Checa</v>
      </c>
      <c r="H257" s="9" t="str">
        <f ca="1">+WORLDCUP!BD61</f>
        <v>Estados Unidos</v>
      </c>
      <c r="I257" s="9" t="str">
        <f ca="1">+WORLDCUP!BD69</f>
        <v>Panamá</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Estados Unidos</v>
      </c>
      <c r="I258" s="9" t="str">
        <f ca="1">+WORLDCUP!BD69</f>
        <v>Panamá</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Austria</v>
      </c>
      <c r="F259" s="9" t="str">
        <f ca="1">+WORLDCUP!BD60</f>
        <v>Escocia</v>
      </c>
      <c r="G259" s="9" t="str">
        <f ca="1">+WORLDCUP!BD58</f>
        <v>República Checa</v>
      </c>
      <c r="H259" s="9" t="str">
        <f ca="1">+WORLDCUP!BD61</f>
        <v>Estados Unidos</v>
      </c>
      <c r="I259" s="9" t="str">
        <f ca="1">+WORLDCUP!BD69</f>
        <v>Panamá</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Austria</v>
      </c>
      <c r="F260" s="9" t="str">
        <f ca="1">+WORLDCUP!BD60</f>
        <v>Escocia</v>
      </c>
      <c r="G260" s="9" t="str">
        <f ca="1">+WORLDCUP!BD58</f>
        <v>República Checa</v>
      </c>
      <c r="H260" s="9" t="str">
        <f ca="1">+WORLDCUP!BD61</f>
        <v>Estados Unidos</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Estados Unidos</v>
      </c>
      <c r="I261" s="9" t="str">
        <f ca="1">+WORLDCUP!BD69</f>
        <v>Panamá</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Austria</v>
      </c>
      <c r="F262" s="9" t="str">
        <f ca="1">+WORLDCUP!BD60</f>
        <v>Escocia</v>
      </c>
      <c r="G262" s="9" t="str">
        <f ca="1">+WORLDCUP!BD58</f>
        <v>República Checa</v>
      </c>
      <c r="H262" s="9" t="str">
        <f ca="1">+WORLDCUP!BD61</f>
        <v>Estados Unidos</v>
      </c>
      <c r="I262" s="9" t="str">
        <f ca="1">+WORLDCUP!BD69</f>
        <v>Panamá</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Austria</v>
      </c>
      <c r="F263" s="9" t="str">
        <f ca="1">+WORLDCUP!BD60</f>
        <v>Escocia</v>
      </c>
      <c r="G263" s="9" t="str">
        <f ca="1">+WORLDCUP!BD58</f>
        <v>República Checa</v>
      </c>
      <c r="H263" s="9" t="str">
        <f ca="1">+WORLDCUP!BD61</f>
        <v>Estados Unidos</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Estados Unidos</v>
      </c>
      <c r="I264" s="9" t="str">
        <f ca="1">+WORLDCUP!BD69</f>
        <v>Panamá</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Estados Unidos</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Austria</v>
      </c>
      <c r="F266" s="9" t="str">
        <f ca="1">+WORLDCUP!BD60</f>
        <v>Escocia</v>
      </c>
      <c r="G266" s="9" t="str">
        <f ca="1">+WORLDCUP!BD58</f>
        <v>República Checa</v>
      </c>
      <c r="H266" s="9" t="str">
        <f ca="1">+WORLDCUP!BD61</f>
        <v>Estados Unidos</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Austria</v>
      </c>
      <c r="E267" s="9" t="str">
        <f ca="1">+WORLDCUP!BD62</f>
        <v>Costa de Marfil</v>
      </c>
      <c r="F267" s="9" t="str">
        <f ca="1">+WORLDCUP!BD61</f>
        <v>Estados Unidos</v>
      </c>
      <c r="G267" s="9" t="str">
        <f ca="1">+WORLDCUP!BD58</f>
        <v>República Checa</v>
      </c>
      <c r="H267" s="9" t="str">
        <f ca="1">+WORLDCUP!BD63</f>
        <v>Suecia</v>
      </c>
      <c r="I267" s="9" t="str">
        <f ca="1">+WORLDCUP!BD69</f>
        <v>Panamá</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Estados Unidos</v>
      </c>
      <c r="G268" s="9" t="str">
        <f ca="1">+WORLDCUP!BD58</f>
        <v>República Checa</v>
      </c>
      <c r="H268" s="9" t="str">
        <f ca="1">+WORLDCUP!BD63</f>
        <v>Suecia</v>
      </c>
      <c r="I268" s="9" t="str">
        <f ca="1">+WORLDCUP!BD69</f>
        <v>Panamá</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Austria</v>
      </c>
      <c r="E269" s="9" t="str">
        <f ca="1">+WORLDCUP!BD62</f>
        <v>Costa de Marfil</v>
      </c>
      <c r="F269" s="9" t="str">
        <f ca="1">+WORLDCUP!BD61</f>
        <v>Estados Unidos</v>
      </c>
      <c r="G269" s="9" t="str">
        <f ca="1">+WORLDCUP!BD58</f>
        <v>República Checa</v>
      </c>
      <c r="H269" s="9" t="str">
        <f ca="1">+WORLDCUP!BD63</f>
        <v>Suecia</v>
      </c>
      <c r="I269" s="9" t="str">
        <f ca="1">+WORLDCUP!BD69</f>
        <v>Panamá</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Austria</v>
      </c>
      <c r="E270" s="9" t="str">
        <f ca="1">+WORLDCUP!BD62</f>
        <v>Costa de Marfil</v>
      </c>
      <c r="F270" s="9" t="str">
        <f ca="1">+WORLDCUP!BD61</f>
        <v>Estados Unidos</v>
      </c>
      <c r="G270" s="9" t="str">
        <f ca="1">+WORLDCUP!BD58</f>
        <v>República Checa</v>
      </c>
      <c r="H270" s="9" t="str">
        <f ca="1">+WORLDCUP!BD63</f>
        <v>Suecia</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Estados Unidos</v>
      </c>
      <c r="I271" s="9" t="str">
        <f ca="1">+WORLDCUP!BD69</f>
        <v>Panamá</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Austria</v>
      </c>
      <c r="E272" s="9" t="str">
        <f ca="1">+WORLDCUP!BD63</f>
        <v>Suecia</v>
      </c>
      <c r="F272" s="9" t="str">
        <f ca="1">+WORLDCUP!BD60</f>
        <v>Escocia</v>
      </c>
      <c r="G272" s="9" t="str">
        <f ca="1">+WORLDCUP!BD58</f>
        <v>República Checa</v>
      </c>
      <c r="H272" s="9" t="str">
        <f ca="1">+WORLDCUP!BD61</f>
        <v>Estados Unidos</v>
      </c>
      <c r="I272" s="9" t="str">
        <f ca="1">+WORLDCUP!BD69</f>
        <v>Panamá</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República Checa</v>
      </c>
      <c r="H273" s="9" t="str">
        <f ca="1">+WORLDCUP!BD63</f>
        <v>Suecia</v>
      </c>
      <c r="I273" s="9" t="str">
        <f ca="1">+WORLDCUP!BD61</f>
        <v>Estados Unidos</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Estados Unidos</v>
      </c>
      <c r="I274" s="9" t="str">
        <f ca="1">+WORLDCUP!BD69</f>
        <v>Panamá</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Estados Unidos</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República Checa</v>
      </c>
      <c r="H276" s="9" t="str">
        <f ca="1">+WORLDCUP!BD63</f>
        <v>Suecia</v>
      </c>
      <c r="I276" s="9" t="str">
        <f ca="1">+WORLDCUP!BD61</f>
        <v>Estados Unidos</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República Checa</v>
      </c>
      <c r="H277" s="9" t="str">
        <f ca="1">+WORLDCUP!BD63</f>
        <v>Suecia</v>
      </c>
      <c r="I277" s="9" t="str">
        <f ca="1">+WORLDCUP!BD69</f>
        <v>Panamá</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Austria</v>
      </c>
      <c r="F278" s="9" t="str">
        <f ca="1">+WORLDCUP!BD61</f>
        <v>Estados Unidos</v>
      </c>
      <c r="G278" s="9" t="str">
        <f ca="1">+WORLDCUP!BD58</f>
        <v>República Checa</v>
      </c>
      <c r="H278" s="9" t="str">
        <f ca="1">+WORLDCUP!BD63</f>
        <v>Suecia</v>
      </c>
      <c r="I278" s="9" t="str">
        <f ca="1">+WORLDCUP!BD69</f>
        <v>Panamá</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Austria</v>
      </c>
      <c r="F279" s="9" t="str">
        <f ca="1">+WORLDCUP!BD61</f>
        <v>Estados Unidos</v>
      </c>
      <c r="G279" s="9" t="str">
        <f ca="1">+WORLDCUP!BD58</f>
        <v>República Checa</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República Checa</v>
      </c>
      <c r="H280" s="9" t="str">
        <f ca="1">+WORLDCUP!BD63</f>
        <v>Suecia</v>
      </c>
      <c r="I280" s="9" t="str">
        <f ca="1">+WORLDCUP!BD69</f>
        <v>Panamá</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República Checa</v>
      </c>
      <c r="H281" s="9" t="str">
        <f ca="1">+WORLDCUP!BD63</f>
        <v>Suecia</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Austria</v>
      </c>
      <c r="F282" s="9" t="str">
        <f ca="1">+WORLDCUP!BD61</f>
        <v>Estados Unidos</v>
      </c>
      <c r="G282" s="9" t="str">
        <f ca="1">+WORLDCUP!BD58</f>
        <v>República Checa</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Estados Unidos</v>
      </c>
      <c r="I283" s="9" t="str">
        <f ca="1">+WORLDCUP!BD69</f>
        <v>Panamá</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Estados Unidos</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Austria</v>
      </c>
      <c r="F285" s="9" t="str">
        <f ca="1">+WORLDCUP!BD60</f>
        <v>Escocia</v>
      </c>
      <c r="G285" s="9" t="str">
        <f ca="1">+WORLDCUP!BD58</f>
        <v>República Checa</v>
      </c>
      <c r="H285" s="9" t="str">
        <f ca="1">+WORLDCUP!BD63</f>
        <v>Suecia</v>
      </c>
      <c r="I285" s="9" t="str">
        <f ca="1">+WORLDCUP!BD61</f>
        <v>Estados Unidos</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Estados Unidos</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Austria</v>
      </c>
      <c r="E287" s="9" t="str">
        <f ca="1">+WORLDCUP!BD59</f>
        <v>Bosnia y Herzegovina</v>
      </c>
      <c r="F287" s="9" t="str">
        <f ca="1">+WORLDCUP!BD58</f>
        <v>República Checa</v>
      </c>
      <c r="G287" s="9" t="str">
        <f ca="1">+WORLDCUP!BD66</f>
        <v>Senegal</v>
      </c>
      <c r="H287" s="9" t="str">
        <f ca="1">+WORLDCUP!BD64</f>
        <v>Irán</v>
      </c>
      <c r="I287" s="9" t="str">
        <f ca="1">+WORLDCUP!BD69</f>
        <v>Panamá</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Austria</v>
      </c>
      <c r="E288" s="9" t="str">
        <f ca="1">+WORLDCUP!BD59</f>
        <v>Bosnia y Herzegovina</v>
      </c>
      <c r="F288" s="9" t="str">
        <f ca="1">+WORLDCUP!BD58</f>
        <v>República Checa</v>
      </c>
      <c r="G288" s="9" t="str">
        <f ca="1">+WORLDCUP!BD66</f>
        <v>Senegal</v>
      </c>
      <c r="H288" s="9" t="str">
        <f ca="1">+WORLDCUP!BD63</f>
        <v>Suecia</v>
      </c>
      <c r="I288" s="9" t="str">
        <f ca="1">+WORLDCUP!BD69</f>
        <v>Panamá</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Austria</v>
      </c>
      <c r="E289" s="9" t="str">
        <f ca="1">+WORLDCUP!BD59</f>
        <v>Bosnia y Herzegovina</v>
      </c>
      <c r="F289" s="9" t="str">
        <f ca="1">+WORLDCUP!BD63</f>
        <v>Suecia</v>
      </c>
      <c r="G289" s="9" t="str">
        <f ca="1">+WORLDCUP!BD58</f>
        <v>República Checa</v>
      </c>
      <c r="H289" s="9" t="str">
        <f ca="1">+WORLDCUP!BD64</f>
        <v>Irán</v>
      </c>
      <c r="I289" s="9" t="str">
        <f ca="1">+WORLDCUP!BD69</f>
        <v>Panamá</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Austria</v>
      </c>
      <c r="E290" s="9" t="str">
        <f ca="1">+WORLDCUP!BD59</f>
        <v>Bosnia y Herzegovina</v>
      </c>
      <c r="F290" s="9" t="str">
        <f ca="1">+WORLDCUP!BD63</f>
        <v>Suecia</v>
      </c>
      <c r="G290" s="9" t="str">
        <f ca="1">+WORLDCUP!BD58</f>
        <v>República Checa</v>
      </c>
      <c r="H290" s="9" t="str">
        <f ca="1">+WORLDCUP!BD64</f>
        <v>Irán</v>
      </c>
      <c r="I290" s="9" t="str">
        <f ca="1">+WORLDCUP!BD69</f>
        <v>Panamá</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Panamá</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Austria</v>
      </c>
      <c r="E292" s="9" t="str">
        <f ca="1">+WORLDCUP!BD59</f>
        <v>Bosnia y Herzegovina</v>
      </c>
      <c r="F292" s="9" t="str">
        <f ca="1">+WORLDCUP!BD63</f>
        <v>Suecia</v>
      </c>
      <c r="G292" s="9" t="str">
        <f ca="1">+WORLDCUP!BD58</f>
        <v>República Checa</v>
      </c>
      <c r="H292" s="9" t="str">
        <f ca="1">+WORLDCUP!BD64</f>
        <v>Irán</v>
      </c>
      <c r="I292" s="9" t="str">
        <f ca="1">+WORLDCUP!BD69</f>
        <v>Panamá</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Austria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Austria</v>
      </c>
      <c r="E294" s="9" t="str">
        <f ca="1">+WORLDCUP!BD59</f>
        <v>Bosnia y Herzegovina</v>
      </c>
      <c r="F294" s="9" t="str">
        <f ca="1">+WORLDCUP!BD58</f>
        <v>República Checa</v>
      </c>
      <c r="G294" s="9" t="str">
        <f ca="1">+WORLDCUP!BD66</f>
        <v>Senegal</v>
      </c>
      <c r="H294" s="9" t="str">
        <f ca="1">+WORLDCUP!BD65</f>
        <v>Arabia Saudita</v>
      </c>
      <c r="I294" s="9" t="str">
        <f ca="1">+WORLDCUP!BD69</f>
        <v>Panamá</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Austria</v>
      </c>
      <c r="E295" s="9" t="str">
        <f ca="1">+WORLDCUP!BD59</f>
        <v>Bosnia y Herzegovina</v>
      </c>
      <c r="F295" s="9" t="str">
        <f ca="1">+WORLDCUP!BD58</f>
        <v>República Checa</v>
      </c>
      <c r="G295" s="9" t="str">
        <f ca="1">+WORLDCUP!BD66</f>
        <v>Senegal</v>
      </c>
      <c r="H295" s="9" t="str">
        <f ca="1">+WORLDCUP!BD64</f>
        <v>Irán</v>
      </c>
      <c r="I295" s="9" t="str">
        <f ca="1">+WORLDCUP!BD69</f>
        <v>Panamá</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Austria</v>
      </c>
      <c r="E296" s="9" t="str">
        <f ca="1">+WORLDCUP!BD59</f>
        <v>Bosnia y Herzegovina</v>
      </c>
      <c r="F296" s="9" t="str">
        <f ca="1">+WORLDCUP!BD58</f>
        <v>República Checa</v>
      </c>
      <c r="G296" s="9" t="str">
        <f ca="1">+WORLDCUP!BD65</f>
        <v>Arabia Saudita</v>
      </c>
      <c r="H296" s="9" t="str">
        <f ca="1">+WORLDCUP!BD64</f>
        <v>Irán</v>
      </c>
      <c r="I296" s="9" t="str">
        <f ca="1">+WORLDCUP!BD69</f>
        <v>Panamá</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Panamá</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Austria</v>
      </c>
      <c r="E298" s="9" t="str">
        <f ca="1">+WORLDCUP!BD59</f>
        <v>Bosnia y Herzegovina</v>
      </c>
      <c r="F298" s="9" t="str">
        <f ca="1">+WORLDCUP!BD58</f>
        <v>República Checa</v>
      </c>
      <c r="G298" s="9" t="str">
        <f ca="1">+WORLDCUP!BD65</f>
        <v>Arabia Saudita</v>
      </c>
      <c r="H298" s="9" t="str">
        <f ca="1">+WORLDCUP!BD64</f>
        <v>Irán</v>
      </c>
      <c r="I298" s="9" t="str">
        <f ca="1">+WORLDCUP!BD69</f>
        <v>Panamá</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Austria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Austria</v>
      </c>
      <c r="E300" s="9" t="str">
        <f ca="1">+WORLDCUP!BD59</f>
        <v>Bosnia y Herzegovina</v>
      </c>
      <c r="F300" s="9" t="str">
        <f ca="1">+WORLDCUP!BD58</f>
        <v>República Checa</v>
      </c>
      <c r="G300" s="9" t="str">
        <f ca="1">+WORLDCUP!BD66</f>
        <v>Senegal</v>
      </c>
      <c r="H300" s="9" t="str">
        <f ca="1">+WORLDCUP!BD63</f>
        <v>Suecia</v>
      </c>
      <c r="I300" s="9" t="str">
        <f ca="1">+WORLDCUP!BD69</f>
        <v>Panamá</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Austria</v>
      </c>
      <c r="E301" s="9" t="str">
        <f ca="1">+WORLDCUP!BD59</f>
        <v>Bosnia y Herzegovina</v>
      </c>
      <c r="F301" s="9" t="str">
        <f ca="1">+WORLDCUP!BD63</f>
        <v>Suecia</v>
      </c>
      <c r="G301" s="9" t="str">
        <f ca="1">+WORLDCUP!BD58</f>
        <v>República Checa</v>
      </c>
      <c r="H301" s="9" t="str">
        <f ca="1">+WORLDCUP!BD65</f>
        <v>Arabia Saudita</v>
      </c>
      <c r="I301" s="9" t="str">
        <f ca="1">+WORLDCUP!BD69</f>
        <v>Panamá</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Panamá</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Austria</v>
      </c>
      <c r="E303" s="9" t="str">
        <f ca="1">+WORLDCUP!BD59</f>
        <v>Bosnia y Herzegovina</v>
      </c>
      <c r="F303" s="9" t="str">
        <f ca="1">+WORLDCUP!BD63</f>
        <v>Suecia</v>
      </c>
      <c r="G303" s="9" t="str">
        <f ca="1">+WORLDCUP!BD58</f>
        <v>República Checa</v>
      </c>
      <c r="H303" s="9" t="str">
        <f ca="1">+WORLDCUP!BD65</f>
        <v>Arabia Saudita</v>
      </c>
      <c r="I303" s="9" t="str">
        <f ca="1">+WORLDCUP!BD69</f>
        <v>Panamá</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Austria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Austria</v>
      </c>
      <c r="E305" s="9" t="str">
        <f ca="1">+WORLDCUP!BD59</f>
        <v>Bosnia y Herzegovina</v>
      </c>
      <c r="F305" s="9" t="str">
        <f ca="1">+WORLDCUP!BD63</f>
        <v>Suecia</v>
      </c>
      <c r="G305" s="9" t="str">
        <f ca="1">+WORLDCUP!BD58</f>
        <v>República Checa</v>
      </c>
      <c r="H305" s="9" t="str">
        <f ca="1">+WORLDCUP!BD64</f>
        <v>Irán</v>
      </c>
      <c r="I305" s="9" t="str">
        <f ca="1">+WORLDCUP!BD69</f>
        <v>Panamá</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Panamá</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Austria</v>
      </c>
      <c r="E307" s="9" t="str">
        <f ca="1">+WORLDCUP!BD59</f>
        <v>Bosnia y Herzegovina</v>
      </c>
      <c r="F307" s="9" t="str">
        <f ca="1">+WORLDCUP!BD63</f>
        <v>Suecia</v>
      </c>
      <c r="G307" s="9" t="str">
        <f ca="1">+WORLDCUP!BD58</f>
        <v>República Checa</v>
      </c>
      <c r="H307" s="9" t="str">
        <f ca="1">+WORLDCUP!BD64</f>
        <v>Irán</v>
      </c>
      <c r="I307" s="9" t="str">
        <f ca="1">+WORLDCUP!BD69</f>
        <v>Panamá</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Austria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Panamá</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Austria</v>
      </c>
      <c r="E310" s="9" t="str">
        <f ca="1">+WORLDCUP!BD59</f>
        <v>Bosnia y Herzegovina</v>
      </c>
      <c r="F310" s="9" t="str">
        <f ca="1">+WORLDCUP!BD63</f>
        <v>Suecia</v>
      </c>
      <c r="G310" s="9" t="str">
        <f ca="1">+WORLDCUP!BD58</f>
        <v>República Checa</v>
      </c>
      <c r="H310" s="9" t="str">
        <f ca="1">+WORLDCUP!BD64</f>
        <v>Irán</v>
      </c>
      <c r="I310" s="9" t="str">
        <f ca="1">+WORLDCUP!BD69</f>
        <v>Panamá</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Austria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Panamá</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Austria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Austria</v>
      </c>
      <c r="E315" s="9" t="str">
        <f ca="1">+WORLDCUP!BD59</f>
        <v>Bosnia y Herzegovina</v>
      </c>
      <c r="F315" s="9" t="str">
        <f ca="1">+WORLDCUP!BD61</f>
        <v>Estados Unidos</v>
      </c>
      <c r="G315" s="9" t="str">
        <f ca="1">+WORLDCUP!BD58</f>
        <v>República Checa</v>
      </c>
      <c r="H315" s="9" t="str">
        <f ca="1">+WORLDCUP!BD65</f>
        <v>Arabia Saudita</v>
      </c>
      <c r="I315" s="9" t="str">
        <f ca="1">+WORLDCUP!BD69</f>
        <v>Panamá</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Austria</v>
      </c>
      <c r="E316" s="9" t="str">
        <f ca="1">+WORLDCUP!BD59</f>
        <v>Bosnia y Herzegovina</v>
      </c>
      <c r="F316" s="9" t="str">
        <f ca="1">+WORLDCUP!BD61</f>
        <v>Estados Unidos</v>
      </c>
      <c r="G316" s="9" t="str">
        <f ca="1">+WORLDCUP!BD58</f>
        <v>República Checa</v>
      </c>
      <c r="H316" s="9" t="str">
        <f ca="1">+WORLDCUP!BD64</f>
        <v>Irán</v>
      </c>
      <c r="I316" s="9" t="str">
        <f ca="1">+WORLDCUP!BD69</f>
        <v>Panamá</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Austria</v>
      </c>
      <c r="E317" s="9" t="str">
        <f ca="1">+WORLDCUP!BD59</f>
        <v>Bosnia y Herzegovina</v>
      </c>
      <c r="F317" s="9" t="str">
        <f ca="1">+WORLDCUP!BD61</f>
        <v>Estados Unidos</v>
      </c>
      <c r="G317" s="9" t="str">
        <f ca="1">+WORLDCUP!BD58</f>
        <v>República Checa</v>
      </c>
      <c r="H317" s="9" t="str">
        <f ca="1">+WORLDCUP!BD64</f>
        <v>Irán</v>
      </c>
      <c r="I317" s="9" t="str">
        <f ca="1">+WORLDCUP!BD69</f>
        <v>Panamá</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Bosnia y Herzegovina</v>
      </c>
      <c r="F318" s="9" t="str">
        <f ca="1">+WORLDCUP!BD61</f>
        <v>Estados Unidos</v>
      </c>
      <c r="G318" s="9" t="str">
        <f ca="1">+WORLDCUP!BD58</f>
        <v>República Checa</v>
      </c>
      <c r="H318" s="9" t="str">
        <f ca="1">+WORLDCUP!BD65</f>
        <v>Arabia Saudita</v>
      </c>
      <c r="I318" s="9" t="str">
        <f ca="1">+WORLDCUP!BD69</f>
        <v>Panamá</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Austria</v>
      </c>
      <c r="E319" s="9" t="str">
        <f ca="1">+WORLDCUP!BD59</f>
        <v>Bosnia y Herzegovina</v>
      </c>
      <c r="F319" s="9" t="str">
        <f ca="1">+WORLDCUP!BD61</f>
        <v>Estados Unidos</v>
      </c>
      <c r="G319" s="9" t="str">
        <f ca="1">+WORLDCUP!BD58</f>
        <v>República Checa</v>
      </c>
      <c r="H319" s="9" t="str">
        <f ca="1">+WORLDCUP!BD64</f>
        <v>Irán</v>
      </c>
      <c r="I319" s="9" t="str">
        <f ca="1">+WORLDCUP!BD69</f>
        <v>Panamá</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Austria</v>
      </c>
      <c r="E320" s="9" t="str">
        <f ca="1">+WORLDCUP!BD59</f>
        <v>Bosnia y Herzegovina</v>
      </c>
      <c r="F320" s="9" t="str">
        <f ca="1">+WORLDCUP!BD61</f>
        <v>Estados Unidos</v>
      </c>
      <c r="G320" s="9" t="str">
        <f ca="1">+WORLDCUP!BD58</f>
        <v>República Checa</v>
      </c>
      <c r="H320" s="9" t="str">
        <f ca="1">+WORLDCUP!BD64</f>
        <v>Irán</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Austria</v>
      </c>
      <c r="E321" s="9" t="str">
        <f ca="1">+WORLDCUP!BD59</f>
        <v>Bosnia y Herzegovina</v>
      </c>
      <c r="F321" s="9" t="str">
        <f ca="1">+WORLDCUP!BD61</f>
        <v>Estados Unidos</v>
      </c>
      <c r="G321" s="9" t="str">
        <f ca="1">+WORLDCUP!BD58</f>
        <v>República Checa</v>
      </c>
      <c r="H321" s="9" t="str">
        <f ca="1">+WORLDCUP!BD63</f>
        <v>Suecia</v>
      </c>
      <c r="I321" s="9" t="str">
        <f ca="1">+WORLDCUP!BD69</f>
        <v>Panamá</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Austria</v>
      </c>
      <c r="E322" s="9" t="str">
        <f ca="1">+WORLDCUP!BD59</f>
        <v>Bosnia y Herzegovina</v>
      </c>
      <c r="F322" s="9" t="str">
        <f ca="1">+WORLDCUP!BD61</f>
        <v>Estados Unidos</v>
      </c>
      <c r="G322" s="9" t="str">
        <f ca="1">+WORLDCUP!BD58</f>
        <v>República Checa</v>
      </c>
      <c r="H322" s="9" t="str">
        <f ca="1">+WORLDCUP!BD63</f>
        <v>Suecia</v>
      </c>
      <c r="I322" s="9" t="str">
        <f ca="1">+WORLDCUP!BD69</f>
        <v>Panamá</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Estados Unidos</v>
      </c>
      <c r="G323" s="9" t="str">
        <f ca="1">+WORLDCUP!BD58</f>
        <v>República Checa</v>
      </c>
      <c r="H323" s="9" t="str">
        <f ca="1">+WORLDCUP!BD63</f>
        <v>Suecia</v>
      </c>
      <c r="I323" s="9" t="str">
        <f ca="1">+WORLDCUP!BD69</f>
        <v>Panamá</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Austria</v>
      </c>
      <c r="E324" s="9" t="str">
        <f ca="1">+WORLDCUP!BD59</f>
        <v>Bosnia y Herzegovina</v>
      </c>
      <c r="F324" s="9" t="str">
        <f ca="1">+WORLDCUP!BD61</f>
        <v>Estados Unidos</v>
      </c>
      <c r="G324" s="9" t="str">
        <f ca="1">+WORLDCUP!BD58</f>
        <v>República Checa</v>
      </c>
      <c r="H324" s="9" t="str">
        <f ca="1">+WORLDCUP!BD63</f>
        <v>Suecia</v>
      </c>
      <c r="I324" s="9" t="str">
        <f ca="1">+WORLDCUP!BD69</f>
        <v>Panamá</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Austria</v>
      </c>
      <c r="E325" s="9" t="str">
        <f ca="1">+WORLDCUP!BD59</f>
        <v>Bosnia y Herzegovina</v>
      </c>
      <c r="F325" s="9" t="str">
        <f ca="1">+WORLDCUP!BD61</f>
        <v>Estados Unidos</v>
      </c>
      <c r="G325" s="9" t="str">
        <f ca="1">+WORLDCUP!BD58</f>
        <v>República Checa</v>
      </c>
      <c r="H325" s="9" t="str">
        <f ca="1">+WORLDCUP!BD63</f>
        <v>Suecia</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Austria</v>
      </c>
      <c r="E326" s="9" t="str">
        <f ca="1">+WORLDCUP!BD59</f>
        <v>Bosnia y Herzegovina</v>
      </c>
      <c r="F326" s="9" t="str">
        <f ca="1">+WORLDCUP!BD61</f>
        <v>Estados Unidos</v>
      </c>
      <c r="G326" s="9" t="str">
        <f ca="1">+WORLDCUP!BD58</f>
        <v>República Checa</v>
      </c>
      <c r="H326" s="9" t="str">
        <f ca="1">+WORLDCUP!BD64</f>
        <v>Irán</v>
      </c>
      <c r="I326" s="9" t="str">
        <f ca="1">+WORLDCUP!BD69</f>
        <v>Panamá</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Bosnia y Herzegovina</v>
      </c>
      <c r="F327" s="9" t="str">
        <f ca="1">+WORLDCUP!BD61</f>
        <v>Estados Unidos</v>
      </c>
      <c r="G327" s="9" t="str">
        <f ca="1">+WORLDCUP!BD58</f>
        <v>República Checa</v>
      </c>
      <c r="H327" s="9" t="str">
        <f ca="1">+WORLDCUP!BD63</f>
        <v>Suecia</v>
      </c>
      <c r="I327" s="9" t="str">
        <f ca="1">+WORLDCUP!BD69</f>
        <v>Panamá</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Austria</v>
      </c>
      <c r="E328" s="9" t="str">
        <f ca="1">+WORLDCUP!BD59</f>
        <v>Bosnia y Herzegovina</v>
      </c>
      <c r="F328" s="9" t="str">
        <f ca="1">+WORLDCUP!BD61</f>
        <v>Estados Unidos</v>
      </c>
      <c r="G328" s="9" t="str">
        <f ca="1">+WORLDCUP!BD58</f>
        <v>República Checa</v>
      </c>
      <c r="H328" s="9" t="str">
        <f ca="1">+WORLDCUP!BD64</f>
        <v>Irán</v>
      </c>
      <c r="I328" s="9" t="str">
        <f ca="1">+WORLDCUP!BD69</f>
        <v>Panamá</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Austria</v>
      </c>
      <c r="E329" s="9" t="str">
        <f ca="1">+WORLDCUP!BD59</f>
        <v>Bosnia y Herzegovina</v>
      </c>
      <c r="F329" s="9" t="str">
        <f ca="1">+WORLDCUP!BD61</f>
        <v>Estados Unidos</v>
      </c>
      <c r="G329" s="9" t="str">
        <f ca="1">+WORLDCUP!BD58</f>
        <v>República Checa</v>
      </c>
      <c r="H329" s="9" t="str">
        <f ca="1">+WORLDCUP!BD64</f>
        <v>Irán</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Bosnia y Herzegovina</v>
      </c>
      <c r="F330" s="9" t="str">
        <f ca="1">+WORLDCUP!BD61</f>
        <v>Estados Unidos</v>
      </c>
      <c r="G330" s="9" t="str">
        <f ca="1">+WORLDCUP!BD58</f>
        <v>República Checa</v>
      </c>
      <c r="H330" s="9" t="str">
        <f ca="1">+WORLDCUP!BD63</f>
        <v>Suecia</v>
      </c>
      <c r="I330" s="9" t="str">
        <f ca="1">+WORLDCUP!BD69</f>
        <v>Panamá</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Bosnia y Herzegovina</v>
      </c>
      <c r="F331" s="9" t="str">
        <f ca="1">+WORLDCUP!BD61</f>
        <v>Estados Unidos</v>
      </c>
      <c r="G331" s="9" t="str">
        <f ca="1">+WORLDCUP!BD58</f>
        <v>República Checa</v>
      </c>
      <c r="H331" s="9" t="str">
        <f ca="1">+WORLDCUP!BD63</f>
        <v>Suecia</v>
      </c>
      <c r="I331" s="9" t="str">
        <f ca="1">+WORLDCUP!BD69</f>
        <v>Panamá</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Bosnia y Herzegovina</v>
      </c>
      <c r="F332" s="9" t="str">
        <f ca="1">+WORLDCUP!BD61</f>
        <v>Estados Unidos</v>
      </c>
      <c r="G332" s="9" t="str">
        <f ca="1">+WORLDCUP!BD58</f>
        <v>República Checa</v>
      </c>
      <c r="H332" s="9" t="str">
        <f ca="1">+WORLDCUP!BD63</f>
        <v>Suecia</v>
      </c>
      <c r="I332" s="9" t="str">
        <f ca="1">+WORLDCUP!BD67</f>
        <v>Austria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Bosnia y Herzegovina</v>
      </c>
      <c r="F333" s="9" t="str">
        <f ca="1">+WORLDCUP!BD61</f>
        <v>Estados Unidos</v>
      </c>
      <c r="G333" s="9" t="str">
        <f ca="1">+WORLDCUP!BD58</f>
        <v>República Checa</v>
      </c>
      <c r="H333" s="9" t="str">
        <f ca="1">+WORLDCUP!BD63</f>
        <v>Suecia</v>
      </c>
      <c r="I333" s="9" t="str">
        <f ca="1">+WORLDCUP!BD69</f>
        <v>Panamá</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Bosnia y Herzegovina</v>
      </c>
      <c r="F334" s="9" t="str">
        <f ca="1">+WORLDCUP!BD61</f>
        <v>Estados Unidos</v>
      </c>
      <c r="G334" s="9" t="str">
        <f ca="1">+WORLDCUP!BD58</f>
        <v>República Checa</v>
      </c>
      <c r="H334" s="9" t="str">
        <f ca="1">+WORLDCUP!BD63</f>
        <v>Suecia</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Bosnia y Herzegovina</v>
      </c>
      <c r="F335" s="9" t="str">
        <f ca="1">+WORLDCUP!BD61</f>
        <v>Estados Unidos</v>
      </c>
      <c r="G335" s="9" t="str">
        <f ca="1">+WORLDCUP!BD58</f>
        <v>República Checa</v>
      </c>
      <c r="H335" s="9" t="str">
        <f ca="1">+WORLDCUP!BD63</f>
        <v>Suecia</v>
      </c>
      <c r="I335" s="9" t="str">
        <f ca="1">+WORLDCUP!BD66</f>
        <v>Senegal</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Austria</v>
      </c>
      <c r="E336" s="9" t="str">
        <f ca="1">+WORLDCUP!BD59</f>
        <v>Bosnia y Herzegovina</v>
      </c>
      <c r="F336" s="9" t="str">
        <f ca="1">+WORLDCUP!BD58</f>
        <v>República Checa</v>
      </c>
      <c r="G336" s="9" t="str">
        <f ca="1">+WORLDCUP!BD66</f>
        <v>Senegal</v>
      </c>
      <c r="H336" s="9" t="str">
        <f ca="1">+WORLDCUP!BD61</f>
        <v>Estados Unidos</v>
      </c>
      <c r="I336" s="9" t="str">
        <f ca="1">+WORLDCUP!BD69</f>
        <v>Panamá</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Austria</v>
      </c>
      <c r="E337" s="9" t="str">
        <f ca="1">+WORLDCUP!BD59</f>
        <v>Bosnia y Herzegovina</v>
      </c>
      <c r="F337" s="9" t="str">
        <f ca="1">+WORLDCUP!BD61</f>
        <v>Estados Unidos</v>
      </c>
      <c r="G337" s="9" t="str">
        <f ca="1">+WORLDCUP!BD58</f>
        <v>República Checa</v>
      </c>
      <c r="H337" s="9" t="str">
        <f ca="1">+WORLDCUP!BD65</f>
        <v>Arabia Saudita</v>
      </c>
      <c r="I337" s="9" t="str">
        <f ca="1">+WORLDCUP!BD69</f>
        <v>Panamá</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Bosnia y Herzegovina</v>
      </c>
      <c r="F338" s="9" t="str">
        <f ca="1">+WORLDCUP!BD61</f>
        <v>Estados Unidos</v>
      </c>
      <c r="G338" s="9" t="str">
        <f ca="1">+WORLDCUP!BD58</f>
        <v>República Checa</v>
      </c>
      <c r="H338" s="9" t="str">
        <f ca="1">+WORLDCUP!BD65</f>
        <v>Arabia Saudita</v>
      </c>
      <c r="I338" s="9" t="str">
        <f ca="1">+WORLDCUP!BD69</f>
        <v>Panamá</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Austria</v>
      </c>
      <c r="E339" s="9" t="str">
        <f ca="1">+WORLDCUP!BD59</f>
        <v>Bosnia y Herzegovina</v>
      </c>
      <c r="F339" s="9" t="str">
        <f ca="1">+WORLDCUP!BD61</f>
        <v>Estados Unidos</v>
      </c>
      <c r="G339" s="9" t="str">
        <f ca="1">+WORLDCUP!BD58</f>
        <v>República Checa</v>
      </c>
      <c r="H339" s="9" t="str">
        <f ca="1">+WORLDCUP!BD65</f>
        <v>Arabia Saudita</v>
      </c>
      <c r="I339" s="9" t="str">
        <f ca="1">+WORLDCUP!BD69</f>
        <v>Panamá</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Austria</v>
      </c>
      <c r="E340" s="9" t="str">
        <f ca="1">+WORLDCUP!BD59</f>
        <v>Bosnia y Herzegovina</v>
      </c>
      <c r="F340" s="9" t="str">
        <f ca="1">+WORLDCUP!BD61</f>
        <v>Estados Unidos</v>
      </c>
      <c r="G340" s="9" t="str">
        <f ca="1">+WORLDCUP!BD58</f>
        <v>República Checa</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Austria</v>
      </c>
      <c r="E341" s="9" t="str">
        <f ca="1">+WORLDCUP!BD59</f>
        <v>Bosnia y Herzegovina</v>
      </c>
      <c r="F341" s="9" t="str">
        <f ca="1">+WORLDCUP!BD61</f>
        <v>Estados Unidos</v>
      </c>
      <c r="G341" s="9" t="str">
        <f ca="1">+WORLDCUP!BD58</f>
        <v>República Checa</v>
      </c>
      <c r="H341" s="9" t="str">
        <f ca="1">+WORLDCUP!BD64</f>
        <v>Irán</v>
      </c>
      <c r="I341" s="9" t="str">
        <f ca="1">+WORLDCUP!BD69</f>
        <v>Panamá</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Estados Unidos</v>
      </c>
      <c r="I342" s="9" t="str">
        <f ca="1">+WORLDCUP!BD69</f>
        <v>Panamá</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Austria</v>
      </c>
      <c r="E343" s="9" t="str">
        <f ca="1">+WORLDCUP!BD59</f>
        <v>Bosnia y Herzegovina</v>
      </c>
      <c r="F343" s="9" t="str">
        <f ca="1">+WORLDCUP!BD61</f>
        <v>Estados Unidos</v>
      </c>
      <c r="G343" s="9" t="str">
        <f ca="1">+WORLDCUP!BD58</f>
        <v>República Checa</v>
      </c>
      <c r="H343" s="9" t="str">
        <f ca="1">+WORLDCUP!BD64</f>
        <v>Irán</v>
      </c>
      <c r="I343" s="9" t="str">
        <f ca="1">+WORLDCUP!BD69</f>
        <v>Panamá</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Austria</v>
      </c>
      <c r="E344" s="9" t="str">
        <f ca="1">+WORLDCUP!BD59</f>
        <v>Bosnia y Herzegovina</v>
      </c>
      <c r="F344" s="9" t="str">
        <f ca="1">+WORLDCUP!BD61</f>
        <v>Estados Unidos</v>
      </c>
      <c r="G344" s="9" t="str">
        <f ca="1">+WORLDCUP!BD58</f>
        <v>República Checa</v>
      </c>
      <c r="H344" s="9" t="str">
        <f ca="1">+WORLDCUP!BD64</f>
        <v>Irán</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Estados Unidos</v>
      </c>
      <c r="G345" s="9" t="str">
        <f ca="1">+WORLDCUP!BD58</f>
        <v>República Checa</v>
      </c>
      <c r="H345" s="9" t="str">
        <f ca="1">+WORLDCUP!BD65</f>
        <v>Arabia Saudita</v>
      </c>
      <c r="I345" s="9" t="str">
        <f ca="1">+WORLDCUP!BD69</f>
        <v>Panamá</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Austria</v>
      </c>
      <c r="E346" s="9" t="str">
        <f ca="1">+WORLDCUP!BD59</f>
        <v>Bosnia y Herzegovina</v>
      </c>
      <c r="F346" s="9" t="str">
        <f ca="1">+WORLDCUP!BD61</f>
        <v>Estados Unidos</v>
      </c>
      <c r="G346" s="9" t="str">
        <f ca="1">+WORLDCUP!BD58</f>
        <v>República Checa</v>
      </c>
      <c r="H346" s="9" t="str">
        <f ca="1">+WORLDCUP!BD64</f>
        <v>Irán</v>
      </c>
      <c r="I346" s="9" t="str">
        <f ca="1">+WORLDCUP!BD69</f>
        <v>Panamá</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Austria</v>
      </c>
      <c r="E347" s="9" t="str">
        <f ca="1">+WORLDCUP!BD59</f>
        <v>Bosnia y Herzegovina</v>
      </c>
      <c r="F347" s="9" t="str">
        <f ca="1">+WORLDCUP!BD61</f>
        <v>Estados Unidos</v>
      </c>
      <c r="G347" s="9" t="str">
        <f ca="1">+WORLDCUP!BD58</f>
        <v>República Checa</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Estados Unidos</v>
      </c>
      <c r="G348" s="9" t="str">
        <f ca="1">+WORLDCUP!BD58</f>
        <v>República Checa</v>
      </c>
      <c r="H348" s="9" t="str">
        <f ca="1">+WORLDCUP!BD65</f>
        <v>Arabia Saudita</v>
      </c>
      <c r="I348" s="9" t="str">
        <f ca="1">+WORLDCUP!BD69</f>
        <v>Panamá</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Estados Unidos</v>
      </c>
      <c r="G349" s="9" t="str">
        <f ca="1">+WORLDCUP!BD58</f>
        <v>República Checa</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Austria</v>
      </c>
      <c r="E350" s="9" t="str">
        <f ca="1">+WORLDCUP!BD59</f>
        <v>Bosnia y Herzegovina</v>
      </c>
      <c r="F350" s="9" t="str">
        <f ca="1">+WORLDCUP!BD61</f>
        <v>Estados Unidos</v>
      </c>
      <c r="G350" s="9" t="str">
        <f ca="1">+WORLDCUP!BD58</f>
        <v>República Checa</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Austria</v>
      </c>
      <c r="E351" s="9" t="str">
        <f ca="1">+WORLDCUP!BD59</f>
        <v>Bosnia y Herzegovina</v>
      </c>
      <c r="F351" s="9" t="str">
        <f ca="1">+WORLDCUP!BD61</f>
        <v>Estados Unidos</v>
      </c>
      <c r="G351" s="9" t="str">
        <f ca="1">+WORLDCUP!BD58</f>
        <v>República Checa</v>
      </c>
      <c r="H351" s="9" t="str">
        <f ca="1">+WORLDCUP!BD63</f>
        <v>Suecia</v>
      </c>
      <c r="I351" s="9" t="str">
        <f ca="1">+WORLDCUP!BD69</f>
        <v>Panamá</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Bosnia y Herzegovina</v>
      </c>
      <c r="F352" s="9" t="str">
        <f ca="1">+WORLDCUP!BD61</f>
        <v>Estados Unidos</v>
      </c>
      <c r="G352" s="9" t="str">
        <f ca="1">+WORLDCUP!BD58</f>
        <v>República Checa</v>
      </c>
      <c r="H352" s="9" t="str">
        <f ca="1">+WORLDCUP!BD63</f>
        <v>Suecia</v>
      </c>
      <c r="I352" s="9" t="str">
        <f ca="1">+WORLDCUP!BD69</f>
        <v>Panamá</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Austria</v>
      </c>
      <c r="E353" s="9" t="str">
        <f ca="1">+WORLDCUP!BD59</f>
        <v>Bosnia y Herzegovina</v>
      </c>
      <c r="F353" s="9" t="str">
        <f ca="1">+WORLDCUP!BD61</f>
        <v>Estados Unidos</v>
      </c>
      <c r="G353" s="9" t="str">
        <f ca="1">+WORLDCUP!BD58</f>
        <v>República Checa</v>
      </c>
      <c r="H353" s="9" t="str">
        <f ca="1">+WORLDCUP!BD63</f>
        <v>Suecia</v>
      </c>
      <c r="I353" s="9" t="str">
        <f ca="1">+WORLDCUP!BD69</f>
        <v>Panamá</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Austria</v>
      </c>
      <c r="E354" s="9" t="str">
        <f ca="1">+WORLDCUP!BD59</f>
        <v>Bosnia y Herzegovina</v>
      </c>
      <c r="F354" s="9" t="str">
        <f ca="1">+WORLDCUP!BD61</f>
        <v>Estados Unidos</v>
      </c>
      <c r="G354" s="9" t="str">
        <f ca="1">+WORLDCUP!BD58</f>
        <v>República Checa</v>
      </c>
      <c r="H354" s="9" t="str">
        <f ca="1">+WORLDCUP!BD63</f>
        <v>Suecia</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República Checa</v>
      </c>
      <c r="H355" s="9" t="str">
        <f ca="1">+WORLDCUP!BD63</f>
        <v>Suecia</v>
      </c>
      <c r="I355" s="9" t="str">
        <f ca="1">+WORLDCUP!BD69</f>
        <v>Panamá</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Austria</v>
      </c>
      <c r="E356" s="9" t="str">
        <f ca="1">+WORLDCUP!BD59</f>
        <v>Bosnia y Herzegovina</v>
      </c>
      <c r="F356" s="9" t="str">
        <f ca="1">+WORLDCUP!BD61</f>
        <v>Estados Unidos</v>
      </c>
      <c r="G356" s="9" t="str">
        <f ca="1">+WORLDCUP!BD58</f>
        <v>República Checa</v>
      </c>
      <c r="H356" s="9" t="str">
        <f ca="1">+WORLDCUP!BD63</f>
        <v>Suecia</v>
      </c>
      <c r="I356" s="9" t="str">
        <f ca="1">+WORLDCUP!BD69</f>
        <v>Panamá</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Austria</v>
      </c>
      <c r="E357" s="9" t="str">
        <f ca="1">+WORLDCUP!BD59</f>
        <v>Bosnia y Herzegovina</v>
      </c>
      <c r="F357" s="9" t="str">
        <f ca="1">+WORLDCUP!BD61</f>
        <v>Estados Unidos</v>
      </c>
      <c r="G357" s="9" t="str">
        <f ca="1">+WORLDCUP!BD58</f>
        <v>República Checa</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República Checa</v>
      </c>
      <c r="H358" s="9" t="str">
        <f ca="1">+WORLDCUP!BD63</f>
        <v>Suecia</v>
      </c>
      <c r="I358" s="9" t="str">
        <f ca="1">+WORLDCUP!BD69</f>
        <v>Panamá</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República Checa</v>
      </c>
      <c r="H359" s="9" t="str">
        <f ca="1">+WORLDCUP!BD63</f>
        <v>Suecia</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Austria</v>
      </c>
      <c r="E360" s="9" t="str">
        <f ca="1">+WORLDCUP!BD59</f>
        <v>Bosnia y Herzegovina</v>
      </c>
      <c r="F360" s="9" t="str">
        <f ca="1">+WORLDCUP!BD61</f>
        <v>Estados Unidos</v>
      </c>
      <c r="G360" s="9" t="str">
        <f ca="1">+WORLDCUP!BD58</f>
        <v>República Checa</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Estados Unidos</v>
      </c>
      <c r="G361" s="9" t="str">
        <f ca="1">+WORLDCUP!BD58</f>
        <v>República Checa</v>
      </c>
      <c r="H361" s="9" t="str">
        <f ca="1">+WORLDCUP!BD63</f>
        <v>Suecia</v>
      </c>
      <c r="I361" s="9" t="str">
        <f ca="1">+WORLDCUP!BD69</f>
        <v>Panamá</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Estados Unidos</v>
      </c>
      <c r="G362" s="9" t="str">
        <f ca="1">+WORLDCUP!BD58</f>
        <v>República Checa</v>
      </c>
      <c r="H362" s="9" t="str">
        <f ca="1">+WORLDCUP!BD63</f>
        <v>Suecia</v>
      </c>
      <c r="I362" s="9" t="str">
        <f ca="1">+WORLDCUP!BD69</f>
        <v>Panamá</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Estados Unidos</v>
      </c>
      <c r="G363" s="9" t="str">
        <f ca="1">+WORLDCUP!BD58</f>
        <v>República Checa</v>
      </c>
      <c r="H363" s="9" t="str">
        <f ca="1">+WORLDCUP!BD63</f>
        <v>Suecia</v>
      </c>
      <c r="I363" s="9" t="str">
        <f ca="1">+WORLDCUP!BD67</f>
        <v>Austria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Estados Unidos</v>
      </c>
      <c r="G364" s="9" t="str">
        <f ca="1">+WORLDCUP!BD58</f>
        <v>República Checa</v>
      </c>
      <c r="H364" s="9" t="str">
        <f ca="1">+WORLDCUP!BD63</f>
        <v>Suecia</v>
      </c>
      <c r="I364" s="9" t="str">
        <f ca="1">+WORLDCUP!BD69</f>
        <v>Panamá</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Estados Unidos</v>
      </c>
      <c r="G365" s="9" t="str">
        <f ca="1">+WORLDCUP!BD58</f>
        <v>República Checa</v>
      </c>
      <c r="H365" s="9" t="str">
        <f ca="1">+WORLDCUP!BD63</f>
        <v>Suecia</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1</v>
      </c>
      <c r="C366" s="9" t="str">
        <f ca="1">+WORLDCUP!BD62</f>
        <v>Costa de Marfil</v>
      </c>
      <c r="D366" s="9" t="str">
        <f ca="1">+WORLDCUP!BD64</f>
        <v>Irán</v>
      </c>
      <c r="E366" s="9" t="str">
        <f ca="1">+WORLDCUP!BD59</f>
        <v>Bosnia y Herzegovina</v>
      </c>
      <c r="F366" s="9" t="str">
        <f ca="1">+WORLDCUP!BD61</f>
        <v>Estados Unidos</v>
      </c>
      <c r="G366" s="9" t="str">
        <f ca="1">+WORLDCUP!BD58</f>
        <v>República Checa</v>
      </c>
      <c r="H366" s="9" t="str">
        <f ca="1">+WORLDCUP!BD63</f>
        <v>Suecia</v>
      </c>
      <c r="I366" s="9" t="str">
        <f ca="1">+WORLDCUP!BD66</f>
        <v>Senegal</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Bosnia y Herzegovina</v>
      </c>
      <c r="F367" s="9" t="str">
        <f ca="1">+WORLDCUP!BD61</f>
        <v>Estados Unidos</v>
      </c>
      <c r="G367" s="9" t="str">
        <f ca="1">+WORLDCUP!BD58</f>
        <v>República Checa</v>
      </c>
      <c r="H367" s="9" t="str">
        <f ca="1">+WORLDCUP!BD63</f>
        <v>Suecia</v>
      </c>
      <c r="I367" s="9" t="str">
        <f ca="1">+WORLDCUP!BD69</f>
        <v>Panamá</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Bosnia y Herzegovina</v>
      </c>
      <c r="F368" s="9" t="str">
        <f ca="1">+WORLDCUP!BD61</f>
        <v>Estados Unidos</v>
      </c>
      <c r="G368" s="9" t="str">
        <f ca="1">+WORLDCUP!BD58</f>
        <v>República Checa</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Bosnia y Herzegovina</v>
      </c>
      <c r="F369" s="9" t="str">
        <f ca="1">+WORLDCUP!BD61</f>
        <v>Estados Unidos</v>
      </c>
      <c r="G369" s="9" t="str">
        <f ca="1">+WORLDCUP!BD58</f>
        <v>República Checa</v>
      </c>
      <c r="H369" s="9" t="str">
        <f ca="1">+WORLDCUP!BD63</f>
        <v>Suecia</v>
      </c>
      <c r="I369" s="9" t="str">
        <f ca="1">+WORLDCUP!BD62</f>
        <v>Costa de Marfil</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Bosnia y Herzegovina</v>
      </c>
      <c r="F370" s="9" t="str">
        <f ca="1">+WORLDCUP!BD61</f>
        <v>Estados Unidos</v>
      </c>
      <c r="G370" s="9" t="str">
        <f ca="1">+WORLDCUP!BD58</f>
        <v>República Checa</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Austria</v>
      </c>
      <c r="E371" s="9" t="str">
        <f ca="1">+WORLDCUP!BD59</f>
        <v>Bosnia y Herzegovina</v>
      </c>
      <c r="F371" s="9" t="str">
        <f ca="1">+WORLDCUP!BD60</f>
        <v>Escocia</v>
      </c>
      <c r="G371" s="9" t="str">
        <f ca="1">+WORLDCUP!BD58</f>
        <v>República Checa</v>
      </c>
      <c r="H371" s="9" t="str">
        <f ca="1">+WORLDCUP!BD65</f>
        <v>Arabia Saudita</v>
      </c>
      <c r="I371" s="9" t="str">
        <f ca="1">+WORLDCUP!BD69</f>
        <v>Panamá</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Austria</v>
      </c>
      <c r="E372" s="9" t="str">
        <f ca="1">+WORLDCUP!BD59</f>
        <v>Bosnia y Herzegovina</v>
      </c>
      <c r="F372" s="9" t="str">
        <f ca="1">+WORLDCUP!BD60</f>
        <v>Escocia</v>
      </c>
      <c r="G372" s="9" t="str">
        <f ca="1">+WORLDCUP!BD58</f>
        <v>República Checa</v>
      </c>
      <c r="H372" s="9" t="str">
        <f ca="1">+WORLDCUP!BD64</f>
        <v>Irán</v>
      </c>
      <c r="I372" s="9" t="str">
        <f ca="1">+WORLDCUP!BD69</f>
        <v>Panamá</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Austria</v>
      </c>
      <c r="E373" s="9" t="str">
        <f ca="1">+WORLDCUP!BD59</f>
        <v>Bosnia y Herzegovina</v>
      </c>
      <c r="F373" s="9" t="str">
        <f ca="1">+WORLDCUP!BD60</f>
        <v>Escocia</v>
      </c>
      <c r="G373" s="9" t="str">
        <f ca="1">+WORLDCUP!BD58</f>
        <v>República Checa</v>
      </c>
      <c r="H373" s="9" t="str">
        <f ca="1">+WORLDCUP!BD64</f>
        <v>Irán</v>
      </c>
      <c r="I373" s="9" t="str">
        <f ca="1">+WORLDCUP!BD69</f>
        <v>Panamá</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Panamá</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Austria</v>
      </c>
      <c r="E375" s="9" t="str">
        <f ca="1">+WORLDCUP!BD59</f>
        <v>Bosnia y Herzegovina</v>
      </c>
      <c r="F375" s="9" t="str">
        <f ca="1">+WORLDCUP!BD60</f>
        <v>Escocia</v>
      </c>
      <c r="G375" s="9" t="str">
        <f ca="1">+WORLDCUP!BD58</f>
        <v>República Checa</v>
      </c>
      <c r="H375" s="9" t="str">
        <f ca="1">+WORLDCUP!BD64</f>
        <v>Irán</v>
      </c>
      <c r="I375" s="9" t="str">
        <f ca="1">+WORLDCUP!BD69</f>
        <v>Panamá</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Austria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Austria</v>
      </c>
      <c r="E377" s="9" t="str">
        <f ca="1">+WORLDCUP!BD59</f>
        <v>Bosnia y Herzegovina</v>
      </c>
      <c r="F377" s="9" t="str">
        <f ca="1">+WORLDCUP!BD60</f>
        <v>Escocia</v>
      </c>
      <c r="G377" s="9" t="str">
        <f ca="1">+WORLDCUP!BD58</f>
        <v>República Checa</v>
      </c>
      <c r="H377" s="9" t="str">
        <f ca="1">+WORLDCUP!BD63</f>
        <v>Suecia</v>
      </c>
      <c r="I377" s="9" t="str">
        <f ca="1">+WORLDCUP!BD69</f>
        <v>Panamá</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Austria</v>
      </c>
      <c r="E378" s="9" t="str">
        <f ca="1">+WORLDCUP!BD59</f>
        <v>Bosnia y Herzegovina</v>
      </c>
      <c r="F378" s="9" t="str">
        <f ca="1">+WORLDCUP!BD60</f>
        <v>Escocia</v>
      </c>
      <c r="G378" s="9" t="str">
        <f ca="1">+WORLDCUP!BD58</f>
        <v>República Checa</v>
      </c>
      <c r="H378" s="9" t="str">
        <f ca="1">+WORLDCUP!BD63</f>
        <v>Suecia</v>
      </c>
      <c r="I378" s="9" t="str">
        <f ca="1">+WORLDCUP!BD69</f>
        <v>Panamá</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Panamá</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Austria</v>
      </c>
      <c r="E380" s="9" t="str">
        <f ca="1">+WORLDCUP!BD59</f>
        <v>Bosnia y Herzegovina</v>
      </c>
      <c r="F380" s="9" t="str">
        <f ca="1">+WORLDCUP!BD60</f>
        <v>Escocia</v>
      </c>
      <c r="G380" s="9" t="str">
        <f ca="1">+WORLDCUP!BD58</f>
        <v>República Checa</v>
      </c>
      <c r="H380" s="9" t="str">
        <f ca="1">+WORLDCUP!BD63</f>
        <v>Suecia</v>
      </c>
      <c r="I380" s="9" t="str">
        <f ca="1">+WORLDCUP!BD69</f>
        <v>Panamá</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Austria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Austria</v>
      </c>
      <c r="E382" s="9" t="str">
        <f ca="1">+WORLDCUP!BD59</f>
        <v>Bosnia y Herzegovina</v>
      </c>
      <c r="F382" s="9" t="str">
        <f ca="1">+WORLDCUP!BD63</f>
        <v>Suecia</v>
      </c>
      <c r="G382" s="9" t="str">
        <f ca="1">+WORLDCUP!BD58</f>
        <v>República Checa</v>
      </c>
      <c r="H382" s="9" t="str">
        <f ca="1">+WORLDCUP!BD64</f>
        <v>Irán</v>
      </c>
      <c r="I382" s="9" t="str">
        <f ca="1">+WORLDCUP!BD69</f>
        <v>Panamá</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Panamá</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Austria</v>
      </c>
      <c r="E384" s="9" t="str">
        <f ca="1">+WORLDCUP!BD59</f>
        <v>Bosnia y Herzegovina</v>
      </c>
      <c r="F384" s="9" t="str">
        <f ca="1">+WORLDCUP!BD63</f>
        <v>Suecia</v>
      </c>
      <c r="G384" s="9" t="str">
        <f ca="1">+WORLDCUP!BD58</f>
        <v>República Checa</v>
      </c>
      <c r="H384" s="9" t="str">
        <f ca="1">+WORLDCUP!BD64</f>
        <v>Irán</v>
      </c>
      <c r="I384" s="9" t="str">
        <f ca="1">+WORLDCUP!BD69</f>
        <v>Panamá</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Austria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Panamá</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Panamá</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Austria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Panamá</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Austria</v>
      </c>
      <c r="E392" s="9" t="str">
        <f ca="1">+WORLDCUP!BD59</f>
        <v>Bosnia y Herzegovina</v>
      </c>
      <c r="F392" s="9" t="str">
        <f ca="1">+WORLDCUP!BD58</f>
        <v>República Checa</v>
      </c>
      <c r="G392" s="9" t="str">
        <f ca="1">+WORLDCUP!BD66</f>
        <v>Senegal</v>
      </c>
      <c r="H392" s="9" t="str">
        <f ca="1">+WORLDCUP!BD60</f>
        <v>Escocia</v>
      </c>
      <c r="I392" s="9" t="str">
        <f ca="1">+WORLDCUP!BD69</f>
        <v>Panamá</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Austria</v>
      </c>
      <c r="E393" s="9" t="str">
        <f ca="1">+WORLDCUP!BD59</f>
        <v>Bosnia y Herzegovina</v>
      </c>
      <c r="F393" s="9" t="str">
        <f ca="1">+WORLDCUP!BD60</f>
        <v>Escocia</v>
      </c>
      <c r="G393" s="9" t="str">
        <f ca="1">+WORLDCUP!BD58</f>
        <v>República Checa</v>
      </c>
      <c r="H393" s="9" t="str">
        <f ca="1">+WORLDCUP!BD65</f>
        <v>Arabia Saudita</v>
      </c>
      <c r="I393" s="9" t="str">
        <f ca="1">+WORLDCUP!BD69</f>
        <v>Panamá</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Panamá</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Austria</v>
      </c>
      <c r="E395" s="9" t="str">
        <f ca="1">+WORLDCUP!BD59</f>
        <v>Bosnia y Herzegovina</v>
      </c>
      <c r="F395" s="9" t="str">
        <f ca="1">+WORLDCUP!BD60</f>
        <v>Escocia</v>
      </c>
      <c r="G395" s="9" t="str">
        <f ca="1">+WORLDCUP!BD58</f>
        <v>República Checa</v>
      </c>
      <c r="H395" s="9" t="str">
        <f ca="1">+WORLDCUP!BD65</f>
        <v>Arabia Saudita</v>
      </c>
      <c r="I395" s="9" t="str">
        <f ca="1">+WORLDCUP!BD69</f>
        <v>Panamá</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Austria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Austria</v>
      </c>
      <c r="E397" s="9" t="str">
        <f ca="1">+WORLDCUP!BD59</f>
        <v>Bosnia y Herzegovina</v>
      </c>
      <c r="F397" s="9" t="str">
        <f ca="1">+WORLDCUP!BD60</f>
        <v>Escocia</v>
      </c>
      <c r="G397" s="9" t="str">
        <f ca="1">+WORLDCUP!BD58</f>
        <v>República Checa</v>
      </c>
      <c r="H397" s="9" t="str">
        <f ca="1">+WORLDCUP!BD64</f>
        <v>Irán</v>
      </c>
      <c r="I397" s="9" t="str">
        <f ca="1">+WORLDCUP!BD69</f>
        <v>Panamá</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Panamá</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Austria</v>
      </c>
      <c r="E399" s="9" t="str">
        <f ca="1">+WORLDCUP!BD59</f>
        <v>Bosnia y Herzegovina</v>
      </c>
      <c r="F399" s="9" t="str">
        <f ca="1">+WORLDCUP!BD60</f>
        <v>Escocia</v>
      </c>
      <c r="G399" s="9" t="str">
        <f ca="1">+WORLDCUP!BD58</f>
        <v>República Checa</v>
      </c>
      <c r="H399" s="9" t="str">
        <f ca="1">+WORLDCUP!BD64</f>
        <v>Irán</v>
      </c>
      <c r="I399" s="9" t="str">
        <f ca="1">+WORLDCUP!BD69</f>
        <v>Panamá</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Austria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Panamá</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Austria</v>
      </c>
      <c r="E402" s="9" t="str">
        <f ca="1">+WORLDCUP!BD59</f>
        <v>Bosnia y Herzegovina</v>
      </c>
      <c r="F402" s="9" t="str">
        <f ca="1">+WORLDCUP!BD60</f>
        <v>Escocia</v>
      </c>
      <c r="G402" s="9" t="str">
        <f ca="1">+WORLDCUP!BD58</f>
        <v>República Checa</v>
      </c>
      <c r="H402" s="9" t="str">
        <f ca="1">+WORLDCUP!BD64</f>
        <v>Irán</v>
      </c>
      <c r="I402" s="9" t="str">
        <f ca="1">+WORLDCUP!BD69</f>
        <v>Panamá</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Austria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Panamá</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Austria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Austria</v>
      </c>
      <c r="E407" s="9" t="str">
        <f ca="1">+WORLDCUP!BD59</f>
        <v>Bosnia y Herzegovina</v>
      </c>
      <c r="F407" s="9" t="str">
        <f ca="1">+WORLDCUP!BD60</f>
        <v>Escocia</v>
      </c>
      <c r="G407" s="9" t="str">
        <f ca="1">+WORLDCUP!BD58</f>
        <v>República Checa</v>
      </c>
      <c r="H407" s="9" t="str">
        <f ca="1">+WORLDCUP!BD63</f>
        <v>Suecia</v>
      </c>
      <c r="I407" s="9" t="str">
        <f ca="1">+WORLDCUP!BD69</f>
        <v>Panamá</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Panamá</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Austria</v>
      </c>
      <c r="E409" s="9" t="str">
        <f ca="1">+WORLDCUP!BD59</f>
        <v>Bosnia y Herzegovina</v>
      </c>
      <c r="F409" s="9" t="str">
        <f ca="1">+WORLDCUP!BD60</f>
        <v>Escocia</v>
      </c>
      <c r="G409" s="9" t="str">
        <f ca="1">+WORLDCUP!BD58</f>
        <v>República Checa</v>
      </c>
      <c r="H409" s="9" t="str">
        <f ca="1">+WORLDCUP!BD63</f>
        <v>Suecia</v>
      </c>
      <c r="I409" s="9" t="str">
        <f ca="1">+WORLDCUP!BD69</f>
        <v>Panamá</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Austria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Panamá</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Austria</v>
      </c>
      <c r="E412" s="9" t="str">
        <f ca="1">+WORLDCUP!BD59</f>
        <v>Bosnia y Herzegovina</v>
      </c>
      <c r="F412" s="9" t="str">
        <f ca="1">+WORLDCUP!BD60</f>
        <v>Escocia</v>
      </c>
      <c r="G412" s="9" t="str">
        <f ca="1">+WORLDCUP!BD58</f>
        <v>República Checa</v>
      </c>
      <c r="H412" s="9" t="str">
        <f ca="1">+WORLDCUP!BD63</f>
        <v>Suecia</v>
      </c>
      <c r="I412" s="9" t="str">
        <f ca="1">+WORLDCUP!BD69</f>
        <v>Panamá</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Austria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Panamá</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Austria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Panamá</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Panamá</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Austria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Panamá</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Panamá</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Austria</v>
      </c>
      <c r="E427" s="9" t="str">
        <f ca="1">+WORLDCUP!BD59</f>
        <v>Bosnia y Herzegovina</v>
      </c>
      <c r="F427" s="9" t="str">
        <f ca="1">+WORLDCUP!BD60</f>
        <v>Escocia</v>
      </c>
      <c r="G427" s="9" t="str">
        <f ca="1">+WORLDCUP!BD58</f>
        <v>República Checa</v>
      </c>
      <c r="H427" s="9" t="str">
        <f ca="1">+WORLDCUP!BD61</f>
        <v>Estados Unidos</v>
      </c>
      <c r="I427" s="9" t="str">
        <f ca="1">+WORLDCUP!BD69</f>
        <v>Panamá</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Austria</v>
      </c>
      <c r="E428" s="9" t="str">
        <f ca="1">+WORLDCUP!BD59</f>
        <v>Bosnia y Herzegovina</v>
      </c>
      <c r="F428" s="9" t="str">
        <f ca="1">+WORLDCUP!BD60</f>
        <v>Escocia</v>
      </c>
      <c r="G428" s="9" t="str">
        <f ca="1">+WORLDCUP!BD58</f>
        <v>República Checa</v>
      </c>
      <c r="H428" s="9" t="str">
        <f ca="1">+WORLDCUP!BD61</f>
        <v>Estados Unidos</v>
      </c>
      <c r="I428" s="9" t="str">
        <f ca="1">+WORLDCUP!BD69</f>
        <v>Panamá</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Estados Unidos</v>
      </c>
      <c r="I429" s="9" t="str">
        <f ca="1">+WORLDCUP!BD69</f>
        <v>Panamá</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Austria</v>
      </c>
      <c r="E430" s="9" t="str">
        <f ca="1">+WORLDCUP!BD59</f>
        <v>Bosnia y Herzegovina</v>
      </c>
      <c r="F430" s="9" t="str">
        <f ca="1">+WORLDCUP!BD60</f>
        <v>Escocia</v>
      </c>
      <c r="G430" s="9" t="str">
        <f ca="1">+WORLDCUP!BD58</f>
        <v>República Checa</v>
      </c>
      <c r="H430" s="9" t="str">
        <f ca="1">+WORLDCUP!BD61</f>
        <v>Estados Unidos</v>
      </c>
      <c r="I430" s="9" t="str">
        <f ca="1">+WORLDCUP!BD69</f>
        <v>Panamá</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Austria</v>
      </c>
      <c r="E431" s="9" t="str">
        <f ca="1">+WORLDCUP!BD59</f>
        <v>Bosnia y Herzegovina</v>
      </c>
      <c r="F431" s="9" t="str">
        <f ca="1">+WORLDCUP!BD60</f>
        <v>Escocia</v>
      </c>
      <c r="G431" s="9" t="str">
        <f ca="1">+WORLDCUP!BD58</f>
        <v>República Checa</v>
      </c>
      <c r="H431" s="9" t="str">
        <f ca="1">+WORLDCUP!BD61</f>
        <v>Estados Unidos</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Austria</v>
      </c>
      <c r="E432" s="9" t="str">
        <f ca="1">+WORLDCUP!BD59</f>
        <v>Bosnia y Herzegovina</v>
      </c>
      <c r="F432" s="9" t="str">
        <f ca="1">+WORLDCUP!BD61</f>
        <v>Estados Unidos</v>
      </c>
      <c r="G432" s="9" t="str">
        <f ca="1">+WORLDCUP!BD58</f>
        <v>República Checa</v>
      </c>
      <c r="H432" s="9" t="str">
        <f ca="1">+WORLDCUP!BD64</f>
        <v>Irán</v>
      </c>
      <c r="I432" s="9" t="str">
        <f ca="1">+WORLDCUP!BD69</f>
        <v>Panamá</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Estados Unidos</v>
      </c>
      <c r="I433" s="9" t="str">
        <f ca="1">+WORLDCUP!BD69</f>
        <v>Panamá</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Austria</v>
      </c>
      <c r="E434" s="9" t="str">
        <f ca="1">+WORLDCUP!BD59</f>
        <v>Bosnia y Herzegovina</v>
      </c>
      <c r="F434" s="9" t="str">
        <f ca="1">+WORLDCUP!BD61</f>
        <v>Estados Unidos</v>
      </c>
      <c r="G434" s="9" t="str">
        <f ca="1">+WORLDCUP!BD58</f>
        <v>República Checa</v>
      </c>
      <c r="H434" s="9" t="str">
        <f ca="1">+WORLDCUP!BD64</f>
        <v>Irán</v>
      </c>
      <c r="I434" s="9" t="str">
        <f ca="1">+WORLDCUP!BD69</f>
        <v>Panamá</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Austria</v>
      </c>
      <c r="E435" s="9" t="str">
        <f ca="1">+WORLDCUP!BD59</f>
        <v>Bosnia y Herzegovina</v>
      </c>
      <c r="F435" s="9" t="str">
        <f ca="1">+WORLDCUP!BD61</f>
        <v>Estados Unidos</v>
      </c>
      <c r="G435" s="9" t="str">
        <f ca="1">+WORLDCUP!BD58</f>
        <v>República Checa</v>
      </c>
      <c r="H435" s="9" t="str">
        <f ca="1">+WORLDCUP!BD64</f>
        <v>Irán</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Estados Unidos</v>
      </c>
      <c r="I436" s="9" t="str">
        <f ca="1">+WORLDCUP!BD69</f>
        <v>Panamá</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Estados Unidos</v>
      </c>
      <c r="I437" s="9" t="str">
        <f ca="1">+WORLDCUP!BD69</f>
        <v>Panamá</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Estados Unidos</v>
      </c>
      <c r="I438" s="9" t="str">
        <f ca="1">+WORLDCUP!BD67</f>
        <v>Austria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Estados Unidos</v>
      </c>
      <c r="I439" s="9" t="str">
        <f ca="1">+WORLDCUP!BD69</f>
        <v>Panamá</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Estados Unidos</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Estados Unidos</v>
      </c>
      <c r="I441" s="9" t="str">
        <f ca="1">+WORLDCUP!BD66</f>
        <v>Senegal</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Austria</v>
      </c>
      <c r="E442" s="9" t="str">
        <f ca="1">+WORLDCUP!BD59</f>
        <v>Bosnia y Herzegovina</v>
      </c>
      <c r="F442" s="9" t="str">
        <f ca="1">+WORLDCUP!BD61</f>
        <v>Estados Unidos</v>
      </c>
      <c r="G442" s="9" t="str">
        <f ca="1">+WORLDCUP!BD58</f>
        <v>República Checa</v>
      </c>
      <c r="H442" s="9" t="str">
        <f ca="1">+WORLDCUP!BD63</f>
        <v>Suecia</v>
      </c>
      <c r="I442" s="9" t="str">
        <f ca="1">+WORLDCUP!BD69</f>
        <v>Panamá</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Estados Unidos</v>
      </c>
      <c r="G443" s="9" t="str">
        <f ca="1">+WORLDCUP!BD58</f>
        <v>República Checa</v>
      </c>
      <c r="H443" s="9" t="str">
        <f ca="1">+WORLDCUP!BD63</f>
        <v>Suecia</v>
      </c>
      <c r="I443" s="9" t="str">
        <f ca="1">+WORLDCUP!BD69</f>
        <v>Panamá</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Austria</v>
      </c>
      <c r="E444" s="9" t="str">
        <f ca="1">+WORLDCUP!BD59</f>
        <v>Bosnia y Herzegovina</v>
      </c>
      <c r="F444" s="9" t="str">
        <f ca="1">+WORLDCUP!BD61</f>
        <v>Estados Unidos</v>
      </c>
      <c r="G444" s="9" t="str">
        <f ca="1">+WORLDCUP!BD58</f>
        <v>República Checa</v>
      </c>
      <c r="H444" s="9" t="str">
        <f ca="1">+WORLDCUP!BD63</f>
        <v>Suecia</v>
      </c>
      <c r="I444" s="9" t="str">
        <f ca="1">+WORLDCUP!BD69</f>
        <v>Panamá</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Austria</v>
      </c>
      <c r="E445" s="9" t="str">
        <f ca="1">+WORLDCUP!BD59</f>
        <v>Bosnia y Herzegovina</v>
      </c>
      <c r="F445" s="9" t="str">
        <f ca="1">+WORLDCUP!BD61</f>
        <v>Estados Unidos</v>
      </c>
      <c r="G445" s="9" t="str">
        <f ca="1">+WORLDCUP!BD58</f>
        <v>República Checa</v>
      </c>
      <c r="H445" s="9" t="str">
        <f ca="1">+WORLDCUP!BD63</f>
        <v>Suecia</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Estados Unidos</v>
      </c>
      <c r="I446" s="9" t="str">
        <f ca="1">+WORLDCUP!BD69</f>
        <v>Panamá</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Austria</v>
      </c>
      <c r="E447" s="9" t="str">
        <f ca="1">+WORLDCUP!BD59</f>
        <v>Bosnia y Herzegovina</v>
      </c>
      <c r="F447" s="9" t="str">
        <f ca="1">+WORLDCUP!BD61</f>
        <v>Estados Unidos</v>
      </c>
      <c r="G447" s="9" t="str">
        <f ca="1">+WORLDCUP!BD58</f>
        <v>República Checa</v>
      </c>
      <c r="H447" s="9" t="str">
        <f ca="1">+WORLDCUP!BD63</f>
        <v>Suecia</v>
      </c>
      <c r="I447" s="9" t="str">
        <f ca="1">+WORLDCUP!BD69</f>
        <v>Panamá</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Austria</v>
      </c>
      <c r="E448" s="9" t="str">
        <f ca="1">+WORLDCUP!BD59</f>
        <v>Bosnia y Herzegovina</v>
      </c>
      <c r="F448" s="9" t="str">
        <f ca="1">+WORLDCUP!BD60</f>
        <v>Escocia</v>
      </c>
      <c r="G448" s="9" t="str">
        <f ca="1">+WORLDCUP!BD58</f>
        <v>República Checa</v>
      </c>
      <c r="H448" s="9" t="str">
        <f ca="1">+WORLDCUP!BD63</f>
        <v>Suecia</v>
      </c>
      <c r="I448" s="9" t="str">
        <f ca="1">+WORLDCUP!BD61</f>
        <v>Estados Unidos</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Estados Unidos</v>
      </c>
      <c r="I449" s="9" t="str">
        <f ca="1">+WORLDCUP!BD69</f>
        <v>Panamá</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Estados Unidos</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Austria</v>
      </c>
      <c r="E451" s="9" t="str">
        <f ca="1">+WORLDCUP!BD59</f>
        <v>Bosnia y Herzegovina</v>
      </c>
      <c r="F451" s="9" t="str">
        <f ca="1">+WORLDCUP!BD60</f>
        <v>Escocia</v>
      </c>
      <c r="G451" s="9" t="str">
        <f ca="1">+WORLDCUP!BD58</f>
        <v>República Checa</v>
      </c>
      <c r="H451" s="9" t="str">
        <f ca="1">+WORLDCUP!BD63</f>
        <v>Suecia</v>
      </c>
      <c r="I451" s="9" t="str">
        <f ca="1">+WORLDCUP!BD61</f>
        <v>Estados Unidos</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Estados Unidos</v>
      </c>
      <c r="G452" s="9" t="str">
        <f ca="1">+WORLDCUP!BD58</f>
        <v>República Checa</v>
      </c>
      <c r="H452" s="9" t="str">
        <f ca="1">+WORLDCUP!BD63</f>
        <v>Suecia</v>
      </c>
      <c r="I452" s="9" t="str">
        <f ca="1">+WORLDCUP!BD69</f>
        <v>Panamá</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Estados Unidos</v>
      </c>
      <c r="G453" s="9" t="str">
        <f ca="1">+WORLDCUP!BD58</f>
        <v>República Checa</v>
      </c>
      <c r="H453" s="9" t="str">
        <f ca="1">+WORLDCUP!BD63</f>
        <v>Suecia</v>
      </c>
      <c r="I453" s="9" t="str">
        <f ca="1">+WORLDCUP!BD69</f>
        <v>Panamá</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Estados Unidos</v>
      </c>
      <c r="G454" s="9" t="str">
        <f ca="1">+WORLDCUP!BD58</f>
        <v>República Checa</v>
      </c>
      <c r="H454" s="9" t="str">
        <f ca="1">+WORLDCUP!BD63</f>
        <v>Suecia</v>
      </c>
      <c r="I454" s="9" t="str">
        <f ca="1">+WORLDCUP!BD67</f>
        <v>Austria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Estados Unidos</v>
      </c>
      <c r="G455" s="9" t="str">
        <f ca="1">+WORLDCUP!BD58</f>
        <v>República Checa</v>
      </c>
      <c r="H455" s="9" t="str">
        <f ca="1">+WORLDCUP!BD63</f>
        <v>Suecia</v>
      </c>
      <c r="I455" s="9" t="str">
        <f ca="1">+WORLDCUP!BD69</f>
        <v>Panamá</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Estados Unidos</v>
      </c>
      <c r="G456" s="9" t="str">
        <f ca="1">+WORLDCUP!BD58</f>
        <v>República Checa</v>
      </c>
      <c r="H456" s="9" t="str">
        <f ca="1">+WORLDCUP!BD63</f>
        <v>Suecia</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Estados Unidos</v>
      </c>
      <c r="G457" s="9" t="str">
        <f ca="1">+WORLDCUP!BD58</f>
        <v>República Checa</v>
      </c>
      <c r="H457" s="9" t="str">
        <f ca="1">+WORLDCUP!BD63</f>
        <v>Suecia</v>
      </c>
      <c r="I457" s="9" t="str">
        <f ca="1">+WORLDCUP!BD66</f>
        <v>Senegal</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Estados Unidos</v>
      </c>
      <c r="G458" s="9" t="str">
        <f ca="1">+WORLDCUP!BD58</f>
        <v>República Checa</v>
      </c>
      <c r="H458" s="9" t="str">
        <f ca="1">+WORLDCUP!BD63</f>
        <v>Suecia</v>
      </c>
      <c r="I458" s="9" t="str">
        <f ca="1">+WORLDCUP!BD69</f>
        <v>Panamá</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Estados Unidos</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Estados Unidos</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Estados Unidos</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Austria</v>
      </c>
      <c r="E462" s="9" t="str">
        <f ca="1">+WORLDCUP!BD59</f>
        <v>Bosnia y Herzegovina</v>
      </c>
      <c r="F462" s="9" t="str">
        <f ca="1">+WORLDCUP!BD60</f>
        <v>Escocia</v>
      </c>
      <c r="G462" s="9" t="str">
        <f ca="1">+WORLDCUP!BD58</f>
        <v>República Checa</v>
      </c>
      <c r="H462" s="9" t="str">
        <f ca="1">+WORLDCUP!BD61</f>
        <v>Estados Unidos</v>
      </c>
      <c r="I462" s="9" t="str">
        <f ca="1">+WORLDCUP!BD69</f>
        <v>Panamá</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Estados Unidos</v>
      </c>
      <c r="I463" s="9" t="str">
        <f ca="1">+WORLDCUP!BD69</f>
        <v>Panamá</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Austria</v>
      </c>
      <c r="E464" s="9" t="str">
        <f ca="1">+WORLDCUP!BD59</f>
        <v>Bosnia y Herzegovina</v>
      </c>
      <c r="F464" s="9" t="str">
        <f ca="1">+WORLDCUP!BD60</f>
        <v>Escocia</v>
      </c>
      <c r="G464" s="9" t="str">
        <f ca="1">+WORLDCUP!BD58</f>
        <v>República Checa</v>
      </c>
      <c r="H464" s="9" t="str">
        <f ca="1">+WORLDCUP!BD61</f>
        <v>Estados Unidos</v>
      </c>
      <c r="I464" s="9" t="str">
        <f ca="1">+WORLDCUP!BD69</f>
        <v>Panamá</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Austria</v>
      </c>
      <c r="E465" s="9" t="str">
        <f ca="1">+WORLDCUP!BD59</f>
        <v>Bosnia y Herzegovina</v>
      </c>
      <c r="F465" s="9" t="str">
        <f ca="1">+WORLDCUP!BD60</f>
        <v>Escocia</v>
      </c>
      <c r="G465" s="9" t="str">
        <f ca="1">+WORLDCUP!BD58</f>
        <v>República Checa</v>
      </c>
      <c r="H465" s="9" t="str">
        <f ca="1">+WORLDCUP!BD61</f>
        <v>Estados Unidos</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Estados Unidos</v>
      </c>
      <c r="I466" s="9" t="str">
        <f ca="1">+WORLDCUP!BD69</f>
        <v>Panamá</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Austria</v>
      </c>
      <c r="E467" s="9" t="str">
        <f ca="1">+WORLDCUP!BD59</f>
        <v>Bosnia y Herzegovina</v>
      </c>
      <c r="F467" s="9" t="str">
        <f ca="1">+WORLDCUP!BD60</f>
        <v>Escocia</v>
      </c>
      <c r="G467" s="9" t="str">
        <f ca="1">+WORLDCUP!BD58</f>
        <v>República Checa</v>
      </c>
      <c r="H467" s="9" t="str">
        <f ca="1">+WORLDCUP!BD61</f>
        <v>Estados Unidos</v>
      </c>
      <c r="I467" s="9" t="str">
        <f ca="1">+WORLDCUP!BD69</f>
        <v>Panamá</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Austria</v>
      </c>
      <c r="E468" s="9" t="str">
        <f ca="1">+WORLDCUP!BD59</f>
        <v>Bosnia y Herzegovina</v>
      </c>
      <c r="F468" s="9" t="str">
        <f ca="1">+WORLDCUP!BD60</f>
        <v>Escocia</v>
      </c>
      <c r="G468" s="9" t="str">
        <f ca="1">+WORLDCUP!BD58</f>
        <v>República Checa</v>
      </c>
      <c r="H468" s="9" t="str">
        <f ca="1">+WORLDCUP!BD61</f>
        <v>Estados Unidos</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Estados Unidos</v>
      </c>
      <c r="I469" s="9" t="str">
        <f ca="1">+WORLDCUP!BD69</f>
        <v>Panamá</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Estados Unidos</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Austria</v>
      </c>
      <c r="E471" s="9" t="str">
        <f ca="1">+WORLDCUP!BD59</f>
        <v>Bosnia y Herzegovina</v>
      </c>
      <c r="F471" s="9" t="str">
        <f ca="1">+WORLDCUP!BD60</f>
        <v>Escocia</v>
      </c>
      <c r="G471" s="9" t="str">
        <f ca="1">+WORLDCUP!BD58</f>
        <v>República Checa</v>
      </c>
      <c r="H471" s="9" t="str">
        <f ca="1">+WORLDCUP!BD61</f>
        <v>Estados Unidos</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Estados Unidos</v>
      </c>
      <c r="I472" s="9" t="str">
        <f ca="1">+WORLDCUP!BD69</f>
        <v>Panamá</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Estados Unidos</v>
      </c>
      <c r="I473" s="9" t="str">
        <f ca="1">+WORLDCUP!BD69</f>
        <v>Panamá</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Estados Unidos</v>
      </c>
      <c r="I474" s="9" t="str">
        <f ca="1">+WORLDCUP!BD67</f>
        <v>Austria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Estados Unidos</v>
      </c>
      <c r="I475" s="9" t="str">
        <f ca="1">+WORLDCUP!BD69</f>
        <v>Panamá</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Estados Unidos</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Estados Unidos</v>
      </c>
      <c r="I477" s="9" t="str">
        <f ca="1">+WORLDCUP!BD66</f>
        <v>Senegal</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Estados Unidos</v>
      </c>
      <c r="I478" s="9" t="str">
        <f ca="1">+WORLDCUP!BD69</f>
        <v>Panamá</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Estados Unidos</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Estados Unidos</v>
      </c>
      <c r="I480" s="9" t="str">
        <f ca="1">+WORLDCUP!BD62</f>
        <v>Costa de Marfil</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Estados Unidos</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República Checa</v>
      </c>
      <c r="H482" s="9" t="str">
        <f ca="1">+WORLDCUP!BD63</f>
        <v>Suecia</v>
      </c>
      <c r="I482" s="9" t="str">
        <f ca="1">+WORLDCUP!BD69</f>
        <v>Panamá</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Bosnia y Herzegovina</v>
      </c>
      <c r="F483" s="9" t="str">
        <f ca="1">+WORLDCUP!BD61</f>
        <v>Estados Unidos</v>
      </c>
      <c r="G483" s="9" t="str">
        <f ca="1">+WORLDCUP!BD58</f>
        <v>República Checa</v>
      </c>
      <c r="H483" s="9" t="str">
        <f ca="1">+WORLDCUP!BD63</f>
        <v>Suecia</v>
      </c>
      <c r="I483" s="9" t="str">
        <f ca="1">+WORLDCUP!BD69</f>
        <v>Panamá</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Bosnia y Herzegovina</v>
      </c>
      <c r="F484" s="9" t="str">
        <f ca="1">+WORLDCUP!BD61</f>
        <v>Estados Unidos</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República Checa</v>
      </c>
      <c r="H485" s="9" t="str">
        <f ca="1">+WORLDCUP!BD63</f>
        <v>Suecia</v>
      </c>
      <c r="I485" s="9" t="str">
        <f ca="1">+WORLDCUP!BD69</f>
        <v>Panamá</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Bosnia y Herzegovina</v>
      </c>
      <c r="F487" s="9" t="str">
        <f ca="1">+WORLDCUP!BD61</f>
        <v>Estados Unidos</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Estados Unidos</v>
      </c>
      <c r="I488" s="9" t="str">
        <f ca="1">+WORLDCUP!BD69</f>
        <v>Panamá</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Estados Unidos</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Bosnia y Herzegovina</v>
      </c>
      <c r="F490" s="9" t="str">
        <f ca="1">+WORLDCUP!BD60</f>
        <v>Escocia</v>
      </c>
      <c r="G490" s="9" t="str">
        <f ca="1">+WORLDCUP!BD58</f>
        <v>República Checa</v>
      </c>
      <c r="H490" s="9" t="str">
        <f ca="1">+WORLDCUP!BD63</f>
        <v>Suecia</v>
      </c>
      <c r="I490" s="9" t="str">
        <f ca="1">+WORLDCUP!BD61</f>
        <v>Estados Unidos</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Estados Unidos</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Estados Unidos</v>
      </c>
      <c r="G492" s="9" t="str">
        <f ca="1">+WORLDCUP!BD58</f>
        <v>República Checa</v>
      </c>
      <c r="H492" s="9" t="str">
        <f ca="1">+WORLDCUP!BD63</f>
        <v>Suecia</v>
      </c>
      <c r="I492" s="9" t="str">
        <f ca="1">+WORLDCUP!BD69</f>
        <v>Panamá</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Estados Unidos</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Estados Unidos</v>
      </c>
      <c r="G494" s="9" t="str">
        <f ca="1">+WORLDCUP!BD58</f>
        <v>República Checa</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Estados Unidos</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Estados Unidos</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1">
        <v>#VALUE!</v>
      </c>
      <c r="Y87" s="9">
        <v>3.5</v>
      </c>
      <c r="Z87" s="6"/>
      <c r="AA87" s="6"/>
      <c r="AB87" s="6"/>
    </row>
    <row r="88" spans="12:28">
      <c r="L88" s="3"/>
      <c r="M88" s="3"/>
      <c r="N88" s="3"/>
      <c r="O88" s="6"/>
      <c r="P88" s="6"/>
      <c r="Q88" s="6"/>
      <c r="R88" s="6"/>
      <c r="T88" s="16" t="s">
        <v>1479</v>
      </c>
      <c r="U88" s="9" t="s">
        <v>1464</v>
      </c>
      <c r="V88" s="9" t="s">
        <v>1465</v>
      </c>
      <c r="W88" s="9" t="s">
        <v>1466</v>
      </c>
      <c r="X88" s="560" t="e" vm="52">
        <v>#VALUE!</v>
      </c>
      <c r="Y88" s="9">
        <v>4</v>
      </c>
      <c r="Z88" s="6"/>
      <c r="AA88" s="6"/>
      <c r="AB88" s="6"/>
    </row>
    <row r="89" spans="12:28" ht="15.6">
      <c r="L89" s="3"/>
      <c r="M89" s="3"/>
      <c r="N89" s="3"/>
      <c r="O89" s="6"/>
      <c r="P89" s="6"/>
      <c r="Q89" s="6"/>
      <c r="R89" s="6"/>
      <c r="T89" s="16" t="s">
        <v>1480</v>
      </c>
      <c r="U89" s="9" t="s">
        <v>1467</v>
      </c>
      <c r="V89" s="9" t="s">
        <v>1467</v>
      </c>
      <c r="W89" s="561" t="s">
        <v>1469</v>
      </c>
      <c r="X89" s="560" t="e" vm="53">
        <v>#VALUE!</v>
      </c>
      <c r="Y89" s="9">
        <v>-4</v>
      </c>
      <c r="Z89" s="6"/>
      <c r="AA89" s="6"/>
      <c r="AB89" s="6"/>
    </row>
    <row r="90" spans="12:28" ht="15.6">
      <c r="L90" s="3"/>
      <c r="M90" s="3"/>
      <c r="N90" s="3"/>
      <c r="O90" s="6"/>
      <c r="P90" s="6"/>
      <c r="Q90" s="6"/>
      <c r="R90" s="6"/>
      <c r="T90" s="16" t="s">
        <v>1481</v>
      </c>
      <c r="U90" s="9" t="s">
        <v>1468</v>
      </c>
      <c r="V90" s="9" t="s">
        <v>1471</v>
      </c>
      <c r="W90" s="562" t="s">
        <v>1470</v>
      </c>
      <c r="X90" s="560" t="e" vm="54">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5">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6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8">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7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80">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2">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3">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4">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5">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6">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7">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8">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9">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90">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2">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3">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4">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5">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6">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7">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8">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9">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100">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1">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Alvaro Extremera Fernandez</cp:lastModifiedBy>
  <cp:lastPrinted>2018-12-06T18:06:35Z</cp:lastPrinted>
  <dcterms:created xsi:type="dcterms:W3CDTF">2015-10-31T09:41:54Z</dcterms:created>
  <dcterms:modified xsi:type="dcterms:W3CDTF">2026-06-09T17:26:10Z</dcterms:modified>
</cp:coreProperties>
</file>