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34669\Downloads\"/>
    </mc:Choice>
  </mc:AlternateContent>
  <xr:revisionPtr revIDLastSave="0" documentId="13_ncr:1_{E43EDD02-6D5E-44BD-A737-46AD0A86486D}" xr6:coauthVersionLast="47" xr6:coauthVersionMax="47" xr10:uidLastSave="{00000000-0000-0000-0000-000000000000}"/>
  <bookViews>
    <workbookView xWindow="-110" yWindow="-110" windowWidth="19420" windowHeight="1030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U34" i="3" l="1"/>
  <c r="BW28" i="3"/>
  <c r="BU26" i="3"/>
  <c r="BW24"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3" i="3" l="1"/>
  <c r="BX42"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B17" i="3" l="1"/>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5"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21"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I26" i="3" s="1"/>
  <c r="CH40" i="3"/>
  <c r="CH11" i="3"/>
  <c r="O12" i="3" s="1"/>
  <c r="CH14" i="3"/>
  <c r="CH13" i="3"/>
  <c r="O13" i="3" s="1"/>
  <c r="CI17" i="3" l="1"/>
  <c r="O94" i="3"/>
  <c r="O64" i="3"/>
  <c r="CI35" i="3" s="1"/>
  <c r="N79" i="3"/>
  <c r="O93" i="3"/>
  <c r="CI52" i="3" s="1"/>
  <c r="N95" i="3"/>
  <c r="CI51" i="3" s="1"/>
  <c r="N96" i="3"/>
  <c r="O47" i="3"/>
  <c r="N61" i="3"/>
  <c r="O97" i="3"/>
  <c r="O44" i="3"/>
  <c r="N56" i="3"/>
  <c r="O95" i="3"/>
  <c r="CI27" i="3"/>
  <c r="N29" i="3"/>
  <c r="CJ50" i="3"/>
  <c r="O55" i="3"/>
  <c r="O33" i="3"/>
  <c r="CJ19" i="3" s="1"/>
  <c r="N9" i="3"/>
  <c r="N36" i="3"/>
  <c r="O41" i="3"/>
  <c r="O4" i="3"/>
  <c r="O69" i="3"/>
  <c r="CK40" i="3" s="1"/>
  <c r="N72" i="3"/>
  <c r="CK21" i="3"/>
  <c r="O30" i="3"/>
  <c r="N32" i="3"/>
  <c r="N7" i="3"/>
  <c r="O29" i="3"/>
  <c r="N49" i="3"/>
  <c r="N52" i="3"/>
  <c r="N54" i="3"/>
  <c r="N37" i="3"/>
  <c r="CI10" i="3"/>
  <c r="N8" i="3"/>
  <c r="CK41" i="3"/>
  <c r="O52" i="3"/>
  <c r="CK30" i="3" s="1"/>
  <c r="N97" i="3"/>
  <c r="O77" i="3"/>
  <c r="N80" i="3"/>
  <c r="N55" i="3"/>
  <c r="N81" i="3"/>
  <c r="CI42" i="3" s="1"/>
  <c r="N84" i="3"/>
  <c r="O5" i="3"/>
  <c r="CK8" i="3" s="1"/>
  <c r="N47" i="3"/>
  <c r="CK46" i="3"/>
  <c r="CI33" i="3"/>
  <c r="O53" i="3"/>
  <c r="O79" i="3"/>
  <c r="CI45" i="3" s="1"/>
  <c r="N6" i="3"/>
  <c r="N86" i="3"/>
  <c r="O32" i="3"/>
  <c r="CI12" i="3"/>
  <c r="CI43" i="3"/>
  <c r="N88" i="3"/>
  <c r="N30" i="3"/>
  <c r="CI25" i="3"/>
  <c r="CK6" i="3"/>
  <c r="CK18" i="3"/>
  <c r="CI18" i="3"/>
  <c r="CK25" i="3"/>
  <c r="N73" i="3"/>
  <c r="CI15" i="3"/>
  <c r="N15" i="3"/>
  <c r="CI11" i="3"/>
  <c r="O96" i="3"/>
  <c r="CJ53" i="3" s="1"/>
  <c r="CL53" i="3" s="1"/>
  <c r="CI39" i="3"/>
  <c r="N68" i="3"/>
  <c r="CK39" i="3" s="1"/>
  <c r="CK50" i="3"/>
  <c r="O40" i="3"/>
  <c r="O15" i="3"/>
  <c r="N65" i="3"/>
  <c r="O9" i="3"/>
  <c r="CI23" i="3"/>
  <c r="O36" i="3"/>
  <c r="CJ22" i="3" s="1"/>
  <c r="CK23" i="3"/>
  <c r="O61" i="3"/>
  <c r="CJ36" i="3" s="1"/>
  <c r="CI8" i="3"/>
  <c r="CI47" i="3"/>
  <c r="N13" i="3"/>
  <c r="O68" i="3"/>
  <c r="O57" i="3"/>
  <c r="O65" i="3"/>
  <c r="CK37" i="3" s="1"/>
  <c r="N40" i="3"/>
  <c r="O31" i="3"/>
  <c r="N92" i="3"/>
  <c r="CK51" i="3" s="1"/>
  <c r="CK12" i="3"/>
  <c r="N77" i="3"/>
  <c r="CI19" i="3"/>
  <c r="CI50" i="3"/>
  <c r="O25" i="3"/>
  <c r="O37" i="3"/>
  <c r="CI24" i="3" s="1"/>
  <c r="N5" i="3"/>
  <c r="CJ9" i="3" s="1"/>
  <c r="O72" i="3"/>
  <c r="CI41" i="3" s="1"/>
  <c r="CI38" i="3"/>
  <c r="O84" i="3"/>
  <c r="CI46" i="3" s="1"/>
  <c r="O87" i="3"/>
  <c r="N60" i="3"/>
  <c r="CK35" i="3" s="1"/>
  <c r="O78" i="3"/>
  <c r="O23" i="3"/>
  <c r="N94" i="3"/>
  <c r="CK52" i="3" s="1"/>
  <c r="N39" i="3"/>
  <c r="CK38" i="3"/>
  <c r="N4" i="3"/>
  <c r="CK7" i="3" s="1"/>
  <c r="CK19" i="3"/>
  <c r="N87" i="3"/>
  <c r="N25" i="3"/>
  <c r="O22" i="3"/>
  <c r="N76" i="3"/>
  <c r="CJ43" i="3" s="1"/>
  <c r="O49" i="3"/>
  <c r="CI29" i="3" s="1"/>
  <c r="N46" i="3"/>
  <c r="CJ28" i="3" s="1"/>
  <c r="N53" i="3"/>
  <c r="CK48" i="3"/>
  <c r="N85" i="3"/>
  <c r="N44" i="3"/>
  <c r="CK27" i="3" s="1"/>
  <c r="N12" i="3"/>
  <c r="O54" i="3"/>
  <c r="O89" i="3"/>
  <c r="O56" i="3"/>
  <c r="N24" i="3"/>
  <c r="O46" i="3"/>
  <c r="CI28" i="3"/>
  <c r="O21" i="3"/>
  <c r="CI16" i="3" s="1"/>
  <c r="N45" i="3"/>
  <c r="CK32" i="3"/>
  <c r="N16" i="3"/>
  <c r="CI48" i="3"/>
  <c r="CK26" i="3"/>
  <c r="CJ48" i="3"/>
  <c r="O20" i="3"/>
  <c r="CI14" i="3" s="1"/>
  <c r="N33" i="3"/>
  <c r="CK10" i="3"/>
  <c r="N69" i="3"/>
  <c r="O73" i="3"/>
  <c r="O60" i="3"/>
  <c r="CK34" i="3" s="1"/>
  <c r="O63" i="3"/>
  <c r="CI37" i="3" s="1"/>
  <c r="CI40" i="3"/>
  <c r="O70" i="3"/>
  <c r="CK17" i="3"/>
  <c r="N22" i="3"/>
  <c r="CK42" i="3"/>
  <c r="N78" i="3"/>
  <c r="CK44" i="3" s="1"/>
  <c r="O81" i="3"/>
  <c r="CI13" i="3"/>
  <c r="N14" i="3"/>
  <c r="CK11" i="3" s="1"/>
  <c r="CK13" i="3"/>
  <c r="N23" i="3"/>
  <c r="N20" i="3"/>
  <c r="CK15" i="3" s="1"/>
  <c r="O24" i="3"/>
  <c r="N17" i="3"/>
  <c r="O14" i="3"/>
  <c r="CK33" i="3"/>
  <c r="CK53" i="3"/>
  <c r="CK49" i="3"/>
  <c r="CK31" i="3"/>
  <c r="CK47" i="3" l="1"/>
  <c r="CI49" i="3"/>
  <c r="CI44" i="3"/>
  <c r="CK28" i="3"/>
  <c r="CK36" i="3"/>
  <c r="CI34" i="3"/>
  <c r="CK29" i="3"/>
  <c r="CJ18" i="3"/>
  <c r="CL18" i="3" s="1"/>
  <c r="CK24" i="3"/>
  <c r="CI22" i="3"/>
  <c r="CL22" i="3" s="1"/>
  <c r="CI20" i="3"/>
  <c r="CJ21" i="3"/>
  <c r="CL21" i="3" s="1"/>
  <c r="CI21" i="3"/>
  <c r="CK16" i="3"/>
  <c r="CI6" i="3"/>
  <c r="CK45" i="3"/>
  <c r="CK43" i="3"/>
  <c r="CI36" i="3"/>
  <c r="CL36" i="3" s="1"/>
  <c r="CK14" i="3"/>
  <c r="CK22" i="3"/>
  <c r="CI9" i="3"/>
  <c r="CL9" i="3" s="1"/>
  <c r="CI7"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J15" i="3"/>
  <c r="CL15" i="3" s="1"/>
  <c r="CJ14" i="3"/>
  <c r="CL14" i="3" s="1"/>
  <c r="CL19" i="3"/>
  <c r="CJ16" i="3"/>
  <c r="CL16" i="3" s="1"/>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0" i="3" l="1"/>
  <c r="CM20" i="3" s="1"/>
  <c r="CM45" i="3"/>
  <c r="CM50" i="3"/>
  <c r="CM46" i="3"/>
  <c r="CM53" i="3"/>
  <c r="CM48" i="3"/>
  <c r="CM16" i="3"/>
  <c r="CM40" i="3"/>
  <c r="CM30" i="3"/>
  <c r="CM17" i="3"/>
  <c r="CM15" i="3"/>
  <c r="CM34" i="3"/>
  <c r="CM31" i="3"/>
  <c r="CM33" i="3"/>
  <c r="CM47" i="3"/>
  <c r="CM22" i="3"/>
  <c r="CM43" i="3"/>
  <c r="CM21" i="3"/>
  <c r="CM35" i="3"/>
  <c r="CM49"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18" i="3" l="1"/>
  <c r="CN11" i="3" s="1"/>
  <c r="Q17" i="3" s="1"/>
  <c r="CN52" i="3" l="1"/>
  <c r="R97" i="3" s="1"/>
  <c r="CN40" i="3"/>
  <c r="R73" i="3" s="1"/>
  <c r="CN41" i="3"/>
  <c r="Q71" i="3" s="1"/>
  <c r="CN44" i="3"/>
  <c r="Q77" i="3" s="1"/>
  <c r="CN6" i="3"/>
  <c r="Q7" i="3" s="1"/>
  <c r="CN15" i="3"/>
  <c r="Q25" i="3" s="1"/>
  <c r="CN16" i="3"/>
  <c r="R25" i="3" s="1"/>
  <c r="CN35" i="3"/>
  <c r="R63" i="3" s="1"/>
  <c r="CN53" i="3"/>
  <c r="Q95" i="3" s="1"/>
  <c r="CN42" i="3"/>
  <c r="Q76" i="3" s="1"/>
  <c r="CN23" i="3"/>
  <c r="R36" i="3" s="1"/>
  <c r="CN22" i="3"/>
  <c r="Q36" i="3" s="1"/>
  <c r="CN19" i="3"/>
  <c r="Q33" i="3" s="1"/>
  <c r="CN29" i="3"/>
  <c r="Q47" i="3" s="1"/>
  <c r="CN34" i="3"/>
  <c r="R65" i="3" s="1"/>
  <c r="CN24" i="3"/>
  <c r="Q37" i="3" s="1"/>
  <c r="CN49" i="3"/>
  <c r="Q87" i="3" s="1"/>
  <c r="CN30" i="3"/>
  <c r="R57" i="3" s="1"/>
  <c r="CN20" i="3"/>
  <c r="R33" i="3" s="1"/>
  <c r="CN27" i="3"/>
  <c r="R47" i="3" s="1"/>
  <c r="CN39" i="3"/>
  <c r="R71" i="3" s="1"/>
  <c r="CN8" i="3"/>
  <c r="Q5" i="3" s="1"/>
  <c r="CN17" i="3"/>
  <c r="Q24" i="3" s="1"/>
  <c r="CN50" i="3"/>
  <c r="Q94" i="3" s="1"/>
  <c r="CN9" i="3"/>
  <c r="Q6" i="3" s="1"/>
  <c r="CN45" i="3"/>
  <c r="Q79" i="3" s="1"/>
  <c r="CN46" i="3"/>
  <c r="Q84" i="3" s="1"/>
  <c r="CN37" i="3"/>
  <c r="R61" i="3" s="1"/>
  <c r="CN31" i="3"/>
  <c r="R52" i="3" s="1"/>
  <c r="CN12" i="3"/>
  <c r="R15" i="3" s="1"/>
  <c r="CN28" i="3"/>
  <c r="R46" i="3" s="1"/>
  <c r="CN13" i="3"/>
  <c r="R13" i="3" s="1"/>
  <c r="CN10" i="3"/>
  <c r="Q15" i="3" s="1"/>
  <c r="CN51" i="3"/>
  <c r="R92" i="3" s="1"/>
  <c r="CN38" i="3"/>
  <c r="Q70" i="3" s="1"/>
  <c r="CN47" i="3"/>
  <c r="Q89" i="3" s="1"/>
  <c r="CN43" i="3"/>
  <c r="R76" i="3" s="1"/>
  <c r="CN18" i="3"/>
  <c r="Q28" i="3" s="1"/>
  <c r="CN14" i="3"/>
  <c r="Q20" i="3" s="1"/>
  <c r="CN32" i="3"/>
  <c r="Q53" i="3" s="1"/>
  <c r="CN26" i="3"/>
  <c r="Q44" i="3" s="1"/>
  <c r="CN33" i="3"/>
  <c r="Q57" i="3" s="1"/>
  <c r="CN7" i="3"/>
  <c r="R4" i="3" s="1"/>
  <c r="CN48" i="3"/>
  <c r="Q85" i="3" s="1"/>
  <c r="CN36" i="3"/>
  <c r="R64" i="3" s="1"/>
  <c r="CN21" i="3"/>
  <c r="Q32" i="3" s="1"/>
  <c r="CN25" i="3"/>
  <c r="Q39" i="3" s="1"/>
  <c r="R12" i="3"/>
  <c r="R14" i="3"/>
  <c r="R78" i="3"/>
  <c r="R80" i="3"/>
  <c r="R28" i="3"/>
  <c r="R81" i="3"/>
  <c r="Q69" i="3"/>
  <c r="R70" i="3"/>
  <c r="Q72" i="3"/>
  <c r="R69" i="3"/>
  <c r="Q78" i="3"/>
  <c r="R31" i="3"/>
  <c r="Q93" i="3"/>
  <c r="R93" i="3"/>
  <c r="Q86" i="3"/>
  <c r="R39" i="3"/>
  <c r="Q73" i="3"/>
  <c r="Q40" i="3"/>
  <c r="R94" i="3"/>
  <c r="R30" i="3"/>
  <c r="Q52" i="3"/>
  <c r="Q54" i="3"/>
  <c r="Q81" i="3"/>
  <c r="R68" i="3"/>
  <c r="R8" i="3"/>
  <c r="CO9" i="3" s="1"/>
  <c r="Q4" i="3"/>
  <c r="CP30" i="3"/>
  <c r="CO30" i="3"/>
  <c r="R77" i="3" l="1"/>
  <c r="CP53" i="3"/>
  <c r="Q29" i="3"/>
  <c r="R85" i="3"/>
  <c r="R41" i="3"/>
  <c r="R44" i="3"/>
  <c r="Q65" i="3"/>
  <c r="R88" i="3"/>
  <c r="Q97" i="3"/>
  <c r="CO52" i="3" s="1"/>
  <c r="R23" i="3"/>
  <c r="Q38" i="3"/>
  <c r="Q63" i="3"/>
  <c r="Q48" i="3"/>
  <c r="Q88" i="3"/>
  <c r="R21" i="3"/>
  <c r="Q64" i="3"/>
  <c r="Q8" i="3"/>
  <c r="R5" i="3"/>
  <c r="CO8" i="3" s="1"/>
  <c r="Q56" i="3"/>
  <c r="Q96" i="3"/>
  <c r="R22" i="3"/>
  <c r="R79" i="3"/>
  <c r="Q49" i="3"/>
  <c r="R9" i="3"/>
  <c r="R55" i="3"/>
  <c r="R20" i="3"/>
  <c r="R45" i="3"/>
  <c r="CP43" i="3"/>
  <c r="R87" i="3"/>
  <c r="Q80" i="3"/>
  <c r="Q22" i="3"/>
  <c r="CO15" i="3" s="1"/>
  <c r="CP50" i="3"/>
  <c r="R72" i="3"/>
  <c r="Q21" i="3"/>
  <c r="Q62" i="3"/>
  <c r="Q60" i="3"/>
  <c r="R48" i="3"/>
  <c r="CO27" i="3" s="1"/>
  <c r="Q45" i="3"/>
  <c r="R38" i="3"/>
  <c r="R60" i="3"/>
  <c r="R16" i="3"/>
  <c r="CP33" i="3"/>
  <c r="Q16" i="3"/>
  <c r="R53" i="3"/>
  <c r="Q13" i="3"/>
  <c r="R95" i="3"/>
  <c r="CO53" i="3" s="1"/>
  <c r="Q23" i="3"/>
  <c r="R84" i="3"/>
  <c r="CO12" i="3"/>
  <c r="CP12" i="3"/>
  <c r="R17" i="3"/>
  <c r="R7" i="3"/>
  <c r="R40" i="3"/>
  <c r="CP23" i="3" s="1"/>
  <c r="R24" i="3"/>
  <c r="Q92" i="3"/>
  <c r="CP51" i="3" s="1"/>
  <c r="Q41" i="3"/>
  <c r="R96" i="3"/>
  <c r="Q55" i="3"/>
  <c r="Q68" i="3"/>
  <c r="CP39" i="3" s="1"/>
  <c r="Q14" i="3"/>
  <c r="Q12" i="3"/>
  <c r="Q46" i="3"/>
  <c r="R49" i="3"/>
  <c r="CP29" i="3" s="1"/>
  <c r="R54" i="3"/>
  <c r="Q30" i="3"/>
  <c r="R32" i="3"/>
  <c r="R56" i="3"/>
  <c r="R37" i="3"/>
  <c r="Q31" i="3"/>
  <c r="CO19" i="3" s="1"/>
  <c r="R29" i="3"/>
  <c r="R6" i="3"/>
  <c r="Q9" i="3"/>
  <c r="Q61" i="3"/>
  <c r="CP37" i="3" s="1"/>
  <c r="R89" i="3"/>
  <c r="R62" i="3"/>
  <c r="R86" i="3"/>
  <c r="CP42" i="3"/>
  <c r="CO18" i="3"/>
  <c r="CO10" i="3"/>
  <c r="CO43" i="3"/>
  <c r="CQ43" i="3" s="1"/>
  <c r="CO35" i="3"/>
  <c r="CO45" i="3"/>
  <c r="CP36" i="3"/>
  <c r="CP45" i="3"/>
  <c r="CO23" i="3"/>
  <c r="CQ23" i="3" s="1"/>
  <c r="CP44" i="3"/>
  <c r="CO26" i="3"/>
  <c r="CP49" i="3"/>
  <c r="CP35" i="3"/>
  <c r="CP34" i="3"/>
  <c r="CP48" i="3"/>
  <c r="CO24" i="3"/>
  <c r="CO37" i="3"/>
  <c r="CQ37" i="3" s="1"/>
  <c r="CP38" i="3"/>
  <c r="CP14" i="3"/>
  <c r="CP46" i="3"/>
  <c r="CO34" i="3"/>
  <c r="CO50" i="3"/>
  <c r="CQ50" i="3" s="1"/>
  <c r="CP40" i="3"/>
  <c r="CO46" i="3"/>
  <c r="CP24" i="3"/>
  <c r="CO21" i="3"/>
  <c r="CO40" i="3"/>
  <c r="CO49" i="3"/>
  <c r="CO48" i="3"/>
  <c r="CO11" i="3"/>
  <c r="CO38" i="3"/>
  <c r="CP31" i="3"/>
  <c r="CP32" i="3"/>
  <c r="CP16" i="3"/>
  <c r="CO42" i="3"/>
  <c r="CP10" i="3"/>
  <c r="CQ10" i="3" s="1"/>
  <c r="CO44" i="3"/>
  <c r="CO31" i="3"/>
  <c r="CQ30" i="3"/>
  <c r="CO32" i="3"/>
  <c r="CP17" i="3"/>
  <c r="CP26" i="3"/>
  <c r="CP9" i="3"/>
  <c r="CQ9" i="3" s="1"/>
  <c r="CP15" i="3"/>
  <c r="CQ15" i="3" s="1"/>
  <c r="CP13" i="3"/>
  <c r="CO17" i="3"/>
  <c r="CP21" i="3"/>
  <c r="CP18" i="3"/>
  <c r="CO16" i="3"/>
  <c r="CP19" i="3"/>
  <c r="CQ19" i="3" s="1"/>
  <c r="CO14" i="3"/>
  <c r="CP11" i="3"/>
  <c r="CQ12" i="3"/>
  <c r="CO13" i="3"/>
  <c r="CO7" i="3"/>
  <c r="CO6" i="3"/>
  <c r="CP6" i="3"/>
  <c r="CP8" i="3"/>
  <c r="CQ8" i="3" s="1"/>
  <c r="CP7" i="3"/>
  <c r="CP52" i="3"/>
  <c r="CP27" i="3"/>
  <c r="CQ27" i="3" s="1"/>
  <c r="CO41" i="3"/>
  <c r="CO33" i="3"/>
  <c r="CQ33" i="3" s="1"/>
  <c r="CO39" i="3"/>
  <c r="CQ39" i="3" s="1"/>
  <c r="CO25" i="3"/>
  <c r="CP25" i="3"/>
  <c r="CP41" i="3"/>
  <c r="CO36" i="3"/>
  <c r="CQ53" i="3"/>
  <c r="CO22" i="3" l="1"/>
  <c r="CO51" i="3"/>
  <c r="CQ51" i="3" s="1"/>
  <c r="CO29" i="3"/>
  <c r="CQ29" i="3" s="1"/>
  <c r="CP22" i="3"/>
  <c r="CQ22" i="3" s="1"/>
  <c r="CP20" i="3"/>
  <c r="CP28" i="3"/>
  <c r="CO20" i="3"/>
  <c r="CO28" i="3"/>
  <c r="CP47" i="3"/>
  <c r="CO47" i="3"/>
  <c r="CQ42" i="3"/>
  <c r="CQ18" i="3"/>
  <c r="CQ26" i="3"/>
  <c r="CQ35" i="3"/>
  <c r="CQ45" i="3"/>
  <c r="CQ36" i="3"/>
  <c r="CQ44" i="3"/>
  <c r="CQ49" i="3"/>
  <c r="CQ24" i="3"/>
  <c r="CQ48" i="3"/>
  <c r="CQ34" i="3"/>
  <c r="CQ14" i="3"/>
  <c r="CQ21" i="3"/>
  <c r="CQ46" i="3"/>
  <c r="CQ16" i="3"/>
  <c r="CQ40" i="3"/>
  <c r="CQ38" i="3"/>
  <c r="CQ11" i="3"/>
  <c r="CQ31" i="3"/>
  <c r="CQ32" i="3"/>
  <c r="CQ13" i="3"/>
  <c r="CQ17" i="3"/>
  <c r="CQ7" i="3"/>
  <c r="CQ6" i="3"/>
  <c r="CQ41" i="3"/>
  <c r="CQ52" i="3"/>
  <c r="CQ25" i="3"/>
  <c r="CQ28" i="3" l="1"/>
  <c r="CQ20" i="3"/>
  <c r="CQ47" i="3"/>
  <c r="CR50" i="3"/>
  <c r="CR53"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R47" i="3" l="1"/>
  <c r="CR48" i="3"/>
  <c r="CS24" i="3" l="1"/>
  <c r="U40" i="3" s="1"/>
  <c r="CS53" i="3"/>
  <c r="T95" i="3" s="1"/>
  <c r="CS50" i="3"/>
  <c r="T92" i="3" s="1"/>
  <c r="CS34" i="3"/>
  <c r="U65" i="3" s="1"/>
  <c r="CS27" i="3"/>
  <c r="U47" i="3" s="1"/>
  <c r="CS33" i="3"/>
  <c r="U53" i="3" s="1"/>
  <c r="CS41" i="3"/>
  <c r="T71" i="3" s="1"/>
  <c r="CS29" i="3"/>
  <c r="U45" i="3" s="1"/>
  <c r="CS52" i="3"/>
  <c r="T93" i="3" s="1"/>
  <c r="CS51" i="3"/>
  <c r="U92" i="3" s="1"/>
  <c r="CS15" i="3"/>
  <c r="U22" i="3" s="1"/>
  <c r="CS37" i="3"/>
  <c r="T63" i="3" s="1"/>
  <c r="CS7" i="3"/>
  <c r="U4" i="3" s="1"/>
  <c r="CS21" i="3"/>
  <c r="T31" i="3" s="1"/>
  <c r="CS45" i="3"/>
  <c r="T79" i="3" s="1"/>
  <c r="CS28" i="3"/>
  <c r="U48" i="3" s="1"/>
  <c r="CS14" i="3"/>
  <c r="U24" i="3" s="1"/>
  <c r="CS6" i="3"/>
  <c r="U8" i="3" s="1"/>
  <c r="CS32" i="3"/>
  <c r="U56" i="3" s="1"/>
  <c r="CS11" i="3"/>
  <c r="T17" i="3" s="1"/>
  <c r="CS13" i="3"/>
  <c r="T14" i="3" s="1"/>
  <c r="CS9" i="3"/>
  <c r="U5" i="3" s="1"/>
  <c r="CS47" i="3"/>
  <c r="U84" i="3" s="1"/>
  <c r="CS26" i="3"/>
  <c r="T46" i="3" s="1"/>
  <c r="CS38" i="3"/>
  <c r="T70" i="3" s="1"/>
  <c r="CS31" i="3"/>
  <c r="U55" i="3" s="1"/>
  <c r="CS49" i="3"/>
  <c r="U85" i="3" s="1"/>
  <c r="CS48" i="3"/>
  <c r="U89" i="3" s="1"/>
  <c r="CS19" i="3"/>
  <c r="U31" i="3" s="1"/>
  <c r="CS44" i="3"/>
  <c r="U80" i="3" s="1"/>
  <c r="CS40" i="3"/>
  <c r="U70" i="3" s="1"/>
  <c r="CS22" i="3"/>
  <c r="T38" i="3" s="1"/>
  <c r="CS10" i="3"/>
  <c r="T15" i="3" s="1"/>
  <c r="CS30" i="3"/>
  <c r="T52" i="3" s="1"/>
  <c r="CS17" i="3"/>
  <c r="T22" i="3" s="1"/>
  <c r="CS25" i="3"/>
  <c r="T39" i="3" s="1"/>
  <c r="CS12" i="3"/>
  <c r="T13" i="3" s="1"/>
  <c r="CS18" i="3"/>
  <c r="T30" i="3" s="1"/>
  <c r="CS8" i="3"/>
  <c r="U9" i="3" s="1"/>
  <c r="CS20" i="3"/>
  <c r="U30" i="3" s="1"/>
  <c r="CS16" i="3"/>
  <c r="U23" i="3" s="1"/>
  <c r="CS46" i="3"/>
  <c r="U88" i="3" s="1"/>
  <c r="CS39" i="3"/>
  <c r="U71" i="3" s="1"/>
  <c r="CS36" i="3"/>
  <c r="U62" i="3" s="1"/>
  <c r="CS43" i="3"/>
  <c r="T80" i="3" s="1"/>
  <c r="CS23" i="3"/>
  <c r="T40" i="3" s="1"/>
  <c r="CS42" i="3"/>
  <c r="T78" i="3" s="1"/>
  <c r="CS35" i="3"/>
  <c r="U63" i="3" s="1"/>
  <c r="U38" i="3"/>
  <c r="T37" i="3"/>
  <c r="CT17" i="3"/>
  <c r="T53" i="3"/>
  <c r="U13" i="3"/>
  <c r="T16" i="3"/>
  <c r="U54" i="3"/>
  <c r="T94" i="3"/>
  <c r="U28" i="3"/>
  <c r="U93" i="3"/>
  <c r="T96" i="3"/>
  <c r="U96" i="3"/>
  <c r="CT53" i="3" s="1"/>
  <c r="T57" i="3"/>
  <c r="T65" i="3"/>
  <c r="U69" i="3"/>
  <c r="T55" i="3"/>
  <c r="U6" i="3"/>
  <c r="T25" i="3"/>
  <c r="CT34" i="3"/>
  <c r="T60" i="3"/>
  <c r="T62" i="3"/>
  <c r="U20" i="3"/>
  <c r="T48" i="3"/>
  <c r="U44" i="3"/>
  <c r="T9" i="3"/>
  <c r="CT15" i="3"/>
  <c r="CT49" i="3"/>
  <c r="CT33" i="3" l="1"/>
  <c r="T32" i="3"/>
  <c r="U29" i="3"/>
  <c r="U61" i="3"/>
  <c r="U17" i="3"/>
  <c r="CT11" i="3" s="1"/>
  <c r="U49" i="3"/>
  <c r="T87" i="3"/>
  <c r="CT12" i="3"/>
  <c r="T33" i="3"/>
  <c r="U79" i="3"/>
  <c r="U15" i="3"/>
  <c r="T49" i="3"/>
  <c r="U12" i="3"/>
  <c r="U14" i="3"/>
  <c r="U95" i="3"/>
  <c r="CT28" i="3"/>
  <c r="T81" i="3"/>
  <c r="U77" i="3"/>
  <c r="CT44" i="3" s="1"/>
  <c r="T72" i="3"/>
  <c r="U87" i="3"/>
  <c r="T6" i="3"/>
  <c r="T89" i="3"/>
  <c r="U39" i="3"/>
  <c r="CT43" i="3"/>
  <c r="T24" i="3"/>
  <c r="U76" i="3"/>
  <c r="T88" i="3"/>
  <c r="U57" i="3"/>
  <c r="T4" i="3"/>
  <c r="CT7" i="3" s="1"/>
  <c r="U78" i="3"/>
  <c r="T77" i="3"/>
  <c r="U36" i="3"/>
  <c r="CT31" i="3"/>
  <c r="T97" i="3"/>
  <c r="CT52" i="3" s="1"/>
  <c r="T85" i="3"/>
  <c r="T47" i="3"/>
  <c r="T44" i="3"/>
  <c r="U41" i="3"/>
  <c r="T45" i="3"/>
  <c r="T56" i="3"/>
  <c r="CT32" i="3" s="1"/>
  <c r="T36" i="3"/>
  <c r="CT35" i="3"/>
  <c r="U60" i="3"/>
  <c r="U46" i="3"/>
  <c r="T64" i="3"/>
  <c r="CT23" i="3"/>
  <c r="T7" i="3"/>
  <c r="U21" i="3"/>
  <c r="U52" i="3"/>
  <c r="T73" i="3"/>
  <c r="T8" i="3"/>
  <c r="T23" i="3"/>
  <c r="U72" i="3"/>
  <c r="T86" i="3"/>
  <c r="CT48" i="3" s="1"/>
  <c r="T68" i="3"/>
  <c r="U97" i="3"/>
  <c r="CT51" i="3" s="1"/>
  <c r="U94" i="3"/>
  <c r="CT50" i="3" s="1"/>
  <c r="T20" i="3"/>
  <c r="U25" i="3"/>
  <c r="T54" i="3"/>
  <c r="U33" i="3"/>
  <c r="U16" i="3"/>
  <c r="U68" i="3"/>
  <c r="T61" i="3"/>
  <c r="CT37" i="3" s="1"/>
  <c r="T41" i="3"/>
  <c r="CT38" i="3"/>
  <c r="U86" i="3"/>
  <c r="T12" i="3"/>
  <c r="T21" i="3"/>
  <c r="T29" i="3"/>
  <c r="T28" i="3"/>
  <c r="T76" i="3"/>
  <c r="T5" i="3"/>
  <c r="U7" i="3"/>
  <c r="T84" i="3"/>
  <c r="U37" i="3"/>
  <c r="CT24" i="3" s="1"/>
  <c r="U81" i="3"/>
  <c r="U73" i="3"/>
  <c r="U32" i="3"/>
  <c r="T69" i="3"/>
  <c r="U64" i="3"/>
  <c r="CT40" i="3"/>
  <c r="CT19" i="3"/>
  <c r="CT21" i="3"/>
  <c r="CT6" i="3"/>
  <c r="CT14" i="3"/>
  <c r="CT46" i="3"/>
  <c r="CT45" i="3"/>
  <c r="CT20" i="3"/>
  <c r="CT30" i="3"/>
  <c r="CT26" i="3"/>
  <c r="CT18" i="3"/>
  <c r="CT16" i="3"/>
  <c r="CT13" i="3"/>
  <c r="CT27" i="3"/>
  <c r="CT41" i="3"/>
  <c r="CT39" i="3"/>
  <c r="CT10" i="3"/>
  <c r="CT9" i="3"/>
  <c r="CT36" i="3"/>
  <c r="CT8" i="3"/>
  <c r="CT29" i="3" l="1"/>
  <c r="CT47" i="3"/>
  <c r="CT22" i="3"/>
  <c r="CT42" i="3"/>
  <c r="CT25" i="3"/>
  <c r="CU53" i="3"/>
  <c r="CU43" i="3"/>
  <c r="CU49" i="3"/>
  <c r="CU48" i="3"/>
  <c r="CU45" i="3"/>
  <c r="CU24" i="3"/>
  <c r="CU41" i="3"/>
  <c r="CU21" i="3"/>
  <c r="CU27" i="3"/>
  <c r="CU38" i="3"/>
  <c r="CU30" i="3"/>
  <c r="CU10" i="3"/>
  <c r="CU26" i="3"/>
  <c r="CU20" i="3"/>
  <c r="CU35" i="3"/>
  <c r="CU50" i="3"/>
  <c r="CU31" i="3"/>
  <c r="CU18" i="3"/>
  <c r="CU11" i="3"/>
  <c r="CU19" i="3"/>
  <c r="CU46" i="3"/>
  <c r="CU32" i="3"/>
  <c r="CU33" i="3"/>
  <c r="CU15" i="3"/>
  <c r="CU14" i="3"/>
  <c r="CU34" i="3"/>
  <c r="CU17" i="3"/>
  <c r="CU12" i="3"/>
  <c r="CU16" i="3"/>
  <c r="CU40" i="3"/>
  <c r="CU28" i="3"/>
  <c r="CU22" i="3"/>
  <c r="CU39" i="3"/>
  <c r="CU8" i="3"/>
  <c r="CU37" i="3"/>
  <c r="CU23" i="3"/>
  <c r="CU9" i="3"/>
  <c r="CU51" i="3"/>
  <c r="CU7" i="3"/>
  <c r="CU6" i="3"/>
  <c r="CU52" i="3"/>
  <c r="CU13" i="3"/>
  <c r="CU36" i="3"/>
  <c r="CU29" i="3" l="1"/>
  <c r="CU47" i="3"/>
  <c r="CU25" i="3"/>
  <c r="CU44" i="3"/>
  <c r="CU42" i="3"/>
  <c r="CV29" i="3" l="1"/>
  <c r="CW29" i="3" s="1"/>
  <c r="CV20" i="3"/>
  <c r="CW20" i="3" s="1"/>
  <c r="CV27" i="3"/>
  <c r="CW27" i="3" s="1"/>
  <c r="CV38" i="3"/>
  <c r="CW38" i="3" s="1"/>
  <c r="CV34" i="3"/>
  <c r="CW34" i="3" s="1"/>
  <c r="CV11" i="3"/>
  <c r="CW11" i="3" s="1"/>
  <c r="CV53" i="3"/>
  <c r="CW53" i="3" s="1"/>
  <c r="CV36" i="3"/>
  <c r="CW36" i="3" s="1"/>
  <c r="CV50" i="3"/>
  <c r="CW50" i="3" s="1"/>
  <c r="CV18" i="3"/>
  <c r="CW18" i="3" s="1"/>
  <c r="CV23" i="3"/>
  <c r="CW23" i="3" s="1"/>
  <c r="CV40" i="3"/>
  <c r="CW40" i="3" s="1"/>
  <c r="CV15" i="3"/>
  <c r="CW15" i="3" s="1"/>
  <c r="CV12" i="3"/>
  <c r="CW12" i="3" s="1"/>
  <c r="CV49" i="3"/>
  <c r="CW49" i="3" s="1"/>
  <c r="CV14" i="3"/>
  <c r="CW14" i="3" s="1"/>
  <c r="CV6" i="3"/>
  <c r="CW6" i="3" s="1"/>
  <c r="CV21" i="3"/>
  <c r="CW21" i="3" s="1"/>
  <c r="CV22" i="3"/>
  <c r="CW22" i="3" s="1"/>
  <c r="CV52" i="3"/>
  <c r="CW52" i="3" s="1"/>
  <c r="CV33" i="3"/>
  <c r="CW33" i="3" s="1"/>
  <c r="CV45" i="3"/>
  <c r="CW45" i="3" s="1"/>
  <c r="CV48" i="3"/>
  <c r="CW48" i="3" s="1"/>
  <c r="CV44" i="3"/>
  <c r="CW44" i="3" s="1"/>
  <c r="CV17" i="3"/>
  <c r="CW17" i="3" s="1"/>
  <c r="CV26" i="3"/>
  <c r="CW26" i="3" s="1"/>
  <c r="CV46" i="3"/>
  <c r="CW46" i="3" s="1"/>
  <c r="CV16" i="3"/>
  <c r="CW16" i="3" s="1"/>
  <c r="CV51" i="3"/>
  <c r="CW51" i="3" s="1"/>
  <c r="CV24" i="3"/>
  <c r="CW24" i="3" s="1"/>
  <c r="CV43" i="3"/>
  <c r="CW43" i="3" s="1"/>
  <c r="CV39" i="3"/>
  <c r="CW39" i="3" s="1"/>
  <c r="CV10" i="3"/>
  <c r="CW10" i="3" s="1"/>
  <c r="CV31" i="3"/>
  <c r="CW31" i="3" s="1"/>
  <c r="CV32" i="3"/>
  <c r="CW32" i="3" s="1"/>
  <c r="CV37" i="3"/>
  <c r="CW37" i="3" s="1"/>
  <c r="CV30" i="3"/>
  <c r="CW30" i="3" s="1"/>
  <c r="CV42" i="3"/>
  <c r="CW42" i="3" s="1"/>
  <c r="CV19" i="3"/>
  <c r="CW19" i="3" s="1"/>
  <c r="CV41" i="3"/>
  <c r="CW41" i="3" s="1"/>
  <c r="CV7" i="3"/>
  <c r="CW7" i="3" s="1"/>
  <c r="CV47" i="3"/>
  <c r="CW47" i="3" s="1"/>
  <c r="CV25" i="3"/>
  <c r="CW25" i="3" s="1"/>
  <c r="CV9" i="3"/>
  <c r="CW9" i="3" s="1"/>
  <c r="CV13" i="3"/>
  <c r="CW13" i="3" s="1"/>
  <c r="CV8" i="3"/>
  <c r="CW8" i="3" s="1"/>
  <c r="CV28" i="3"/>
  <c r="CW28" i="3" s="1"/>
  <c r="CV35" i="3"/>
  <c r="CW35" i="3" s="1"/>
  <c r="CX10" i="3" l="1"/>
  <c r="CX12" i="3"/>
  <c r="CX23" i="3"/>
  <c r="CX24" i="3"/>
  <c r="CX9" i="3"/>
  <c r="CX25" i="3"/>
  <c r="CX43" i="3"/>
  <c r="CX13" i="3"/>
  <c r="CX53" i="3"/>
  <c r="CX40" i="3"/>
  <c r="CX29" i="3"/>
  <c r="CX16" i="3"/>
  <c r="CX48" i="3"/>
  <c r="CX6" i="3"/>
  <c r="CX7" i="3"/>
  <c r="CX41" i="3"/>
  <c r="CX18" i="3"/>
  <c r="CX26" i="3"/>
  <c r="CX34" i="3"/>
  <c r="CX21" i="3"/>
  <c r="CX35" i="3"/>
  <c r="CX28" i="3"/>
  <c r="CX8" i="3"/>
  <c r="CX19" i="3"/>
  <c r="CX15" i="3"/>
  <c r="CX37" i="3"/>
  <c r="CX38" i="3"/>
  <c r="CX11" i="3"/>
  <c r="CX49" i="3"/>
  <c r="CX39" i="3"/>
  <c r="CX36" i="3"/>
  <c r="CX27" i="3"/>
  <c r="CX46" i="3"/>
  <c r="CX17" i="3"/>
  <c r="CX45" i="3"/>
  <c r="CX30" i="3"/>
  <c r="CX32" i="3"/>
  <c r="CX51" i="3"/>
  <c r="CX20" i="3"/>
  <c r="CX42" i="3"/>
  <c r="CX47" i="3"/>
  <c r="CX22" i="3"/>
  <c r="CX52" i="3"/>
  <c r="CX14" i="3"/>
  <c r="CX50" i="3"/>
  <c r="CX31" i="3"/>
  <c r="CX33" i="3"/>
  <c r="CX44" i="3"/>
  <c r="CY7" i="3" l="1"/>
  <c r="CZ7" i="3" s="1"/>
  <c r="CY44" i="3"/>
  <c r="CZ44" i="3" s="1"/>
  <c r="CY51" i="3"/>
  <c r="CZ51" i="3" s="1"/>
  <c r="CY47" i="3"/>
  <c r="CZ47" i="3" s="1"/>
  <c r="CY52" i="3"/>
  <c r="CZ52" i="3" s="1"/>
  <c r="CY8" i="3"/>
  <c r="CZ8" i="3" s="1"/>
  <c r="CY29" i="3"/>
  <c r="CZ29" i="3" s="1"/>
  <c r="CY20" i="3"/>
  <c r="CZ20" i="3" s="1"/>
  <c r="CY14" i="3"/>
  <c r="CZ14" i="3" s="1"/>
  <c r="CY34" i="3"/>
  <c r="CZ34" i="3" s="1"/>
  <c r="CY22" i="3"/>
  <c r="CZ22" i="3" s="1"/>
  <c r="CY17" i="3"/>
  <c r="CZ17" i="3" s="1"/>
  <c r="CY36" i="3"/>
  <c r="CZ36" i="3" s="1"/>
  <c r="CY15" i="3"/>
  <c r="CZ15" i="3" s="1"/>
  <c r="CY45" i="3"/>
  <c r="CZ45" i="3" s="1"/>
  <c r="CY42" i="3"/>
  <c r="CZ42" i="3" s="1"/>
  <c r="CY19" i="3"/>
  <c r="CZ19" i="3" s="1"/>
  <c r="CY21" i="3"/>
  <c r="CZ21" i="3" s="1"/>
  <c r="CY40" i="3"/>
  <c r="CZ40" i="3" s="1"/>
  <c r="CY48" i="3"/>
  <c r="CZ48" i="3" s="1"/>
  <c r="CY31" i="3"/>
  <c r="CZ31" i="3" s="1"/>
  <c r="CY39" i="3"/>
  <c r="CZ39" i="3" s="1"/>
  <c r="CY13" i="3"/>
  <c r="CZ13" i="3" s="1"/>
  <c r="CY46" i="3"/>
  <c r="CZ46" i="3" s="1"/>
  <c r="CY23" i="3"/>
  <c r="CZ23" i="3" s="1"/>
  <c r="CY9" i="3"/>
  <c r="CZ9" i="3" s="1"/>
  <c r="CY16" i="3"/>
  <c r="CZ16" i="3" s="1"/>
  <c r="CY25" i="3"/>
  <c r="CZ25" i="3" s="1"/>
  <c r="CY27" i="3"/>
  <c r="CZ27" i="3" s="1"/>
  <c r="CY37" i="3"/>
  <c r="CZ37" i="3" s="1"/>
  <c r="CY32" i="3"/>
  <c r="CZ32" i="3" s="1"/>
  <c r="CY43" i="3"/>
  <c r="CZ43" i="3" s="1"/>
  <c r="CY28" i="3"/>
  <c r="CZ28" i="3" s="1"/>
  <c r="CY49" i="3"/>
  <c r="CZ49" i="3" s="1"/>
  <c r="CY35" i="3"/>
  <c r="CZ35" i="3" s="1"/>
  <c r="CY30" i="3"/>
  <c r="CZ30" i="3" s="1"/>
  <c r="CY11" i="3"/>
  <c r="CZ11" i="3" s="1"/>
  <c r="CY18" i="3"/>
  <c r="CZ18" i="3" s="1"/>
  <c r="CY41" i="3"/>
  <c r="CZ41" i="3" s="1"/>
  <c r="CY24" i="3"/>
  <c r="CZ24" i="3" s="1"/>
  <c r="CY38" i="3"/>
  <c r="CZ38" i="3" s="1"/>
  <c r="CY33" i="3"/>
  <c r="CZ33" i="3" s="1"/>
  <c r="CY6" i="3"/>
  <c r="CZ6" i="3" s="1"/>
  <c r="CY12" i="3"/>
  <c r="CZ12" i="3" s="1"/>
  <c r="CY50" i="3"/>
  <c r="CZ50" i="3" s="1"/>
  <c r="CY53" i="3"/>
  <c r="CZ53" i="3" s="1"/>
  <c r="CY26" i="3"/>
  <c r="CZ26" i="3" s="1"/>
  <c r="CY10" i="3"/>
  <c r="CZ10" i="3" s="1"/>
  <c r="DA51" i="3" l="1"/>
  <c r="DA30" i="3"/>
  <c r="DA23" i="3"/>
  <c r="DA34" i="3"/>
  <c r="DA39" i="3"/>
  <c r="DA20" i="3"/>
  <c r="DA53" i="3"/>
  <c r="DA43" i="3"/>
  <c r="DA28" i="3"/>
  <c r="DA49" i="3"/>
  <c r="DA19" i="3"/>
  <c r="DA21" i="3"/>
  <c r="DA44" i="3"/>
  <c r="DA10" i="3"/>
  <c r="DA9" i="3"/>
  <c r="DA36" i="3"/>
  <c r="DA13" i="3"/>
  <c r="DA50" i="3"/>
  <c r="DA22" i="3"/>
  <c r="DA16" i="3"/>
  <c r="DA52" i="3"/>
  <c r="DA45" i="3"/>
  <c r="DA7" i="3"/>
  <c r="DA6" i="3"/>
  <c r="DA14" i="3"/>
  <c r="DA12" i="3"/>
  <c r="DA41" i="3"/>
  <c r="DA11" i="3"/>
  <c r="DA29" i="3"/>
  <c r="DA48" i="3"/>
  <c r="DA32" i="3"/>
  <c r="DA46" i="3"/>
  <c r="DA40" i="3"/>
  <c r="DA47" i="3"/>
  <c r="DA17" i="3"/>
  <c r="DA26" i="3"/>
  <c r="DA18" i="3"/>
  <c r="DA42" i="3"/>
  <c r="DA27" i="3"/>
  <c r="DA24" i="3"/>
  <c r="DA33" i="3"/>
  <c r="DA35" i="3"/>
  <c r="DA8" i="3"/>
  <c r="DA38" i="3"/>
  <c r="DA37" i="3"/>
  <c r="DA25" i="3"/>
  <c r="DA15" i="3"/>
  <c r="DA31" i="3"/>
  <c r="DB21" i="3" l="1"/>
  <c r="DC21" i="3" s="1"/>
  <c r="DB37" i="3"/>
  <c r="DC37" i="3" s="1"/>
  <c r="DB12" i="3"/>
  <c r="DC12" i="3" s="1"/>
  <c r="DB40" i="3"/>
  <c r="DC40" i="3" s="1"/>
  <c r="DB38" i="3"/>
  <c r="DC38" i="3" s="1"/>
  <c r="DB44" i="3"/>
  <c r="DC44" i="3" s="1"/>
  <c r="DB28" i="3"/>
  <c r="DC28" i="3" s="1"/>
  <c r="DB48" i="3"/>
  <c r="DC48" i="3" s="1"/>
  <c r="DB27" i="3"/>
  <c r="DC27" i="3" s="1"/>
  <c r="DB30" i="3"/>
  <c r="DC30" i="3" s="1"/>
  <c r="DB49" i="3"/>
  <c r="DC49" i="3" s="1"/>
  <c r="DB34" i="3"/>
  <c r="DC34" i="3" s="1"/>
  <c r="DB6" i="3"/>
  <c r="DC6" i="3" s="1"/>
  <c r="DB35" i="3"/>
  <c r="DC35" i="3" s="1"/>
  <c r="DB42" i="3"/>
  <c r="DC42" i="3" s="1"/>
  <c r="DB25" i="3"/>
  <c r="DC25" i="3" s="1"/>
  <c r="DB23" i="3"/>
  <c r="DC23" i="3" s="1"/>
  <c r="DB36" i="3"/>
  <c r="DC36" i="3" s="1"/>
  <c r="DB15" i="3"/>
  <c r="DC15" i="3" s="1"/>
  <c r="DB32" i="3"/>
  <c r="DC32" i="3" s="1"/>
  <c r="DB53" i="3"/>
  <c r="DC53" i="3" s="1"/>
  <c r="DB13" i="3"/>
  <c r="DC13" i="3" s="1"/>
  <c r="DB20" i="3"/>
  <c r="DC20" i="3" s="1"/>
  <c r="DB17" i="3"/>
  <c r="DC17" i="3" s="1"/>
  <c r="DB52" i="3"/>
  <c r="DC52" i="3" s="1"/>
  <c r="DB8" i="3"/>
  <c r="DC8" i="3" s="1"/>
  <c r="DB18" i="3"/>
  <c r="DC18" i="3" s="1"/>
  <c r="DB26" i="3"/>
  <c r="DC26" i="3" s="1"/>
  <c r="DB19" i="3"/>
  <c r="DC19" i="3" s="1"/>
  <c r="DB11" i="3"/>
  <c r="DC11" i="3" s="1"/>
  <c r="DB51" i="3"/>
  <c r="DC51" i="3" s="1"/>
  <c r="DB29" i="3"/>
  <c r="DC29" i="3" s="1"/>
  <c r="DB33" i="3"/>
  <c r="DC33" i="3" s="1"/>
  <c r="DB14" i="3"/>
  <c r="DC14" i="3" s="1"/>
  <c r="DB22" i="3"/>
  <c r="DC22" i="3" s="1"/>
  <c r="DB10" i="3"/>
  <c r="DC10" i="3" s="1"/>
  <c r="DB16" i="3"/>
  <c r="DC16" i="3" s="1"/>
  <c r="DB9" i="3"/>
  <c r="DC9" i="3" s="1"/>
  <c r="DB45" i="3"/>
  <c r="DC45" i="3" s="1"/>
  <c r="DB24" i="3"/>
  <c r="DC24" i="3" s="1"/>
  <c r="DB39" i="3"/>
  <c r="DC39" i="3" s="1"/>
  <c r="DB46" i="3"/>
  <c r="DC46" i="3" s="1"/>
  <c r="DB43" i="3"/>
  <c r="DC43" i="3" s="1"/>
  <c r="DB7" i="3"/>
  <c r="DC7" i="3" s="1"/>
  <c r="DB41" i="3"/>
  <c r="DC41" i="3" s="1"/>
  <c r="DB47" i="3"/>
  <c r="DC47" i="3" s="1"/>
  <c r="DB31" i="3"/>
  <c r="DC31" i="3" s="1"/>
  <c r="DB50" i="3"/>
  <c r="DC50" i="3" s="1"/>
  <c r="DD47" i="3" l="1"/>
  <c r="BM47" i="3" s="1"/>
  <c r="DD16" i="3"/>
  <c r="BM16" i="3" s="1"/>
  <c r="DD44" i="3"/>
  <c r="BM44" i="3" s="1"/>
  <c r="DD48" i="3"/>
  <c r="BM48" i="3" s="1"/>
  <c r="DD23" i="3"/>
  <c r="BM23" i="3" s="1"/>
  <c r="DD14" i="3"/>
  <c r="BM14" i="3" s="1"/>
  <c r="DD27" i="3"/>
  <c r="BM27" i="3" s="1"/>
  <c r="DD36" i="3"/>
  <c r="BM36" i="3" s="1"/>
  <c r="DD18" i="3"/>
  <c r="BM18" i="3" s="1"/>
  <c r="DD21" i="3"/>
  <c r="BM21" i="3" s="1"/>
  <c r="DD33" i="3"/>
  <c r="BM33" i="3" s="1"/>
  <c r="DD7" i="3"/>
  <c r="BM7" i="3" s="1"/>
  <c r="DD34" i="3"/>
  <c r="BM34" i="3" s="1"/>
  <c r="DD40" i="3"/>
  <c r="BM40" i="3" s="1"/>
  <c r="DD26" i="3"/>
  <c r="BM26" i="3" s="1"/>
  <c r="DD42" i="3"/>
  <c r="BM42" i="3" s="1"/>
  <c r="DD50" i="3"/>
  <c r="BM50" i="3" s="1"/>
  <c r="DD49" i="3"/>
  <c r="BM49" i="3" s="1"/>
  <c r="DD38" i="3"/>
  <c r="BM38" i="3" s="1"/>
  <c r="DD20" i="3"/>
  <c r="BM20" i="3" s="1"/>
  <c r="DD15" i="3"/>
  <c r="BM15" i="3" s="1"/>
  <c r="DD24" i="3"/>
  <c r="BM24" i="3" s="1"/>
  <c r="DD10" i="3"/>
  <c r="BM10" i="3" s="1"/>
  <c r="DD29" i="3"/>
  <c r="BM29" i="3" s="1"/>
  <c r="DD39" i="3"/>
  <c r="BM39" i="3" s="1"/>
  <c r="DD6" i="3"/>
  <c r="BM6" i="3" s="1"/>
  <c r="AV6" i="3" s="1"/>
  <c r="DD51" i="3"/>
  <c r="BM51" i="3" s="1"/>
  <c r="DD46" i="3"/>
  <c r="BM46" i="3" s="1"/>
  <c r="DD22" i="3"/>
  <c r="BM22" i="3" s="1"/>
  <c r="DD52" i="3"/>
  <c r="BM52" i="3" s="1"/>
  <c r="DD11" i="3"/>
  <c r="BM11" i="3" s="1"/>
  <c r="DD30" i="3"/>
  <c r="BM30" i="3" s="1"/>
  <c r="DD13" i="3"/>
  <c r="BM13" i="3" s="1"/>
  <c r="DD31" i="3"/>
  <c r="BM31" i="3" s="1"/>
  <c r="DD45" i="3"/>
  <c r="BM45" i="3" s="1"/>
  <c r="DD25" i="3"/>
  <c r="BM25" i="3" s="1"/>
  <c r="DD19" i="3"/>
  <c r="BM19" i="3" s="1"/>
  <c r="DD41" i="3"/>
  <c r="BM41" i="3" s="1"/>
  <c r="DD43" i="3"/>
  <c r="BM43" i="3" s="1"/>
  <c r="DD32" i="3"/>
  <c r="BM32" i="3" s="1"/>
  <c r="DD37" i="3"/>
  <c r="BM37" i="3" s="1"/>
  <c r="DD17" i="3"/>
  <c r="BM17" i="3" s="1"/>
  <c r="DD28" i="3"/>
  <c r="BM28" i="3" s="1"/>
  <c r="DD35" i="3"/>
  <c r="BM35" i="3" s="1"/>
  <c r="DD8" i="3"/>
  <c r="BM8" i="3" s="1"/>
  <c r="DD9" i="3"/>
  <c r="BM9" i="3" s="1"/>
  <c r="DD12" i="3"/>
  <c r="BM12" i="3" s="1"/>
  <c r="DD53" i="3"/>
  <c r="BM53" i="3" s="1"/>
  <c r="DQ6" i="3" l="1"/>
  <c r="DJ6" i="3" s="1"/>
  <c r="DQ8" i="3"/>
  <c r="DJ8" i="3" s="1"/>
  <c r="AV8" i="3"/>
  <c r="AV78" i="3"/>
  <c r="DQ20" i="3"/>
  <c r="DJ20" i="3" s="1"/>
  <c r="DQ33" i="3"/>
  <c r="DJ33" i="3" s="1"/>
  <c r="DQ37" i="3"/>
  <c r="DJ37" i="3" s="1"/>
  <c r="DQ32" i="3"/>
  <c r="DJ32" i="3" s="1"/>
  <c r="DQ7" i="3"/>
  <c r="DJ7" i="3" s="1"/>
  <c r="DQ13" i="3"/>
  <c r="DJ13" i="3" s="1"/>
  <c r="DQ29" i="3"/>
  <c r="DJ29" i="3" s="1"/>
  <c r="AV16" i="3"/>
  <c r="AV64" i="3"/>
  <c r="DQ21" i="3"/>
  <c r="DJ21" i="3" s="1"/>
  <c r="DQ28" i="3"/>
  <c r="DJ28" i="3" s="1"/>
  <c r="AV87" i="3"/>
  <c r="AV88" i="3"/>
  <c r="AV40" i="3"/>
  <c r="DQ9" i="3"/>
  <c r="DJ9" i="3" s="1"/>
  <c r="AV94" i="3"/>
  <c r="AV81" i="3"/>
  <c r="DQ24" i="3"/>
  <c r="DJ24" i="3" s="1"/>
  <c r="AV33" i="3"/>
  <c r="DQ23" i="3"/>
  <c r="DJ23" i="3" s="1"/>
  <c r="DQ26" i="3"/>
  <c r="DJ26" i="3" s="1"/>
  <c r="DQ15" i="3"/>
  <c r="DJ15" i="3" s="1"/>
  <c r="DQ45" i="3"/>
  <c r="DJ45" i="3" s="1"/>
  <c r="DQ35" i="3"/>
  <c r="DJ35" i="3" s="1"/>
  <c r="AV62" i="3"/>
  <c r="DQ12" i="3"/>
  <c r="DJ12" i="3" s="1"/>
  <c r="AV14" i="3"/>
  <c r="DQ10" i="3"/>
  <c r="DJ10" i="3" s="1"/>
  <c r="DQ42" i="3"/>
  <c r="DJ42" i="3" s="1"/>
  <c r="AV63" i="3"/>
  <c r="DQ34" i="3"/>
  <c r="DJ34" i="3" s="1"/>
  <c r="AV55" i="3"/>
  <c r="DQ44" i="3"/>
  <c r="DJ44" i="3" s="1"/>
  <c r="DQ25" i="3"/>
  <c r="DJ25" i="3" s="1"/>
  <c r="AV72" i="3"/>
  <c r="AV79" i="3"/>
  <c r="DQ11" i="3"/>
  <c r="DJ11" i="3" s="1"/>
  <c r="DQ14" i="3"/>
  <c r="DJ14" i="3" s="1"/>
  <c r="AV49" i="3"/>
  <c r="AV24" i="3"/>
  <c r="DQ52" i="3"/>
  <c r="DJ52" i="3" s="1"/>
  <c r="AV41" i="3"/>
  <c r="DQ49" i="3"/>
  <c r="DJ49" i="3" s="1"/>
  <c r="AV95" i="3"/>
  <c r="AV96" i="3"/>
  <c r="DQ43" i="3"/>
  <c r="DJ43" i="3" s="1"/>
  <c r="AV65" i="3"/>
  <c r="DQ16" i="3"/>
  <c r="DJ16" i="3" s="1"/>
  <c r="AV57" i="3"/>
  <c r="AV89" i="3"/>
  <c r="AV25" i="3"/>
  <c r="DQ46" i="3"/>
  <c r="DJ46" i="3" s="1"/>
  <c r="AV71" i="3"/>
  <c r="DQ41" i="3"/>
  <c r="DJ41" i="3" s="1"/>
  <c r="AV17" i="3"/>
  <c r="AV70" i="3"/>
  <c r="DQ19" i="3"/>
  <c r="DJ19" i="3" s="1"/>
  <c r="AV22" i="3"/>
  <c r="DQ17" i="3"/>
  <c r="DJ17" i="3" s="1"/>
  <c r="AV73" i="3"/>
  <c r="AV9" i="3"/>
  <c r="DQ39" i="3"/>
  <c r="DJ39" i="3" s="1"/>
  <c r="DQ40" i="3"/>
  <c r="DJ40" i="3" s="1"/>
  <c r="DQ51" i="3"/>
  <c r="DJ51" i="3" s="1"/>
  <c r="AV97" i="3"/>
  <c r="AV31" i="3"/>
  <c r="DQ31" i="3"/>
  <c r="DJ31" i="3" s="1"/>
  <c r="AV38" i="3"/>
  <c r="DQ22" i="3"/>
  <c r="DJ22" i="3" s="1"/>
  <c r="AV32" i="3"/>
  <c r="DQ48" i="3"/>
  <c r="DJ48" i="3" s="1"/>
  <c r="DQ53" i="3"/>
  <c r="DJ53" i="3" s="1"/>
  <c r="DQ27" i="3"/>
  <c r="DJ27" i="3" s="1"/>
  <c r="AV46" i="3"/>
  <c r="AV80" i="3"/>
  <c r="AV48" i="3"/>
  <c r="AV47" i="3"/>
  <c r="AV23" i="3"/>
  <c r="AV30" i="3"/>
  <c r="DQ47" i="3"/>
  <c r="DJ47" i="3" s="1"/>
  <c r="DQ50" i="3"/>
  <c r="DJ50" i="3" s="1"/>
  <c r="AV7" i="3"/>
  <c r="DF7" i="3" s="1"/>
  <c r="AV39" i="3"/>
  <c r="DQ38" i="3"/>
  <c r="DJ38" i="3" s="1"/>
  <c r="AV86" i="3"/>
  <c r="DQ30" i="3"/>
  <c r="DJ30" i="3" s="1"/>
  <c r="AV56" i="3"/>
  <c r="AV15" i="3"/>
  <c r="AV54" i="3"/>
  <c r="DQ18" i="3"/>
  <c r="DJ18" i="3" s="1"/>
  <c r="DQ36" i="3"/>
  <c r="DJ36" i="3" s="1"/>
  <c r="DL9" i="3" l="1"/>
  <c r="AU9" i="3" s="1"/>
  <c r="DF8" i="3"/>
  <c r="DL29" i="3"/>
  <c r="DN29" i="3" s="1" a="1"/>
  <c r="DN29" i="3" s="1"/>
  <c r="DL19" i="3"/>
  <c r="AU31" i="3" s="1"/>
  <c r="DL44" i="3"/>
  <c r="AU80" i="3" s="1"/>
  <c r="DL6" i="3"/>
  <c r="AU6" i="3" s="1"/>
  <c r="DL36" i="3"/>
  <c r="AU64" i="3" s="1"/>
  <c r="DL34" i="3"/>
  <c r="AU62" i="3" s="1"/>
  <c r="DL24" i="3"/>
  <c r="AU40" i="3" s="1"/>
  <c r="DL47" i="3"/>
  <c r="AU87" i="3" s="1"/>
  <c r="DL53" i="3"/>
  <c r="AU97" i="3" s="1"/>
  <c r="DL45" i="3"/>
  <c r="DN45" i="3" s="1" a="1"/>
  <c r="DN45" i="3" s="1"/>
  <c r="DL39" i="3"/>
  <c r="AU71" i="3" s="1"/>
  <c r="DL17" i="3"/>
  <c r="AU25" i="3" s="1"/>
  <c r="DL51" i="3"/>
  <c r="AU95" i="3" s="1"/>
  <c r="DL11" i="3"/>
  <c r="DM11" i="3" s="1"/>
  <c r="DL22" i="3"/>
  <c r="AU38" i="3" s="1"/>
  <c r="DL37" i="3"/>
  <c r="AU65" i="3" s="1"/>
  <c r="DL12" i="3"/>
  <c r="AU16" i="3" s="1"/>
  <c r="DL32" i="3"/>
  <c r="AU56" i="3" s="1"/>
  <c r="DL21" i="3"/>
  <c r="AU33" i="3" s="1"/>
  <c r="DL18" i="3"/>
  <c r="AU30" i="3" s="1"/>
  <c r="DL14" i="3"/>
  <c r="DM14" i="3" s="1"/>
  <c r="DL35" i="3"/>
  <c r="AU63" i="3" s="1"/>
  <c r="DL52" i="3"/>
  <c r="AU96" i="3" s="1"/>
  <c r="DL10" i="3"/>
  <c r="AU14" i="3" s="1"/>
  <c r="DL42" i="3"/>
  <c r="AU78" i="3" s="1"/>
  <c r="DL41" i="3"/>
  <c r="AU73" i="3" s="1"/>
  <c r="DL40" i="3"/>
  <c r="AU72" i="3" s="1"/>
  <c r="DL8" i="3"/>
  <c r="AU8" i="3" s="1"/>
  <c r="DL13" i="3"/>
  <c r="AU17" i="3" s="1"/>
  <c r="DL25" i="3"/>
  <c r="AU41" i="3" s="1"/>
  <c r="DL23" i="3"/>
  <c r="AU39" i="3" s="1"/>
  <c r="DL20" i="3"/>
  <c r="DN20" i="3" s="1" a="1"/>
  <c r="DN20" i="3" s="1"/>
  <c r="DL7" i="3"/>
  <c r="DN7" i="3" s="1" a="1"/>
  <c r="DN7" i="3" s="1"/>
  <c r="DL50" i="3"/>
  <c r="DN50" i="3" s="1" a="1"/>
  <c r="DN50" i="3" s="1"/>
  <c r="DL27" i="3"/>
  <c r="AU47" i="3" s="1"/>
  <c r="DL30" i="3"/>
  <c r="AU54" i="3" s="1"/>
  <c r="DL48" i="3"/>
  <c r="AU88" i="3" s="1"/>
  <c r="DL31" i="3"/>
  <c r="AU55" i="3" s="1"/>
  <c r="DL43" i="3"/>
  <c r="AU79" i="3" s="1"/>
  <c r="DL38" i="3"/>
  <c r="AU70" i="3" s="1"/>
  <c r="DL15" i="3"/>
  <c r="AU23" i="3" s="1"/>
  <c r="DL49" i="3"/>
  <c r="AU89" i="3" s="1"/>
  <c r="DL33" i="3"/>
  <c r="AU57" i="3" s="1"/>
  <c r="DL26" i="3"/>
  <c r="DM26" i="3" s="1"/>
  <c r="DL28" i="3"/>
  <c r="AU48" i="3" s="1"/>
  <c r="DL16" i="3"/>
  <c r="AU24" i="3" s="1"/>
  <c r="DL46" i="3"/>
  <c r="AU86" i="3" s="1"/>
  <c r="DM32" i="3"/>
  <c r="DN19" i="3" a="1"/>
  <c r="DN19" i="3" s="1"/>
  <c r="DN37" i="3" a="1"/>
  <c r="DN37" i="3" s="1"/>
  <c r="DM19" i="3"/>
  <c r="DN17" i="3" a="1"/>
  <c r="DN17" i="3" s="1"/>
  <c r="DM20" i="3"/>
  <c r="DN47" i="3" a="1"/>
  <c r="DN47" i="3" s="1"/>
  <c r="DM44" i="3"/>
  <c r="DM29" i="3"/>
  <c r="AU49" i="3"/>
  <c r="DN44" i="3" a="1"/>
  <c r="DN44" i="3" s="1"/>
  <c r="DM47" i="3"/>
  <c r="DN12" i="3" a="1"/>
  <c r="DN12" i="3" s="1"/>
  <c r="DN9" i="3" a="1"/>
  <c r="DN9" i="3" s="1"/>
  <c r="DM39" i="3"/>
  <c r="DM41" i="3"/>
  <c r="DN41" i="3" a="1"/>
  <c r="DN41" i="3" s="1"/>
  <c r="AU46" i="3" l="1"/>
  <c r="AU45" i="3" s="1"/>
  <c r="AV44" i="3" s="1"/>
  <c r="DN38" i="3" a="1"/>
  <c r="DN38" i="3" s="1"/>
  <c r="DM45" i="3"/>
  <c r="DM22" i="3"/>
  <c r="DN10" i="3" a="1"/>
  <c r="DN10" i="3" s="1"/>
  <c r="DN51" i="3" a="1"/>
  <c r="DN51" i="3" s="1"/>
  <c r="AU32" i="3"/>
  <c r="AU29" i="3" s="1"/>
  <c r="AV28" i="3" s="1"/>
  <c r="DN13" i="3" a="1"/>
  <c r="DN13" i="3" s="1"/>
  <c r="AU22" i="3"/>
  <c r="AU21" i="3" s="1"/>
  <c r="AV20" i="3" s="1"/>
  <c r="DN36" i="3" a="1"/>
  <c r="DN36" i="3" s="1"/>
  <c r="DN34" i="3" a="1"/>
  <c r="DN34" i="3" s="1"/>
  <c r="DM36" i="3"/>
  <c r="DM51" i="3"/>
  <c r="DN35" i="3" a="1"/>
  <c r="DN35" i="3" s="1"/>
  <c r="DN22" i="3" a="1"/>
  <c r="DN22" i="3" s="1"/>
  <c r="AU15" i="3"/>
  <c r="AU13" i="3" s="1"/>
  <c r="AV12" i="3" s="1"/>
  <c r="DF10" i="3" s="1"/>
  <c r="DM25" i="3"/>
  <c r="DN32" i="3" a="1"/>
  <c r="DN32" i="3" s="1"/>
  <c r="DN16" i="3" a="1"/>
  <c r="DN16" i="3" s="1"/>
  <c r="DM17" i="3"/>
  <c r="AU61" i="3"/>
  <c r="AV60" i="3" s="1"/>
  <c r="DN8" i="3" a="1"/>
  <c r="DN8" i="3" s="1"/>
  <c r="DN6" i="3" a="1"/>
  <c r="DN6" i="3" s="1"/>
  <c r="DN18" i="3" a="1"/>
  <c r="DN18" i="3" s="1"/>
  <c r="DM6" i="3"/>
  <c r="DM8" i="3"/>
  <c r="DN24" i="3" a="1"/>
  <c r="DN24" i="3" s="1"/>
  <c r="DM35" i="3"/>
  <c r="DN11" i="3" a="1"/>
  <c r="DN11" i="3" s="1"/>
  <c r="DM9" i="3"/>
  <c r="DM24" i="3"/>
  <c r="DM52" i="3"/>
  <c r="AU53" i="3"/>
  <c r="AV52" i="3" s="1"/>
  <c r="DN53" i="3" a="1"/>
  <c r="DN53" i="3" s="1"/>
  <c r="DM53" i="3"/>
  <c r="DM34" i="3"/>
  <c r="DM23" i="3"/>
  <c r="DN42" i="3" a="1"/>
  <c r="DN42" i="3" s="1"/>
  <c r="DN43" i="3" a="1"/>
  <c r="DN43" i="3" s="1"/>
  <c r="AU37" i="3"/>
  <c r="AV36" i="3" s="1"/>
  <c r="DN21" i="3" a="1"/>
  <c r="DN21" i="3" s="1"/>
  <c r="DN52" i="3" a="1"/>
  <c r="DN52" i="3" s="1"/>
  <c r="AU69" i="3"/>
  <c r="AV68" i="3" s="1"/>
  <c r="DM43" i="3"/>
  <c r="DN23" i="3" a="1"/>
  <c r="DN23" i="3" s="1"/>
  <c r="DN49" i="3" a="1"/>
  <c r="DN49" i="3" s="1"/>
  <c r="AU81" i="3"/>
  <c r="AU77" i="3" s="1"/>
  <c r="AV76" i="3" s="1"/>
  <c r="DM21" i="3"/>
  <c r="DM16" i="3"/>
  <c r="DN27" i="3" a="1"/>
  <c r="DN27" i="3" s="1"/>
  <c r="DM37" i="3"/>
  <c r="DN25" i="3" a="1"/>
  <c r="DN25" i="3" s="1"/>
  <c r="DN33" i="3" a="1"/>
  <c r="DN33" i="3" s="1"/>
  <c r="DM27" i="3"/>
  <c r="DM50" i="3"/>
  <c r="DM30" i="3"/>
  <c r="DN31" i="3" a="1"/>
  <c r="DN31" i="3" s="1"/>
  <c r="DM18" i="3"/>
  <c r="AU94" i="3"/>
  <c r="AU93" i="3" s="1"/>
  <c r="AV92" i="3" s="1"/>
  <c r="DN39" i="3" a="1"/>
  <c r="DN39" i="3" s="1"/>
  <c r="DM40" i="3"/>
  <c r="DM31" i="3"/>
  <c r="DM49" i="3"/>
  <c r="DN26" i="3" a="1"/>
  <c r="DN26" i="3" s="1"/>
  <c r="DM38" i="3"/>
  <c r="DN40" i="3" a="1"/>
  <c r="DN40" i="3" s="1"/>
  <c r="DM10" i="3"/>
  <c r="DN30" i="3" a="1"/>
  <c r="DN30" i="3" s="1"/>
  <c r="AU85" i="3"/>
  <c r="AV84" i="3" s="1"/>
  <c r="DM12" i="3"/>
  <c r="DN48" i="3" a="1"/>
  <c r="DN48" i="3" s="1"/>
  <c r="DM46" i="3"/>
  <c r="DN46" i="3" a="1"/>
  <c r="DN46" i="3" s="1"/>
  <c r="DM7" i="3"/>
  <c r="DM48" i="3"/>
  <c r="DN14" i="3" a="1"/>
  <c r="DN14" i="3" s="1"/>
  <c r="DM42" i="3"/>
  <c r="AU7" i="3"/>
  <c r="AU5" i="3" s="1"/>
  <c r="AV4" i="3" s="1"/>
  <c r="DM13" i="3"/>
  <c r="DN28" i="3" a="1"/>
  <c r="DN28" i="3" s="1"/>
  <c r="DM33" i="3"/>
  <c r="DN15" i="3" a="1"/>
  <c r="DN15" i="3" s="1"/>
  <c r="DM15" i="3"/>
  <c r="DM28" i="3"/>
  <c r="DF9" i="3"/>
  <c r="DF21" i="3" l="1"/>
  <c r="DF14" i="3"/>
  <c r="DF37" i="3"/>
  <c r="DF12" i="3"/>
  <c r="DF16" i="3"/>
  <c r="DF25" i="3"/>
  <c r="DF24" i="3"/>
  <c r="DF19" i="3"/>
  <c r="DF23" i="3"/>
  <c r="DF22" i="3"/>
  <c r="DF18"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C228" i="31"/>
  <c r="AM14" i="45"/>
  <c r="C229" i="31"/>
  <c r="AM38" i="45" a="1"/>
  <c r="AM38" i="45" s="1"/>
  <c r="M138" i="3"/>
  <c r="AA138" i="3" s="1"/>
  <c r="B102" i="46" s="1"/>
  <c r="AG131" i="3"/>
  <c r="D138" i="3" l="1"/>
  <c r="M147" i="3" s="1"/>
  <c r="AA147" i="3"/>
  <c r="B105" i="46" s="1"/>
  <c r="AM37" i="45"/>
  <c r="C233" i="31"/>
  <c r="H139" i="3"/>
  <c r="AF143" i="3"/>
  <c r="C104" i="46" s="1"/>
  <c r="C227" i="31"/>
  <c r="B233" i="31"/>
  <c r="AA150" i="3"/>
  <c r="D147" i="3"/>
  <c r="AG147" i="3" s="1"/>
  <c r="N147" i="3"/>
  <c r="AG139" i="3"/>
  <c r="N143" i="3"/>
  <c r="AU26" i="45"/>
  <c r="C241" i="31"/>
  <c r="H138" i="3"/>
  <c r="AA143" i="3"/>
  <c r="B104" i="46" s="1"/>
  <c r="AU25" i="45"/>
  <c r="C232" i="31"/>
  <c r="AM13" i="45"/>
  <c r="B232" i="31"/>
  <c r="C226" i="31"/>
  <c r="AA151" i="3" l="1"/>
  <c r="BB23" i="45" s="1"/>
  <c r="H147" i="3"/>
  <c r="M143" i="3"/>
  <c r="AG138" i="3"/>
  <c r="C247" i="31"/>
  <c r="B247" i="31"/>
  <c r="C240" i="31"/>
  <c r="AQ32" i="45"/>
  <c r="D143" i="3"/>
  <c r="AG143" i="3" s="1"/>
  <c r="AA152" i="3"/>
  <c r="AZ25" i="45" s="1"/>
  <c r="C237" i="31"/>
  <c r="BA21" i="45"/>
  <c r="AG150" i="3"/>
  <c r="C250" i="31"/>
  <c r="AQ31" i="45"/>
  <c r="C244" i="31"/>
  <c r="C236" i="31"/>
  <c r="B244" i="31"/>
  <c r="C251" i="31" l="1"/>
  <c r="BN42" i="45" s="1"/>
  <c r="AG151" i="3"/>
  <c r="C252" i="31"/>
  <c r="BM44" i="45" s="1"/>
  <c r="AG152" i="3"/>
  <c r="AJ155" i="3" s="1"/>
  <c r="BN35" i="45"/>
  <c r="BN17" i="45"/>
  <c r="BN40" i="45"/>
  <c r="BN11" i="45"/>
  <c r="BN21" i="45"/>
  <c r="BN44" i="45"/>
  <c r="BN27" i="45"/>
  <c r="BN23" i="45"/>
  <c r="BN18" i="45"/>
  <c r="BN20" i="45"/>
  <c r="BN46" i="45"/>
  <c r="BN30" i="45"/>
  <c r="BN10" i="45"/>
  <c r="BN43" i="45"/>
  <c r="BN4" i="45"/>
  <c r="BN25" i="45"/>
  <c r="BN8" i="45"/>
  <c r="BN47" i="45"/>
  <c r="BN13" i="45"/>
  <c r="BN24" i="45"/>
  <c r="BN32" i="45"/>
  <c r="BN26" i="45"/>
  <c r="BN14" i="45"/>
  <c r="BN38" i="45"/>
  <c r="BN45" i="45"/>
  <c r="BN41"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N5" i="45" l="1"/>
  <c r="BN51" i="45"/>
  <c r="BN15" i="45"/>
  <c r="BN36" i="45"/>
  <c r="BN28" i="45"/>
  <c r="BN22" i="45"/>
  <c r="BN29" i="45"/>
  <c r="BN12" i="45"/>
  <c r="BN48" i="45"/>
  <c r="BN49" i="45"/>
  <c r="BN31" i="45"/>
  <c r="BN50" i="45"/>
  <c r="BN33" i="45"/>
  <c r="BN9" i="45"/>
  <c r="BN7" i="45"/>
  <c r="BN37" i="45"/>
  <c r="BN39" i="45"/>
  <c r="BN16" i="45"/>
  <c r="BN34" i="45"/>
  <c r="BN6" i="45"/>
  <c r="BN19" i="45"/>
  <c r="BM36" i="45"/>
  <c r="BM47" i="45"/>
  <c r="BL47" i="45" s="1"/>
  <c r="BK47" i="45" s="1"/>
  <c r="BJ47" i="45" s="1"/>
  <c r="BI47" i="45" s="1"/>
  <c r="BH47" i="45" s="1"/>
  <c r="BM17" i="45"/>
  <c r="BL17" i="45" s="1"/>
  <c r="BK17" i="45" s="1"/>
  <c r="BJ17" i="45" s="1"/>
  <c r="BI17" i="45" s="1"/>
  <c r="BH17" i="45" s="1"/>
  <c r="BM10" i="45"/>
  <c r="BL10" i="45" s="1"/>
  <c r="BK10" i="45" s="1"/>
  <c r="BJ10" i="45" s="1"/>
  <c r="BI10" i="45" s="1"/>
  <c r="BH10" i="45" s="1"/>
  <c r="BM35" i="45"/>
  <c r="BM24" i="45"/>
  <c r="BL24" i="45" s="1"/>
  <c r="BK24" i="45" s="1"/>
  <c r="BJ24" i="45" s="1"/>
  <c r="BI24" i="45" s="1"/>
  <c r="BH24" i="45" s="1"/>
  <c r="BM29" i="45"/>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M8" i="45"/>
  <c r="BL8" i="45" s="1"/>
  <c r="BK8" i="45" s="1"/>
  <c r="BJ8" i="45" s="1"/>
  <c r="BI8" i="45" s="1"/>
  <c r="BH8" i="45" s="1"/>
  <c r="BL44" i="45"/>
  <c r="BK44" i="45" s="1"/>
  <c r="BJ44" i="45" s="1"/>
  <c r="BI44" i="45" s="1"/>
  <c r="BH44" i="45" s="1"/>
  <c r="BL35" i="45"/>
  <c r="BK35" i="45" s="1"/>
  <c r="BJ35" i="45" s="1"/>
  <c r="BI35" i="45" s="1"/>
  <c r="BH35" i="45" s="1"/>
  <c r="BL29" i="45" l="1"/>
  <c r="BK29" i="45" s="1"/>
  <c r="BJ29" i="45" s="1"/>
  <c r="BI29" i="45" s="1"/>
  <c r="BH29" i="45" s="1"/>
  <c r="BL7" i="45"/>
  <c r="BK7" i="45" s="1"/>
  <c r="BJ7" i="45" s="1"/>
  <c r="BI7" i="45" s="1"/>
  <c r="BH7" i="45" s="1"/>
  <c r="BL12" i="45"/>
  <c r="BK12" i="45" s="1"/>
  <c r="BJ12" i="45" s="1"/>
  <c r="BI12" i="45" s="1"/>
  <c r="BH12" i="45" s="1"/>
  <c r="BL34" i="45"/>
  <c r="BK34" i="45" s="1"/>
  <c r="BJ34" i="45" s="1"/>
  <c r="BI34" i="45" s="1"/>
  <c r="BH34" i="45" s="1"/>
  <c r="BL36" i="45"/>
  <c r="BK36" i="45" s="1"/>
  <c r="BJ36" i="45" s="1"/>
  <c r="BI36" i="45" s="1"/>
  <c r="BH36"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<sst xmlns="http://schemas.openxmlformats.org/spreadsheetml/2006/main" count="6814" uniqueCount="1536">
  <si>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</si>
  <si>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</si>
  <si>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</si>
  <si>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</si>
  <si>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</si>
  <si>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</si>
  <si>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</si>
  <si>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</si>
  <si>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</si>
  <si>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</si>
  <si>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</si>
  <si>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</si>
  <si>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</si>
  <si>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</si>
  <si>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</si>
  <si>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</si>
  <si>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</si>
  <si>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</si>
  <si>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</si>
  <si>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</si>
  <si>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</si>
  <si>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</si>
  <si>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</si>
  <si>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</si>
  <si>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</si>
  <si>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</si>
  <si>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</si>
  <si>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</si>
  <si>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</si>
  <si>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</si>
  <si>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</si>
  <si>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</si>
  <si>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</si>
  <si>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</si>
  <si>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</si>
  <si>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</si>
  <si>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</si>
  <si>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</si>
  <si>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</si>
  <si>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</si>
  <si>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</si>
  <si>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</si>
  <si>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</si>
  <si>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</si>
  <si>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</si>
  <si>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</si>
  <si>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</si>
  <si>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</si>
  <si>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</si>
  <si>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</si>
  <si>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</si>
  <si>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</si>
  <si>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</si>
  <si>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</si>
  <si>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</si>
  <si>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</si>
  <si>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</si>
  <si>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</si>
  <si>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</si>
  <si>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</si>
  <si>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</si>
  <si>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</si>
  <si>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</si>
  <si>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</si>
  <si>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</si>
  <si>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</si>
  <si>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</si>
  <si>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</si>
  <si>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</si>
  <si>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</si>
  <si>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</si>
  <si>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</si>
  <si>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</si>
  <si>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</si>
  <si>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</si>
  <si>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</si>
  <si>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</si>
  <si>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</si>
  <si>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</si>
  <si>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</si>
  <si>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</si>
  <si>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</si>
  <si>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</si>
  <si>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</si>
  <si>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</si>
  <si>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</si>
  <si>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</si>
  <si>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</si>
  <si>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</si>
  <si>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</si>
  <si>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</si>
  <si>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</si>
  <si>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</si>
  <si>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</si>
  <si>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</si>
  <si>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</si>
  <si>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</si>
  <si>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</si>
  <si>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</si>
  <si>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</si>
  <si>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</si>
  <si>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</si>
  <si>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</si>
  <si>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</si>
  <si>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</si>
  <si>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</si>
  <si>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</si>
  <si>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</si>
  <si>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</si>
  <si>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</si>
  <si>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</si>
  <si>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</si>
  <si>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</si>
  <si>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</si>
  <si>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</si>
  <si>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</si>
  <si>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</si>
  <si>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</si>
  <si>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</si>
  <si>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</si>
  <si>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</si>
  <si>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</si>
  <si>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</si>
  <si>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</si>
  <si>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</si>
  <si>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</si>
  <si>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</si>
  <si>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</si>
  <si>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</si>
  <si>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</si>
  <si>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</si>
  <si>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</si>
  <si>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</si>
  <si>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</si>
  <si>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</si>
  <si>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</si>
  <si>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</si>
  <si>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</si>
  <si>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</si>
  <si>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</si>
  <si>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</si>
  <si>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</si>
  <si>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</si>
  <si>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</si>
  <si>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</si>
  <si>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</si>
  <si>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</si>
  <si>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</si>
  <si>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</si>
  <si>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</si>
  <si>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</si>
  <si>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</si>
  <si>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</si>
  <si>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</si>
  <si>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</si>
  <si>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</si>
  <si>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</si>
  <si>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</si>
  <si>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</si>
  <si>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</si>
  <si>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</si>
  <si>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</si>
  <si>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</si>
  <si>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</si>
  <si>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</si>
  <si>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</si>
  <si>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</si>
  <si>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</si>
  <si>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</si>
  <si>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</si>
  <si>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</si>
  <si>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</si>
  <si>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</si>
  <si>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</si>
  <si>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</si>
  <si>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</si>
  <si>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</si>
  <si>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</si>
  <si>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</si>
  <si>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</si>
  <si>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</si>
  <si>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</si>
  <si>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</si>
  <si>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</si>
  <si>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</si>
  <si>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</si>
  <si>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</si>
  <si>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</si>
  <si>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</si>
  <si>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</si>
  <si>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</si>
  <si>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</si>
  <si>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</si>
  <si>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</si>
  <si>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</si>
  <si>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</si>
  <si>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</si>
  <si>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</si>
  <si>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</si>
  <si>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</si>
  <si>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</si>
  <si>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</si>
  <si>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</si>
  <si>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</si>
  <si>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</si>
  <si>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</si>
  <si>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</si>
  <si>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</si>
  <si>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</si>
  <si>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</si>
  <si>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</si>
  <si>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</si>
  <si>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</si>
  <si>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</si>
  <si>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</si>
  <si>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</si>
  <si>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</si>
  <si>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</si>
  <si>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</si>
  <si>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</si>
  <si>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</si>
  <si>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</si>
  <si>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</si>
  <si>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</si>
  <si>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</si>
  <si>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</si>
  <si>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</si>
  <si>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</si>
  <si>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</si>
  <si>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</si>
  <si>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</si>
  <si>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</si>
  <si>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</si>
  <si>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</si>
  <si>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</si>
  <si>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</si>
  <si>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</si>
  <si>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</si>
  <si>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</si>
  <si>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</si>
  <si>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</si>
  <si>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</si>
  <si>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</si>
  <si>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</si>
  <si>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</si>
  <si>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</si>
  <si>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</si>
  <si>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</si>
  <si>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</si>
  <si>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</si>
  <si>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</si>
  <si>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</si>
  <si>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</si>
  <si>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</si>
  <si>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</si>
  <si>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</si>
  <si>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</si>
  <si>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</si>
  <si>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</si>
  <si>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</si>
  <si>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</si>
  <si>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</si>
  <si>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</si>
  <si>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</si>
  <si>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</si>
  <si>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</si>
  <si>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</si>
  <si>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</si>
  <si>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</si>
  <si>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</si>
  <si>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</si>
  <si>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</si>
  <si>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</si>
  <si>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</si>
  <si>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</si>
  <si>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</si>
  <si>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</si>
  <si>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</si>
  <si>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</si>
  <si>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</si>
  <si>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</si>
  <si>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</si>
  <si>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</si>
  <si>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</si>
  <si>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</si>
  <si>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</si>
  <si>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</si>
  <si>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</si>
  <si>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</si>
  <si>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</si>
  <si>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</si>
  <si>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</si>
  <si>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</si>
  <si>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</si>
  <si>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</si>
  <si>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</si>
  <si>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</si>
  <si>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</si>
  <si>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</si>
  <si>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</si>
  <si>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</si>
  <si>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</si>
  <si>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</si>
  <si>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</si>
  <si>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</si>
  <si>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</si>
  <si>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</si>
  <si>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</si>
  <si>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</si>
  <si>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</si>
  <si>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</si>
  <si>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</si>
  <si>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</si>
  <si>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</si>
  <si>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</si>
  <si>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</si>
  <si>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</si>
  <si>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</si>
  <si>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</si>
  <si>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</si>
  <si>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</si>
  <si>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</si>
  <si>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</si>
  <si>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</si>
  <si>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</si>
  <si>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</si>
  <si>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</si>
  <si>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</si>
  <si>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</si>
  <si>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</si>
  <si>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</si>
  <si>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</si>
  <si>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</si>
  <si>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</si>
  <si>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</si>
  <si>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</si>
  <si>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</si>
  <si>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</si>
  <si>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</si>
  <si>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</si>
  <si>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</si>
  <si>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</si>
  <si>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</si>
  <si>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</si>
  <si>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</si>
  <si>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</si>
  <si>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</si>
  <si>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</si>
  <si>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</si>
  <si>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</si>
  <si>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</si>
  <si>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</si>
  <si>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</si>
  <si>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</si>
  <si>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</si>
  <si>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</si>
  <si>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</si>
  <si>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</si>
  <si>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</si>
  <si>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</si>
  <si>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</si>
  <si>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</si>
  <si>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</si>
  <si>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</si>
  <si>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</si>
  <si>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</si>
  <si>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</si>
  <si>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</si>
  <si>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</si>
  <si>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</si>
  <si>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</si>
  <si>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</si>
  <si>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</si>
  <si>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</si>
  <si>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</si>
  <si>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</si>
  <si>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</si>
  <si>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</si>
  <si>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</si>
  <si>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</si>
  <si>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</si>
  <si>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</si>
  <si>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</si>
  <si>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</si>
  <si>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</si>
  <si>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</si>
  <si>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</si>
  <si>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</si>
  <si>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</si>
  <si>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</si>
  <si>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</si>
  <si>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</si>
  <si>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</si>
  <si>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</si>
  <si>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</si>
  <si>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</si>
  <si>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</si>
  <si>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</si>
  <si>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</si>
  <si>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</si>
  <si>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</si>
  <si>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</si>
  <si>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</si>
  <si>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</si>
  <si>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</si>
  <si>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</si>
  <si>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</si>
  <si>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</si>
  <si>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</si>
  <si>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</si>
  <si>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</si>
  <si>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</si>
  <si>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</si>
  <si>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</si>
  <si>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</si>
  <si>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</si>
  <si>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</si>
  <si>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</si>
  <si>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</si>
  <si>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</si>
  <si>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</si>
  <si>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</si>
  <si>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</si>
  <si>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</si>
  <si>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</si>
  <si>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</si>
  <si>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</si>
  <si>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</si>
  <si>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</si>
  <si>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</si>
  <si>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</si>
  <si>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</si>
  <si>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</si>
  <si>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</si>
  <si>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</si>
  <si>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</si>
  <si>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</si>
  <si>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</si>
  <si>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</si>
  <si>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</si>
  <si>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</si>
  <si>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</si>
  <si>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</si>
  <si>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</si>
  <si>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</si>
  <si>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</si>
  <si>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</si>
  <si>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</si>
  <si>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</si>
  <si>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</si>
  <si>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</si>
  <si>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</si>
  <si>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</si>
  <si>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</si>
  <si>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</si>
  <si>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</si>
  <si>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</si>
  <si>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</si>
  <si>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</si>
  <si>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</si>
  <si>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</si>
  <si>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</si>
  <si>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</si>
  <si>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</si>
  <si>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</si>
  <si>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</si>
  <si>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</si>
  <si>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</si>
  <si>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</si>
  <si>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</si>
  <si>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</si>
  <si>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</si>
  <si>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</si>
  <si>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</si>
  <si>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</si>
  <si>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</si>
  <si>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</si>
  <si>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</si>
  <si>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</si>
  <si>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</si>
  <si>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</si>
  <si>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</si>
  <si>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</si>
  <si>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</si>
  <si>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</si>
  <si>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</si>
  <si>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</si>
  <si>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</si>
  <si>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</si>
  <si>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</si>
  <si>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</si>
  <si>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</si>
  <si>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</si>
  <si>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</si>
  <si>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</si>
  <si>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</si>
  <si>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</si>
  <si>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</si>
  <si>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</si>
  <si>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</si>
  <si>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</si>
  <si>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</si>
  <si>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</si>
  <si>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</si>
  <si>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</si>
  <si>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</si>
  <si>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</si>
  <si>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</si>
  <si>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</si>
  <si>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</si>
  <si>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</si>
  <si>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</si>
  <si>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</si>
  <si>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</si>
  <si>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</si>
  <si>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</si>
  <si>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</si>
  <si>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</si>
  <si>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</si>
  <si>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</si>
  <si>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</si>
  <si>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</si>
  <si>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</si>
  <si>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</si>
  <si>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</si>
  <si>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</si>
  <si>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</si>
  <si>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</si>
  <si>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</si>
  <si>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</si>
  <si>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</si>
  <si>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</si>
  <si>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</si>
  <si>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</si>
  <si>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</si>
  <si>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</si>
  <si>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</si>
  <si>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</si>
  <si>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</si>
  <si>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</si>
  <si>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</si>
  <si>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</si>
  <si>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</si>
  <si>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</si>
  <si>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</si>
  <si>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</si>
  <si>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</si>
  <si>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</si>
  <si>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</si>
  <si>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</si>
  <si>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</si>
  <si>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</si>
  <si>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</si>
  <si>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</si>
  <si>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</si>
  <si>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</si>
  <si>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</si>
  <si>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</si>
  <si>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</si>
  <si>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</si>
  <si>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</si>
  <si>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</si>
  <si>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</si>
  <si>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</si>
  <si>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</si>
  <si>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</si>
  <si>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</si>
  <si>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</si>
  <si>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</si>
  <si>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</si>
  <si>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</si>
  <si>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</si>
  <si>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</si>
  <si>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</si>
  <si>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</si>
  <si>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</si>
  <si>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</si>
  <si>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</si>
  <si>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</si>
  <si>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</si>
  <si>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</si>
  <si>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</si>
  <si>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</si>
  <si>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</si>
  <si>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</si>
  <si>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</si>
  <si>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</si>
  <si>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</si>
  <si>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</si>
  <si>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</si>
  <si>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</si>
  <si>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</si>
  <si>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</si>
  <si>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</si>
  <si>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</si>
  <si>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</si>
  <si>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</si>
  <si>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</si>
  <si>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</si>
  <si>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</si>
  <si>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</si>
  <si>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</si>
  <si>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</si>
  <si>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</si>
  <si>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</si>
  <si>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</si>
  <si>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</si>
  <si>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</si>
  <si>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</si>
  <si>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</si>
  <si>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</si>
  <si>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</si>
  <si>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</si>
  <si>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</si>
  <si>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</si>
  <si>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</si>
  <si>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</si>
  <si>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</si>
  <si>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</si>
  <si>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</si>
  <si>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</si>
  <si>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</si>
  <si>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</si>
  <si>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</si>
  <si>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</si>
  <si>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</si>
  <si>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</si>
  <si>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</si>
  <si>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</si>
  <si>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</si>
  <si>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</si>
  <si>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</si>
  <si>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</si>
  <si>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</si>
  <si>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</si>
  <si>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</si>
  <si>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</si>
  <si>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</si>
  <si>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</si>
  <si>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</si>
  <si>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</si>
  <si>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</si>
  <si>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</si>
  <si>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</si>
  <si>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</si>
  <si>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</si>
  <si>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</si>
  <si>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</si>
  <si>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</si>
  <si>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</si>
  <si>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</si>
  <si>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</si>
  <si>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</si>
  <si>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</si>
  <si>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</si>
  <si>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</si>
  <si>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</si>
  <si>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</si>
  <si>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</si>
  <si>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</si>
  <si>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</si>
  <si>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</si>
  <si>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</si>
  <si>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</si>
  <si>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</si>
  <si>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</si>
  <si>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</si>
  <si>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</si>
  <si>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</si>
  <si>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</si>
  <si>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</si>
  <si>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</si>
  <si>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</si>
  <si>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</si>
  <si>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</si>
  <si>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</si>
  <si>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</si>
  <si>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</si>
  <si>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</si>
  <si>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</si>
  <si>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</si>
  <si>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</si>
  <si>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</si>
  <si>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</si>
  <si>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</si>
  <si>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</si>
  <si>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</si>
  <si>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</si>
  <si>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</si>
  <si>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</si>
  <si>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</si>
  <si>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</si>
  <si>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</si>
  <si>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</si>
  <si>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</si>
  <si>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</si>
  <si>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</si>
  <si>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</si>
  <si>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</si>
  <si>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</si>
  <si>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</si>
  <si>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</si>
  <si>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</si>
  <si>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</si>
  <si>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</si>
  <si>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</si>
  <si>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</si>
  <si>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</si>
  <si>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</si>
  <si>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</si>
  <si>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</si>
  <si>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</si>
  <si>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</si>
  <si>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</si>
  <si>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</si>
  <si>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</si>
  <si>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</si>
  <si>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</si>
  <si>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</si>
  <si>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</si>
  <si>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</si>
  <si>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</si>
  <si>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</si>
  <si>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</si>
  <si>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</si>
  <si>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</si>
  <si>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</si>
  <si>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</si>
  <si>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</si>
  <si>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</si>
  <si>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</si>
  <si>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</si>
  <si>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</si>
  <si>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</si>
  <si>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</si>
  <si>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</si>
  <si>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</si>
  <si>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</si>
  <si>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</si>
  <si>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</si>
  <si>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</si>
  <si>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</si>
  <si>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</si>
  <si>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</si>
  <si>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</si>
  <si>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</si>
  <si>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</si>
  <si>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</si>
  <si>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</si>
  <si>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</si>
  <si>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</si>
  <si>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</si>
  <si>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</si>
  <si>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</si>
  <si>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</si>
  <si>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</si>
  <si>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</si>
  <si>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</si>
  <si>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</si>
  <si>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</si>
  <si>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</si>
  <si>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</si>
  <si>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</si>
  <si>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</si>
  <si>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</si>
  <si>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</si>
  <si>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</si>
  <si>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</si>
  <si>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</si>
  <si>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</si>
  <si>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</si>
  <si>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</si>
  <si>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</si>
  <si>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</si>
  <si>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</si>
  <si>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</si>
  <si>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</si>
  <si>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</si>
  <si>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</si>
  <si>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</si>
  <si>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</si>
  <si>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</si>
  <si>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</si>
  <si>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</si>
  <si>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</si>
  <si>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</si>
  <si>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</si>
  <si>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</si>
  <si>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</si>
  <si>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</si>
  <si>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</si>
  <si>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</si>
  <si>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</si>
  <si>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</si>
  <si>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</si>
  <si>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</si>
  <si>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</si>
  <si>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</si>
  <si>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</si>
  <si>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</si>
  <si>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</si>
  <si>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</si>
  <si>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</si>
  <si>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</si>
  <si>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</si>
  <si>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</si>
  <si>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</si>
  <si>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</si>
  <si>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</si>
  <si>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</si>
  <si>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</si>
  <si>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</si>
  <si>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</si>
  <si>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</si>
  <si>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</si>
  <si>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</si>
  <si>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</si>
  <si>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</si>
  <si>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</si>
  <si>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</si>
  <si>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</si>
  <si>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</si>
  <si>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</si>
  <si>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</si>
  <si>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</si>
  <si>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</si>
  <si>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</si>
  <si>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</si>
  <si>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</si>
  <si>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</si>
  <si>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</si>
  <si>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</si>
  <si>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</si>
  <si>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</si>
  <si>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</si>
  <si>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</si>
  <si>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</si>
  <si>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</si>
  <si>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</si>
  <si>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</si>
  <si>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</si>
  <si>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</si>
  <si>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</si>
  <si>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</si>
  <si>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</si>
  <si>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</si>
  <si>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</si>
  <si>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</si>
  <si>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</si>
  <si>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</si>
  <si>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</si>
  <si>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</si>
  <si>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</si>
  <si>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</si>
  <si>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</si>
  <si>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</si>
  <si>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</si>
  <si>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</si>
  <si>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</si>
  <si>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</si>
  <si>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</si>
  <si>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</si>
  <si>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</si>
  <si>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</si>
  <si>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</si>
  <si>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</si>
  <si>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</si>
  <si>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</si>
  <si>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</si>
  <si>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</si>
  <si>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</si>
  <si>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</si>
  <si>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</si>
  <si>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</si>
  <si>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</si>
  <si>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</si>
  <si>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</si>
  <si>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</si>
  <si>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</si>
  <si>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</si>
  <si>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</si>
  <si>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</si>
  <si>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</si>
  <si>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</si>
  <si>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</si>
  <si>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</si>
  <si>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</si>
  <si>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</si>
  <si>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</si>
  <si>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</si>
  <si>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</si>
  <si>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</si>
  <si>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</si>
  <si>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</si>
  <si>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</si>
  <si>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</si>
  <si>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</si>
  <si>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</si>
  <si>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</si>
  <si>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</si>
  <si>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</si>
  <si>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</si>
  <si>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</si>
  <si>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</si>
  <si>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</si>
  <si>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</si>
  <si>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</si>
  <si>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</si>
  <si>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</si>
  <si>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</si>
  <si>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</si>
  <si>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</si>
  <si>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</si>
  <si>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</si>
  <si>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</si>
  <si>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</si>
  <si>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</si>
  <si>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</si>
  <si>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</si>
  <si>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</si>
  <si>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</si>
  <si>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</si>
  <si>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</si>
  <si>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</si>
  <si>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</si>
  <si>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</si>
  <si>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</si>
  <si>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</si>
  <si>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</si>
  <si>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</si>
  <si>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</si>
  <si>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</si>
  <si>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</si>
  <si>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</si>
  <si>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</si>
  <si>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</si>
  <si>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</si>
  <si>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</si>
  <si>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</si>
  <si>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</si>
  <si>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</si>
  <si>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</si>
  <si>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</si>
  <si>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</si>
  <si>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</si>
  <si>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</si>
  <si>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</si>
  <si>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</si>
  <si>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</si>
  <si>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</si>
  <si>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</si>
  <si>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</si>
  <si>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</si>
  <si>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</si>
  <si>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</si>
  <si>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</si>
  <si>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</si>
  <si>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</si>
  <si>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</si>
  <si>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</si>
  <si>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</si>
  <si>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</si>
  <si>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</si>
  <si>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</si>
  <si>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</si>
  <si>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</si>
  <si>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</si>
  <si>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</si>
  <si>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</si>
  <si>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</si>
  <si>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</si>
  <si>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</si>
  <si>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</si>
  <si>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</si>
  <si>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</si>
  <si>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</si>
  <si>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</si>
  <si>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</si>
  <si>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</si>
  <si>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</si>
  <si>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</si>
  <si>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</si>
  <si>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</si>
  <si>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</si>
  <si>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</si>
  <si>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</si>
  <si>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</si>
  <si>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</si>
  <si>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</si>
  <si>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</si>
  <si>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</si>
  <si>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</si>
  <si>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</si>
  <si>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</si>
  <si>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</si>
  <si>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</si>
  <si>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</si>
  <si>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</si>
  <si>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</si>
  <si>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</si>
  <si>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</si>
  <si>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</si>
  <si>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</si>
  <si>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</si>
  <si>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</si>
  <si>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</si>
  <si>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</si>
  <si>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</si>
  <si>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</si>
  <si>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</si>
  <si>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</si>
  <si>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</si>
  <si>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</si>
  <si>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</si>
  <si>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</si>
  <si>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</si>
  <si>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</si>
  <si>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</si>
  <si>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</si>
  <si>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</si>
  <si>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</si>
  <si>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</si>
  <si>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</si>
  <si>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</si>
  <si>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</si>
  <si>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</si>
  <si>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</si>
  <si>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</si>
  <si>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</si>
  <si>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</si>
  <si>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</si>
  <si>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</si>
  <si>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</si>
  <si>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</si>
  <si>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</si>
  <si>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</si>
  <si>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</si>
  <si>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</si>
  <si>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</si>
  <si>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</si>
  <si>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</si>
  <si>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</si>
  <si>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</si>
  <si>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</si>
  <si>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</si>
  <si>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</si>
  <si>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</si>
  <si>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</si>
  <si>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</si>
  <si>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</si>
  <si>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</si>
  <si>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</si>
  <si>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</si>
  <si>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</si>
  <si>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</si>
  <si>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</si>
  <si>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</si>
  <si>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</si>
  <si>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</si>
  <si>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</si>
  <si>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</si>
  <si>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</si>
  <si>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</si>
  <si>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</si>
  <si>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</si>
  <si>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</si>
  <si>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</si>
  <si>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</si>
  <si>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</si>
  <si>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</si>
  <si>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</si>
  <si>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</si>
  <si>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</si>
  <si>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</si>
  <si>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</si>
  <si>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</si>
  <si>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</si>
  <si>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</si>
  <si>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</si>
  <si>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</si>
  <si>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</si>
  <si>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</si>
  <si>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</si>
  <si>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</si>
  <si>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</si>
  <si>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</si>
  <si>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</si>
  <si>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</si>
  <si>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</si>
  <si>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</si>
  <si>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</si>
  <si>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</si>
  <si>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</si>
  <si>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</si>
  <si>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</si>
  <si>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</si>
  <si>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</si>
  <si>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</si>
  <si>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</si>
  <si>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</si>
  <si>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</si>
  <si>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</si>
  <si>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</si>
  <si>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</si>
  <si>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</si>
  <si>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</si>
  <si>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</si>
  <si>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</si>
  <si>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</si>
  <si>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</si>
  <si>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</si>
  <si>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</si>
  <si>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</si>
  <si>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</si>
  <si>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</si>
  <si>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</si>
  <si>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</si>
  <si>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</si>
  <si>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</si>
  <si>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</si>
  <si>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</si>
  <si>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</si>
  <si>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</si>
  <si>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</si>
  <si>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</si>
  <si>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</si>
  <si>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</si>
  <si>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</si>
  <si>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</si>
  <si>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</si>
  <si>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</si>
  <si>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</si>
  <si>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</si>
  <si>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</si>
  <si>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</si>
  <si>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</si>
  <si>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</si>
  <si>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</si>
  <si>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</si>
  <si>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</si>
  <si>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</si>
  <si>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</si>
  <si>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</si>
  <si>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</si>
  <si>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</si>
  <si>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</si>
  <si>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</si>
  <si>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</si>
  <si>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</si>
  <si>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</si>
  <si>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</si>
  <si>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</si>
  <si>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</si>
  <si>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</si>
  <si>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</si>
  <si>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</si>
  <si>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</si>
  <si>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</si>
  <si>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</si>
  <si>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</si>
  <si>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</si>
  <si>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</si>
  <si>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</si>
  <si>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</si>
  <si>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</si>
  <si>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</si>
  <si>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</si>
  <si>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</si>
  <si>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</si>
  <si>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</si>
  <si>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</si>
  <si>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</si>
  <si>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</si>
  <si>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</si>
  <si>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</si>
  <si>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</si>
  <si>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</si>
  <si>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</si>
  <si>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</si>
  <si>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</si>
  <si>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</si>
  <si>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</si>
  <si>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</si>
  <si>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</si>
  <si>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</si>
  <si>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</si>
  <si>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</si>
  <si>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</si>
  <si>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</si>
  <si>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</si>
  <si>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</si>
  <si>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</si>
  <si>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</si>
  <si>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</si>
  <si>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</si>
  <si>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</si>
  <si>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</si>
  <si>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</si>
  <si>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</si>
  <si>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</si>
  <si>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</si>
  <si>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</si>
  <si>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</si>
  <si>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</si>
  <si>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</si>
  <si>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</si>
  <si>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</si>
  <si>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</si>
  <si>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</si>
  <si>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</si>
  <si>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</si>
  <si>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</si>
  <si>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</si>
  <si>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</si>
  <si>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</si>
  <si>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</si>
  <si>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</si>
  <si>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</si>
  <si>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</si>
  <si>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</si>
  <si>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</si>
  <si>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</si>
  <si>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</si>
  <si>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</si>
  <si>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</si>
  <si>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</si>
  <si>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</si>
  <si>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</si>
  <si>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</si>
  <si>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</si>
  <si>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</si>
  <si>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</si>
  <si>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</si>
  <si>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</si>
  <si>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</si>
  <si>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</si>
  <si>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</si>
  <si>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</si>
  <si>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</si>
  <si>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</si>
  <si>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</si>
  <si>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</si>
  <si>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</si>
  <si>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</si>
  <si>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</si>
  <si>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</si>
  <si>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</si>
  <si>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</si>
  <si>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</si>
  <si>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</si>
  <si>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</si>
  <si>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</si>
  <si>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</si>
  <si>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</si>
  <si>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</si>
  <si>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</si>
  <si>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</si>
  <si>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</si>
  <si>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</si>
  <si>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</si>
  <si>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</si>
  <si>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</si>
  <si>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</si>
  <si>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</si>
  <si>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</si>
  <si>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</si>
  <si>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</si>
  <si>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</si>
  <si>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</si>
  <si>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</si>
  <si>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</si>
  <si>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</si>
  <si>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</si>
  <si>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</si>
  <si>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</si>
  <si>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</si>
  <si>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</si>
  <si>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</si>
  <si>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</si>
  <si>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</si>
  <si>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</si>
  <si>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</si>
  <si>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</si>
  <si>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</si>
  <si>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</si>
  <si>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</si>
  <si>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</si>
  <si>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</si>
  <si>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</si>
  <si>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</si>
  <si>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</si>
  <si>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</si>
  <si>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</si>
  <si>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</si>
  <si>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</si>
  <si>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</si>
  <si>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</si>
  <si>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</si>
  <si>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</si>
  <si>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</si>
  <si>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</si>
  <si>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</si>
  <si>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</si>
  <si>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</si>
  <si>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</si>
  <si>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</si>
  <si>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</si>
  <si>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</si>
  <si>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</si>
  <si>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</si>
  <si>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</si>
  <si>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</si>
  <si>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</si>
  <si>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</si>
  <si>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</si>
  <si>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</si>
  <si>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</si>
  <si>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</si>
  <si>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</si>
  <si>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</si>
  <si>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</si>
  <si>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</si>
  <si>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</si>
  <si>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</si>
  <si>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</si>
  <si>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</si>
  <si>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</si>
  <si>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</si>
  <si>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</si>
  <si>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</si>
  <si>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</si>
  <si>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</si>
  <si>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</si>
  <si>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</si>
  <si>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</si>
  <si>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</si>
  <si>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</si>
  <si>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</si>
  <si>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</si>
  <si>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</si>
  <si>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</si>
  <si>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</si>
  <si>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</si>
  <si>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</si>
  <si>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</si>
  <si>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</si>
  <si>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</si>
  <si>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</si>
  <si>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</si>
  <si>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</si>
  <si>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</si>
  <si>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</si>
  <si>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</si>
  <si>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</si>
  <si>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</si>
  <si>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</si>
  <si>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</si>
  <si>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</si>
  <si>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</si>
  <si>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</si>
  <si>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</si>
  <si>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</si>
  <si>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</si>
  <si>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</si>
  <si>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</si>
  <si>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</si>
  <si>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</si>
  <si>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</si>
  <si>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</si>
  <si>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</si>
  <si>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</si>
  <si>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</si>
  <si>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</si>
  <si>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</si>
  <si>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</si>
  <si>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</si>
  <si>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</si>
  <si>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</si>
  <si>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</si>
  <si>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</si>
  <si>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</si>
  <si>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</si>
  <si>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</si>
  <si>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</si>
  <si>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</si>
  <si>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</si>
  <si>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</si>
  <si>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</si>
  <si>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</si>
  <si>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</si>
  <si>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</si>
  <si>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</si>
  <si>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</si>
  <si>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</si>
  <si>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</si>
  <si>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</si>
  <si>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</si>
  <si>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</si>
  <si>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</si>
  <si>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</si>
  <si>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</si>
  <si>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</si>
  <si>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</si>
  <si>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</si>
  <si>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</si>
  <si>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</si>
  <si>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</si>
  <si>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</si>
  <si>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</si>
  <si>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</si>
  <si>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</si>
  <si>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</si>
  <si>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</si>
  <si>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</si>
  <si>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</si>
  <si>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</si>
  <si>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</si>
  <si>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</si>
  <si>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</si>
  <si>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</si>
  <si>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</si>
  <si>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</si>
  <si>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</si>
  <si>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</si>
  <si>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</si>
  <si>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</si>
  <si>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</si>
  <si>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</si>
  <si>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</si>
  <si>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</si>
  <si>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</si>
  <si>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</si>
  <si>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</si>
  <si>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</si>
  <si>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</si>
  <si>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</si>
  <si>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</si>
  <si>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</si>
  <si>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</si>
  <si>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</si>
  <si>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</si>
  <si>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</si>
  <si>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</si>
  <si>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</si>
  <si>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</si>
  <si>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</si>
  <si>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</si>
  <si>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</si>
  <si>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</si>
  <si>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</si>
  <si>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</si>
  <si>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</si>
  <si>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</si>
  <si>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</si>
  <si>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</si>
  <si>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</si>
  <si>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</si>
  <si>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</si>
  <si>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</si>
  <si>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</si>
  <si>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</si>
  <si>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</si>
  <si>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</si>
  <si>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</si>
  <si>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</si>
  <si>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</si>
  <si>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</si>
  <si>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</si>
  <si>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</si>
  <si>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</si>
  <si>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</si>
  <si>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</si>
  <si>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</si>
  <si>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</si>
  <si>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</si>
  <si>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</si>
  <si>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</si>
  <si>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</si>
  <si>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</si>
  <si>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</si>
  <si>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</si>
  <si>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</si>
  <si>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</si>
  <si>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</si>
  <si>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</si>
  <si>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</si>
  <si>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</si>
  <si>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</si>
  <si>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</si>
  <si>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</si>
  <si>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</si>
  <si>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</si>
  <si>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</si>
  <si>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</si>
  <si>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</si>
  <si>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</si>
  <si>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</si>
  <si>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</si>
  <si>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</si>
  <si>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</si>
  <si>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</si>
  <si>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</si>
  <si>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</si>
  <si>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</si>
  <si>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</si>
  <si>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</si>
  <si>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</si>
  <si>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</si>
  <si>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</si>
  <si>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</si>
  <si>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</si>
  <si>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</si>
  <si>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</si>
  <si>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</si>
  <si>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</si>
  <si>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</si>
  <si>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</si>
  <si>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</si>
  <si>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</si>
  <si>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</si>
  <si>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</si>
  <si>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</si>
  <si>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</si>
  <si>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</si>
  <si>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</si>
  <si>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</si>
  <si>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</si>
  <si>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</si>
  <si>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</si>
  <si>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</si>
  <si>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</si>
  <si>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</si>
  <si>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</si>
  <si>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Vitinha</t>
  </si>
  <si>
    <t>&lt;</t>
  </si>
  <si>
    <t>Havertz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</si>
</sst>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theme="1" tint="0.249977111117893"/>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3">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97" fillId="0" borderId="0" xfId="0" applyFont="1"/>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2" fillId="36" borderId="0" xfId="0" quotePrefix="1" applyNumberFormat="1" applyFont="1" applyFill="1" applyAlignment="1" applyProtection="1">
      <alignment horizontal="center" vertical="top"/>
      <protection hidden="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14" fontId="82" fillId="13" borderId="0" xfId="0" applyNumberFormat="1" applyFont="1" applyFill="1" applyAlignment="1" applyProtection="1">
      <alignment horizontal="center" vertical="center" textRotation="2"/>
      <protection hidden="1"/>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14" fontId="84" fillId="3" borderId="0" xfId="0" quotePrefix="1" applyNumberFormat="1" applyFont="1" applyFill="1" applyAlignment="1" applyProtection="1">
      <alignment horizontal="center" vertical="center"/>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14" fontId="82" fillId="35" borderId="0" xfId="0" quotePrefix="1" applyNumberFormat="1" applyFont="1" applyFill="1" applyAlignment="1" applyProtection="1">
      <alignment horizontal="center" vertical="top"/>
      <protection hidden="1"/>
    </xf>
    <xf numFmtId="0" fontId="82"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2</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82" customWidth="1"/>
    <col min="2" max="2" width="15.81640625" style="282" customWidth="1"/>
    <col min="3" max="3" width="26.81640625" style="282" customWidth="1"/>
    <col min="4" max="4" width="5.81640625" style="282" customWidth="1"/>
    <col min="5" max="9" width="11.36328125" style="302" customWidth="1"/>
    <col min="10" max="10" width="5.81640625" style="302" customWidth="1"/>
    <col min="11" max="11" width="26.81640625" style="302" customWidth="1"/>
    <col min="12" max="12" width="15.81640625" style="282" customWidth="1"/>
    <col min="13" max="13" width="10.453125" style="282" customWidth="1"/>
    <col min="14" max="15" width="10.81640625" style="282" customWidth="1"/>
    <col min="16" max="16" width="12.08984375" style="282" customWidth="1"/>
    <col min="17" max="17" width="6.08984375" style="282" customWidth="1"/>
    <col min="18" max="31" width="10.81640625" style="282" customWidth="1"/>
    <col min="32" max="16384" width="10.8164062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 customHeight="1">
      <c r="A3" s="281"/>
      <c r="B3" s="660" t="str">
        <f>Idiomas!D8</f>
        <v>XXIII Mundial USA/MEX/CAN 2026</v>
      </c>
      <c r="C3" s="660"/>
      <c r="D3" s="660"/>
      <c r="E3" s="660"/>
      <c r="F3" s="660"/>
      <c r="G3" s="660"/>
      <c r="H3" s="660"/>
      <c r="I3" s="660"/>
      <c r="J3" s="660"/>
      <c r="K3" s="660"/>
      <c r="L3" s="660"/>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 customHeight="1" thickBot="1">
      <c r="A16" s="281"/>
      <c r="B16" s="281"/>
      <c r="C16" s="281"/>
      <c r="D16" s="281"/>
      <c r="E16" s="658" t="str">
        <f>HYPERLINK(Idiomas!D10,Idiomas!D5)</f>
        <v>Si quieres organizar una porra (quiniela) con tu grupo puedes descargar el archivo de adminsitrador desde el enlace de abajo</v>
      </c>
      <c r="F16" s="659"/>
      <c r="G16" s="659"/>
      <c r="H16" s="659"/>
      <c r="I16" s="659"/>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 customHeight="1" thickBot="1">
      <c r="A17" s="281"/>
      <c r="B17" s="281"/>
      <c r="C17" s="281"/>
      <c r="D17" s="281"/>
      <c r="E17" s="655" t="str">
        <f>HYPERLINK(Idiomas!D10,Idiomas!D9)</f>
        <v>▼ Descargar Excel Administrador Porra ▼</v>
      </c>
      <c r="F17" s="656"/>
      <c r="G17" s="656"/>
      <c r="H17" s="656"/>
      <c r="I17" s="657"/>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1"/>
      <c r="C24" s="662"/>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5" zoomScale="73" zoomScaleNormal="100" workbookViewId="0">
      <selection activeCell="AL146" sqref="AL146"/>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089843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6328125" customWidth="1"/>
    <col min="24" max="24" width="11.81640625" customWidth="1"/>
    <col min="25" max="25" width="6.81640625" customWidth="1"/>
    <col min="26" max="26" width="5.08984375" customWidth="1"/>
    <col min="27" max="27" width="20.81640625" customWidth="1"/>
    <col min="28" max="28" width="3.36328125" customWidth="1"/>
    <col min="29" max="30" width="5.36328125" customWidth="1"/>
    <col min="31" max="31" width="3.36328125" customWidth="1"/>
    <col min="32" max="32" width="20.81640625" customWidth="1"/>
    <col min="33" max="33" width="3.453125" customWidth="1"/>
    <col min="34" max="34" width="5.08984375" style="177" customWidth="1"/>
    <col min="35" max="35" width="3.36328125" style="177" customWidth="1"/>
    <col min="36" max="36" width="4.36328125" customWidth="1"/>
    <col min="37" max="37" width="3.36328125" customWidth="1"/>
    <col min="38" max="38" width="20.81640625" customWidth="1"/>
    <col min="39" max="39" width="5.81640625" customWidth="1"/>
    <col min="40" max="43" width="4.36328125" customWidth="1"/>
    <col min="44" max="45" width="4.6328125" customWidth="1"/>
    <col min="46" max="46" width="4.81640625" customWidth="1"/>
    <col min="47" max="47" width="3.36328125" style="180" customWidth="1"/>
    <col min="48" max="48" width="18.453125" style="184" customWidth="1"/>
    <col min="49" max="49" width="3.453125" style="7" customWidth="1"/>
    <col min="50" max="50" width="3.453125" style="4" customWidth="1"/>
    <col min="51" max="51" width="19.6328125" style="15" customWidth="1"/>
    <col min="52" max="52" width="15.81640625" style="7" customWidth="1"/>
    <col min="53" max="53" width="3" customWidth="1"/>
    <col min="54" max="54" width="11" hidden="1" customWidth="1"/>
    <col min="55" max="55" width="6" hidden="1" customWidth="1"/>
    <col min="56" max="56" width="17" hidden="1" customWidth="1"/>
    <col min="57" max="57" width="9.36328125" hidden="1" customWidth="1"/>
    <col min="58" max="58" width="2.08984375" hidden="1" customWidth="1"/>
    <col min="59" max="59" width="8.36328125" hidden="1" customWidth="1"/>
    <col min="60" max="60" width="2.08984375" hidden="1" customWidth="1"/>
    <col min="61" max="61" width="2.453125" hidden="1" customWidth="1"/>
    <col min="62" max="62" width="8.08984375" hidden="1" customWidth="1"/>
    <col min="63" max="63" width="4.81640625" hidden="1" customWidth="1"/>
    <col min="64" max="64" width="5.81640625" hidden="1" customWidth="1"/>
    <col min="65" max="66" width="5.6328125" hidden="1" customWidth="1"/>
    <col min="67" max="69" width="10" hidden="1" customWidth="1"/>
    <col min="70" max="71" width="7.36328125" hidden="1" customWidth="1"/>
    <col min="72" max="100" width="8" hidden="1" customWidth="1"/>
    <col min="101" max="101" width="4.08984375" hidden="1" customWidth="1"/>
    <col min="102" max="102" width="7.36328125" hidden="1" customWidth="1"/>
    <col min="103" max="103" width="0" hidden="1" customWidth="1"/>
    <col min="104" max="104" width="3.08984375" hidden="1" customWidth="1"/>
    <col min="105" max="105" width="8.6328125" hidden="1" customWidth="1"/>
    <col min="106" max="106" width="8" hidden="1" customWidth="1"/>
    <col min="107" max="107" width="15.81640625" hidden="1" customWidth="1"/>
    <col min="108" max="108" width="11" hidden="1" customWidth="1"/>
    <col min="109" max="109" width="2.63281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14" t="str">
        <f>Idiomas!D8</f>
        <v>XXIII Mundial USA/MEX/CAN 2026</v>
      </c>
      <c r="X1" s="614"/>
      <c r="Y1" s="614"/>
      <c r="Z1" s="614"/>
      <c r="AA1" s="614"/>
      <c r="AB1" s="614"/>
      <c r="AC1" s="614"/>
      <c r="AD1" s="614"/>
      <c r="AE1" s="614"/>
      <c r="AF1" s="614"/>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10" t="s">
        <v>0</v>
      </c>
      <c r="X4" s="24">
        <f ca="1">Horarios!C4</f>
        <v>46184.875</v>
      </c>
      <c r="Y4" s="25">
        <f ca="1">Horarios!C4</f>
        <v>46184.875</v>
      </c>
      <c r="Z4" s="26" t="str">
        <f>Idiomas!D61</f>
        <v>J1</v>
      </c>
      <c r="AA4" s="27" t="str">
        <f ca="1">+A5</f>
        <v>México</v>
      </c>
      <c r="AB4" s="49" t="e" cm="1" vm="1">
        <f t="array" aca="1" ref="AB4" ca="1">Ver_flag_local</f>
        <v>#VALUE!</v>
      </c>
      <c r="AC4" s="50">
        <v>3</v>
      </c>
      <c r="AD4" s="51">
        <v>1</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10"/>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10"/>
      <c r="X6" s="24">
        <f ca="1">Horarios!C6</f>
        <v>46191.75</v>
      </c>
      <c r="Y6" s="25">
        <f ca="1">Horarios!C6</f>
        <v>46191.75</v>
      </c>
      <c r="Z6" s="26" t="str">
        <f>Idiomas!D62</f>
        <v>J2</v>
      </c>
      <c r="AA6" s="27" t="str">
        <f ca="1">A8</f>
        <v>República Checa</v>
      </c>
      <c r="AB6" s="49" t="e" cm="1" vm="4">
        <f t="array" aca="1" ref="AB6" ca="1">Ver_flag_local</f>
        <v>#VALUE!</v>
      </c>
      <c r="AC6" s="50">
        <v>1</v>
      </c>
      <c r="AD6" s="51">
        <v>0</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1</v>
      </c>
      <c r="AT6" s="41">
        <f t="shared" ca="1" si="15"/>
        <v>3</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1</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10"/>
      <c r="X7" s="24">
        <f ca="1">Horarios!C7</f>
        <v>46192.125</v>
      </c>
      <c r="Y7" s="25">
        <f ca="1">Horarios!C7</f>
        <v>46192.125</v>
      </c>
      <c r="Z7" s="26" t="str">
        <f>$Z$6</f>
        <v>J2</v>
      </c>
      <c r="AA7" s="27" t="str">
        <f ca="1">A5</f>
        <v>México</v>
      </c>
      <c r="AB7" s="49" t="e" cm="1" vm="1">
        <f t="array" aca="1" ref="AB7" ca="1">Ver_flag_local</f>
        <v>#VALUE!</v>
      </c>
      <c r="AC7" s="50">
        <v>0</v>
      </c>
      <c r="AD7" s="51">
        <v>0</v>
      </c>
      <c r="AE7" s="571" t="e" cm="1" vm="3">
        <f t="array" aca="1" ref="AE7" ca="1">Ver_flag_visit</f>
        <v>#VALUE!</v>
      </c>
      <c r="AF7" s="32" t="str">
        <f ca="1">A7</f>
        <v>Corea del Sur</v>
      </c>
      <c r="AG7" s="306">
        <f t="shared" si="13"/>
        <v>1</v>
      </c>
      <c r="AH7" s="185">
        <v>28</v>
      </c>
      <c r="AI7" s="171" t="str">
        <f>AJ7&amp;$B$4</f>
        <v>2A</v>
      </c>
      <c r="AJ7" s="42">
        <v>2</v>
      </c>
      <c r="AK7" s="574" t="e" cm="1" vm="4">
        <f t="array" aca="1" ref="AK7" ca="1">Ver_flag_visit</f>
        <v>#VALUE!</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2</v>
      </c>
      <c r="AS7" s="39">
        <f t="shared" ca="1" si="15"/>
        <v>2</v>
      </c>
      <c r="AT7" s="43">
        <f t="shared" ca="1" si="15"/>
        <v>0</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3</v>
      </c>
      <c r="BF7" s="16">
        <f t="shared" ref="BF7:BF53" ca="1" si="41">+BG7+BH7+BI7</f>
        <v>3</v>
      </c>
      <c r="BG7" s="16">
        <f t="shared" ca="1" si="17"/>
        <v>1</v>
      </c>
      <c r="BH7" s="16">
        <f t="shared" ca="1" si="18"/>
        <v>0</v>
      </c>
      <c r="BI7" s="16">
        <f t="shared" ca="1" si="19"/>
        <v>2</v>
      </c>
      <c r="BJ7" s="16">
        <f t="shared" ca="1" si="20"/>
        <v>3</v>
      </c>
      <c r="BK7" s="16">
        <f t="shared" ca="1" si="21"/>
        <v>5</v>
      </c>
      <c r="BL7" s="16">
        <f t="shared" ref="BL7:BL53" ca="1" si="42">+BJ7-BK7</f>
        <v>-2</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3</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6"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10"/>
      <c r="X8" s="24">
        <f ca="1">Horarios!C8</f>
        <v>46198.125</v>
      </c>
      <c r="Y8" s="25">
        <f ca="1">Horarios!C8</f>
        <v>46198.125</v>
      </c>
      <c r="Z8" s="26" t="str">
        <f>Idiomas!D63</f>
        <v>J3</v>
      </c>
      <c r="AA8" s="27" t="str">
        <f ca="1">A8</f>
        <v>República Checa</v>
      </c>
      <c r="AB8" s="49" t="e" cm="1" vm="4">
        <f t="array" aca="1" ref="AB8" ca="1">Ver_flag_local</f>
        <v>#VALUE!</v>
      </c>
      <c r="AC8" s="50">
        <v>0</v>
      </c>
      <c r="AD8" s="51">
        <v>1</v>
      </c>
      <c r="AE8" s="571" t="e" cm="1" vm="1">
        <f t="array" aca="1" ref="AE8" ca="1">Ver_flag_visit</f>
        <v>#VALUE!</v>
      </c>
      <c r="AF8" s="32" t="str">
        <f ca="1">A5</f>
        <v>México</v>
      </c>
      <c r="AG8" s="306">
        <f t="shared" si="13"/>
        <v>1</v>
      </c>
      <c r="AH8" s="185">
        <v>53</v>
      </c>
      <c r="AI8" s="171" t="str">
        <f>AJ8&amp;$B$4</f>
        <v>3A</v>
      </c>
      <c r="AJ8" s="42">
        <v>3</v>
      </c>
      <c r="AK8" s="574" t="e" cm="1" vm="2">
        <f t="array" aca="1" ref="AK8" ca="1">Ver_flag_visit</f>
        <v>#VALUE!</v>
      </c>
      <c r="AL8" s="37" t="str">
        <f ca="1">IFERROR(INDEX($BD$6:$BD$53,MATCH(AI8,$BN$6:$BN$53,0)),"")</f>
        <v>Sudáfrica</v>
      </c>
      <c r="AM8" s="38">
        <f t="shared" ca="1" si="15"/>
        <v>3</v>
      </c>
      <c r="AN8" s="39">
        <f t="shared" ca="1" si="15"/>
        <v>3</v>
      </c>
      <c r="AO8" s="39">
        <f t="shared" ca="1" si="15"/>
        <v>1</v>
      </c>
      <c r="AP8" s="39">
        <f t="shared" ca="1" si="15"/>
        <v>0</v>
      </c>
      <c r="AQ8" s="39">
        <f t="shared" ca="1" si="15"/>
        <v>2</v>
      </c>
      <c r="AR8" s="39">
        <f t="shared" ca="1" si="15"/>
        <v>3</v>
      </c>
      <c r="AS8" s="39">
        <f t="shared" ca="1" si="15"/>
        <v>5</v>
      </c>
      <c r="AT8" s="43">
        <f t="shared" ca="1" si="15"/>
        <v>-2</v>
      </c>
      <c r="AU8" s="313">
        <f ca="1">INDEX($DL$6:$DL$53,MATCH(AI8,$DP$6:$DP$53,0))</f>
        <v>1</v>
      </c>
      <c r="AV8" s="172" t="str">
        <f ca="1">INDEX($BD$6:$BD$53,MATCH(AI8,$BM$6:$BM$53,0))</f>
        <v>Sudáfrica</v>
      </c>
      <c r="AW8" s="200"/>
      <c r="AX8" s="161"/>
      <c r="AY8" s="191" t="str">
        <f ca="1">+A7</f>
        <v>Corea del Sur</v>
      </c>
      <c r="AZ8" s="192"/>
      <c r="BA8" s="166"/>
      <c r="BC8" s="16" t="str">
        <f ca="1">+INDEX(T_Equipos[Grupo],MATCH(WORLDCUP!BD8,T_Equipos[NombreEquipo],0))</f>
        <v>A</v>
      </c>
      <c r="BD8" s="16" t="str">
        <f ca="1">+Equipos!B4</f>
        <v>Corea del Sur</v>
      </c>
      <c r="BE8" s="16">
        <f t="shared" ca="1" si="16"/>
        <v>2</v>
      </c>
      <c r="BF8" s="16">
        <f t="shared" ca="1" si="41"/>
        <v>3</v>
      </c>
      <c r="BG8" s="16">
        <f t="shared" ca="1" si="17"/>
        <v>0</v>
      </c>
      <c r="BH8" s="16">
        <f t="shared" ca="1" si="18"/>
        <v>2</v>
      </c>
      <c r="BI8" s="16">
        <f t="shared" ca="1" si="19"/>
        <v>1</v>
      </c>
      <c r="BJ8" s="16">
        <f t="shared" ca="1" si="20"/>
        <v>2</v>
      </c>
      <c r="BK8" s="16">
        <f t="shared" ca="1" si="21"/>
        <v>3</v>
      </c>
      <c r="BL8" s="16">
        <f t="shared" ca="1" si="42"/>
        <v>-1</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2</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Sudáfrica</v>
      </c>
    </row>
    <row r="9" spans="1:121" ht="16" customHeight="1" thickBot="1">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11"/>
      <c r="X9" s="28">
        <f ca="1">Horarios!C9</f>
        <v>46198.125</v>
      </c>
      <c r="Y9" s="29">
        <f ca="1">Horarios!C9</f>
        <v>46198.125</v>
      </c>
      <c r="Z9" s="30" t="str">
        <f>$Z$8</f>
        <v>J3</v>
      </c>
      <c r="AA9" s="31" t="str">
        <f ca="1">A6</f>
        <v>Sudáfrica</v>
      </c>
      <c r="AB9" s="52" t="e" cm="1" vm="2">
        <f t="array" aca="1" ref="AB9" ca="1">Ver_flag_local</f>
        <v>#VALUE!</v>
      </c>
      <c r="AC9" s="50">
        <v>2</v>
      </c>
      <c r="AD9" s="51">
        <v>1</v>
      </c>
      <c r="AE9" s="572" t="e" cm="1" vm="3">
        <f t="array" aca="1" ref="AE9" ca="1">Ver_flag_visit</f>
        <v>#VALUE!</v>
      </c>
      <c r="AF9" s="33" t="str">
        <f ca="1">A7</f>
        <v>Corea del Sur</v>
      </c>
      <c r="AG9" s="306">
        <f t="shared" si="13"/>
        <v>1</v>
      </c>
      <c r="AH9" s="185">
        <v>54</v>
      </c>
      <c r="AI9" s="171" t="str">
        <f>AJ9&amp;$B$4</f>
        <v>4A</v>
      </c>
      <c r="AJ9" s="44">
        <v>4</v>
      </c>
      <c r="AK9" s="575" t="e" cm="1" vm="3">
        <f t="array" aca="1" ref="AK9" ca="1">Ver_flag_visit</f>
        <v>#VALUE!</v>
      </c>
      <c r="AL9" s="45" t="str">
        <f ca="1">IFERROR(INDEX($BD$6:$BD$53,MATCH(AI9,$BN$6:$BN$53,0)),"")</f>
        <v>Corea del Sur</v>
      </c>
      <c r="AM9" s="46">
        <f t="shared" ca="1" si="15"/>
        <v>2</v>
      </c>
      <c r="AN9" s="47">
        <f t="shared" ca="1" si="15"/>
        <v>3</v>
      </c>
      <c r="AO9" s="47">
        <f t="shared" ca="1" si="15"/>
        <v>0</v>
      </c>
      <c r="AP9" s="47">
        <f t="shared" ca="1" si="15"/>
        <v>2</v>
      </c>
      <c r="AQ9" s="47">
        <f t="shared" ca="1" si="15"/>
        <v>1</v>
      </c>
      <c r="AR9" s="47">
        <f t="shared" ca="1" si="15"/>
        <v>2</v>
      </c>
      <c r="AS9" s="47">
        <f t="shared" ca="1" si="15"/>
        <v>3</v>
      </c>
      <c r="AT9" s="48">
        <f t="shared" ca="1" si="15"/>
        <v>-1</v>
      </c>
      <c r="AU9" s="313">
        <f ca="1">INDEX($DL$6:$DL$53,MATCH(AI9,$DP$6:$DP$53,0))</f>
        <v>1</v>
      </c>
      <c r="AV9" s="172" t="str">
        <f ca="1">INDEX($BD$6:$BD$53,MATCH(AI9,$BM$6:$BM$53,0))</f>
        <v>Corea del Sur</v>
      </c>
      <c r="AW9" s="200"/>
      <c r="AX9" s="161"/>
      <c r="AY9" s="195" t="str">
        <f ca="1">+A8</f>
        <v>República Checa</v>
      </c>
      <c r="AZ9" s="196"/>
      <c r="BA9" s="16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2</v>
      </c>
      <c r="BK9" s="16">
        <f t="shared" ca="1" si="21"/>
        <v>2</v>
      </c>
      <c r="BL9" s="16">
        <f t="shared" ca="1" si="42"/>
        <v>0</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Corea del Sur</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2</v>
      </c>
      <c r="BK10" s="16">
        <f t="shared" ca="1" si="21"/>
        <v>1</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4</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12"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0</v>
      </c>
      <c r="BK12" s="16">
        <f t="shared" ca="1" si="21"/>
        <v>5</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12"/>
      <c r="X13" s="24">
        <f ca="1">Horarios!C13</f>
        <v>46186.875</v>
      </c>
      <c r="Y13" s="25">
        <f ca="1">Horarios!C13</f>
        <v>46186.875</v>
      </c>
      <c r="Z13" s="26" t="str">
        <f>$Z$4</f>
        <v>J1</v>
      </c>
      <c r="AA13" s="27" t="str">
        <f ca="1">A15</f>
        <v>Catar</v>
      </c>
      <c r="AB13" s="49" t="e" cm="1" vm="7">
        <f t="array" aca="1" ref="AB13" ca="1">Ver_flag_local</f>
        <v>#VALUE!</v>
      </c>
      <c r="AC13" s="50">
        <v>0</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4</v>
      </c>
      <c r="BK13" s="16">
        <f t="shared" ca="1" si="21"/>
        <v>1</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12"/>
      <c r="X14" s="24">
        <f ca="1">Horarios!C14</f>
        <v>46191.875</v>
      </c>
      <c r="Y14" s="25">
        <f ca="1">Horarios!C14</f>
        <v>46191.875</v>
      </c>
      <c r="Z14" s="26" t="str">
        <f>$Z$6</f>
        <v>J2</v>
      </c>
      <c r="AA14" s="27" t="str">
        <f ca="1">A16</f>
        <v>Suiza</v>
      </c>
      <c r="AB14" s="49" t="e" cm="1" vm="8">
        <f t="array" aca="1" ref="AB14" ca="1">Ver_flag_local</f>
        <v>#VALUE!</v>
      </c>
      <c r="AC14" s="50">
        <v>2</v>
      </c>
      <c r="AD14" s="51">
        <v>1</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4</v>
      </c>
      <c r="AS14" s="36">
        <f t="shared" ca="1" si="69"/>
        <v>1</v>
      </c>
      <c r="AT14" s="70">
        <f t="shared" ca="1" si="69"/>
        <v>3</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10</v>
      </c>
      <c r="BK14" s="16">
        <f t="shared" ca="1" si="21"/>
        <v>3</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12"/>
      <c r="X15" s="24">
        <f ca="1">Horarios!C15</f>
        <v>46192</v>
      </c>
      <c r="Y15" s="25">
        <f ca="1">Horarios!C15</f>
        <v>46192</v>
      </c>
      <c r="Z15" s="26" t="str">
        <f>$Z$6</f>
        <v>J2</v>
      </c>
      <c r="AA15" s="27" t="str">
        <f ca="1">A13</f>
        <v>Canadá</v>
      </c>
      <c r="AB15" s="49" t="e" cm="1" vm="5">
        <f t="array" aca="1" ref="AB15" ca="1">Ver_flag_local</f>
        <v>#VALUE!</v>
      </c>
      <c r="AC15" s="50">
        <v>1</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2</v>
      </c>
      <c r="AS15" s="39">
        <f t="shared" ca="1" si="69"/>
        <v>1</v>
      </c>
      <c r="AT15" s="72">
        <f t="shared" ca="1" si="69"/>
        <v>1</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7</v>
      </c>
      <c r="BK15" s="16">
        <f t="shared" ca="1" si="21"/>
        <v>4</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12"/>
      <c r="X16" s="24">
        <f ca="1">Horarios!C16</f>
        <v>46197.875</v>
      </c>
      <c r="Y16" s="25">
        <f ca="1">Horarios!C16</f>
        <v>46197.875</v>
      </c>
      <c r="Z16" s="26" t="str">
        <f>$Z$8</f>
        <v>J3</v>
      </c>
      <c r="AA16" s="27" t="str">
        <f ca="1">A16</f>
        <v>Suiza</v>
      </c>
      <c r="AB16" s="49" t="e" cm="1" vm="8">
        <f t="array" aca="1" ref="AB16" ca="1">Ver_flag_local</f>
        <v>#VALUE!</v>
      </c>
      <c r="AC16" s="50">
        <v>0</v>
      </c>
      <c r="AD16" s="51">
        <v>0</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4</v>
      </c>
      <c r="AS16" s="39">
        <f t="shared" ca="1" si="69"/>
        <v>3</v>
      </c>
      <c r="AT16" s="72">
        <f t="shared" ca="1" si="69"/>
        <v>1</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11</v>
      </c>
      <c r="BL16" s="16">
        <f t="shared" ca="1" si="42"/>
        <v>-10</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13"/>
      <c r="X17" s="28">
        <f ca="1">Horarios!C17</f>
        <v>46197.875</v>
      </c>
      <c r="Y17" s="29">
        <f ca="1">Horarios!C17</f>
        <v>46197.875</v>
      </c>
      <c r="Z17" s="30" t="str">
        <f>$Z$8</f>
        <v>J3</v>
      </c>
      <c r="AA17" s="31" t="str">
        <f ca="1">A14</f>
        <v>Bosnia y Herzegovina</v>
      </c>
      <c r="AB17" s="52" t="e" cm="1" vm="6">
        <f t="array" aca="1" ref="AB17" ca="1">Ver_flag_local</f>
        <v>#VALUE!</v>
      </c>
      <c r="AC17" s="50">
        <v>2</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0</v>
      </c>
      <c r="AS17" s="76">
        <f t="shared" ca="1" si="69"/>
        <v>5</v>
      </c>
      <c r="AT17" s="77">
        <f t="shared" ca="1" si="69"/>
        <v>-5</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4</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3</v>
      </c>
      <c r="BK18" s="16">
        <f t="shared" ca="1" si="21"/>
        <v>2</v>
      </c>
      <c r="BL18" s="16">
        <f t="shared" ca="1" si="42"/>
        <v>1</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(3)</v>
      </c>
      <c r="BU18" s="16">
        <f t="shared" ca="1" si="24"/>
        <v>0</v>
      </c>
      <c r="BV18" s="16">
        <f t="shared" ca="1" si="25"/>
        <v>2</v>
      </c>
      <c r="BW18" s="16">
        <f t="shared" ca="1" si="26"/>
        <v>0</v>
      </c>
      <c r="BX18" s="16">
        <f t="shared" ca="1" si="48"/>
        <v>2</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(3)</v>
      </c>
      <c r="CA18" s="16">
        <f t="shared" ca="1" si="27"/>
        <v>1</v>
      </c>
      <c r="CB18" s="16">
        <f t="shared" ca="1" si="28"/>
        <v>1</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(3)</v>
      </c>
      <c r="CF18" s="16">
        <f t="shared" ca="1" si="29"/>
        <v>1</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P.2 (2)</v>
      </c>
      <c r="CI18" s="16">
        <f t="shared" ca="1" si="30"/>
        <v>0</v>
      </c>
      <c r="CJ18" s="16">
        <f t="shared" ca="1" si="31"/>
        <v>1</v>
      </c>
      <c r="CK18" s="16">
        <f t="shared" ca="1" si="32"/>
        <v>0</v>
      </c>
      <c r="CL18" s="16">
        <f t="shared" ca="1" si="50"/>
        <v>1</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P.2 (2)</v>
      </c>
      <c r="CO18" s="16">
        <f t="shared" ca="1" si="33"/>
        <v>0</v>
      </c>
      <c r="CP18" s="16">
        <f t="shared" ca="1" si="34"/>
        <v>0</v>
      </c>
      <c r="CQ18" s="16">
        <f t="shared" ca="1" si="51"/>
        <v>0</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P.2 (2)</v>
      </c>
      <c r="CT18" s="16">
        <f t="shared" ca="1" si="35"/>
        <v>0</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P.2 (2)</v>
      </c>
      <c r="CW18" s="16">
        <f t="shared" ca="1" si="36"/>
        <v>1</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0</v>
      </c>
      <c r="BF19" s="16">
        <f t="shared" ca="1" si="41"/>
        <v>3</v>
      </c>
      <c r="BG19" s="16">
        <f t="shared" ca="1" si="17"/>
        <v>0</v>
      </c>
      <c r="BH19" s="16">
        <f t="shared" ca="1" si="18"/>
        <v>0</v>
      </c>
      <c r="BI19" s="16">
        <f t="shared" ca="1" si="19"/>
        <v>3</v>
      </c>
      <c r="BJ19" s="16">
        <f t="shared" ca="1" si="20"/>
        <v>3</v>
      </c>
      <c r="BK19" s="16">
        <f t="shared" ca="1" si="21"/>
        <v>7</v>
      </c>
      <c r="BL19" s="16">
        <f t="shared" ca="1" si="42"/>
        <v>-4</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Australia</v>
      </c>
    </row>
    <row r="20" spans="1:121" ht="16"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21" t="s">
        <v>2</v>
      </c>
      <c r="X20" s="24">
        <f ca="1">Horarios!C20</f>
        <v>46187</v>
      </c>
      <c r="Y20" s="25">
        <f ca="1">Horarios!C20</f>
        <v>46187</v>
      </c>
      <c r="Z20" s="26" t="str">
        <f>$Z$4</f>
        <v>J1</v>
      </c>
      <c r="AA20" s="27" t="str">
        <f ca="1">A21</f>
        <v>Brasil</v>
      </c>
      <c r="AB20" s="49" t="e" cm="1" vm="9">
        <f t="array" aca="1" ref="AB20" ca="1">Ver_flag_local</f>
        <v>#VALUE!</v>
      </c>
      <c r="AC20" s="50">
        <v>3</v>
      </c>
      <c r="AD20" s="51">
        <v>2</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5</v>
      </c>
      <c r="BF20" s="16">
        <f t="shared" ca="1" si="41"/>
        <v>3</v>
      </c>
      <c r="BG20" s="16">
        <f t="shared" ca="1" si="17"/>
        <v>1</v>
      </c>
      <c r="BH20" s="16">
        <f t="shared" ca="1" si="18"/>
        <v>2</v>
      </c>
      <c r="BI20" s="16">
        <f t="shared" ca="1" si="19"/>
        <v>0</v>
      </c>
      <c r="BJ20" s="16">
        <f t="shared" ca="1" si="20"/>
        <v>4</v>
      </c>
      <c r="BK20" s="16">
        <f t="shared" ca="1" si="21"/>
        <v>2</v>
      </c>
      <c r="BL20" s="16">
        <f t="shared" ca="1" si="42"/>
        <v>2</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5</v>
      </c>
      <c r="BS20" s="16">
        <f ca="1">BP20+COUNTIFS($BQ$6:$BQ$53,BQ20,$BR$6:BR$53,"&gt;"&amp;BR20,$BC$6:$BC$53,INDEX(T_Equipos[Grupo],MATCH(BD20,T_Equipos[NombreEquipo],0)))</f>
        <v>1</v>
      </c>
      <c r="BT20" s="16" t="str">
        <f ca="1">IF(COUNTIFS($BS$6:$BS$53,BS20,$BC$6:$BC$53,INDEX(T_Equipos[Grupo],MATCH(BD20,T_Equipos[NombreEquipo],0)))=1,"-","P."&amp;BS20&amp;" ("&amp;COUNTIFS($BS$6:$BS$53,BS20,$BC$6:$BC$53,INDEX(T_Equipos[Grupo],MATCH(BD20,T_Equipos[NombreEquipo],0)))&amp;")")</f>
        <v>P.1 (3)</v>
      </c>
      <c r="BU20" s="16">
        <f t="shared" ca="1" si="24"/>
        <v>0</v>
      </c>
      <c r="BV20" s="16">
        <f t="shared" ca="1" si="25"/>
        <v>2</v>
      </c>
      <c r="BW20" s="16">
        <f t="shared" ca="1" si="26"/>
        <v>0</v>
      </c>
      <c r="BX20" s="16">
        <f t="shared" ca="1" si="48"/>
        <v>2</v>
      </c>
      <c r="BY20" s="16">
        <f ca="1">BS20+COUNTIFS($BT$6:$BT$53,BT20,$BX$6:BX$53,"&gt;"&amp;BX20,$BC$6:$BC$53,INDEX(T_Equipos[Grupo],MATCH(BD20,T_Equipos[NombreEquipo],0)))</f>
        <v>1</v>
      </c>
      <c r="BZ20" s="16" t="str">
        <f ca="1">IF(COUNTIFS($BY$6:$BY$53,BY20,$BC$6:$BC$53,INDEX(T_Equipos[Grupo],MATCH(BD20,T_Equipos[NombreEquipo],0)))=1,"-","P."&amp;BY20&amp;" ("&amp;COUNTIFS($BY$6:$BY$53,BY20,$BC$6:$BC$53,INDEX(T_Equipos[Grupo],MATCH(BD20,T_Equipos[NombreEquipo],0)))&amp;")")</f>
        <v>P.1 (3)</v>
      </c>
      <c r="CA20" s="16">
        <f t="shared" ca="1" si="27"/>
        <v>1</v>
      </c>
      <c r="CB20" s="16">
        <f t="shared" ca="1" si="28"/>
        <v>1</v>
      </c>
      <c r="CC20" s="16">
        <f t="shared" ca="1" si="49"/>
        <v>0</v>
      </c>
      <c r="CD20" s="16">
        <f ca="1">BY20+COUNTIFS($BZ$6:$BZ$53,BZ20,$CC$6:CC$53,"&gt;"&amp;CC20,$BC$6:$BC$53,INDEX(T_Equipos[Grupo],MATCH(BD20,T_Equipos[NombreEquipo],0)))</f>
        <v>1</v>
      </c>
      <c r="CE20" s="16" t="str">
        <f ca="1">IF(COUNTIFS($CD$6:$CD$53,CD20,$BC$6:$BC$53,INDEX(T_Equipos[Grupo],MATCH(BD20,T_Equipos[NombreEquipo],0)))=1,"-","P."&amp;CD20&amp;" ("&amp;COUNTIFS($CD$6:$CD$53,CD20,$BC$6:$BC$53,INDEX(T_Equipos[Grupo],MATCH(BD20,T_Equipos[NombreEquipo],0)))&amp;")")</f>
        <v>P.1 (3)</v>
      </c>
      <c r="CF20" s="16">
        <f t="shared" ca="1" si="29"/>
        <v>1</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2</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21"/>
      <c r="X21" s="24">
        <f ca="1">Horarios!C21</f>
        <v>46187.125</v>
      </c>
      <c r="Y21" s="25">
        <f ca="1">Horarios!C21</f>
        <v>46187.125</v>
      </c>
      <c r="Z21" s="26" t="str">
        <f>$Z$4</f>
        <v>J1</v>
      </c>
      <c r="AA21" s="27" t="str">
        <f ca="1">A23</f>
        <v>Haití</v>
      </c>
      <c r="AB21" s="49" t="e" cm="1" vm="11">
        <f t="array" aca="1" ref="AB21" ca="1">Ver_flag_local</f>
        <v>#VALUE!</v>
      </c>
      <c r="AC21" s="50">
        <v>0</v>
      </c>
      <c r="AD21" s="51">
        <v>3</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4</v>
      </c>
      <c r="BK21" s="16">
        <f t="shared" ca="1" si="21"/>
        <v>3</v>
      </c>
      <c r="BL21" s="16">
        <f t="shared" ca="1" si="42"/>
        <v>1</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(3)</v>
      </c>
      <c r="BU21" s="16">
        <f t="shared" ca="1" si="24"/>
        <v>0</v>
      </c>
      <c r="BV21" s="16">
        <f t="shared" ca="1" si="25"/>
        <v>2</v>
      </c>
      <c r="BW21" s="16">
        <f t="shared" ca="1" si="26"/>
        <v>0</v>
      </c>
      <c r="BX21" s="16">
        <f t="shared" ca="1" si="48"/>
        <v>2</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(3)</v>
      </c>
      <c r="CA21" s="16">
        <f t="shared" ca="1" si="27"/>
        <v>2</v>
      </c>
      <c r="CB21" s="16">
        <f t="shared" ca="1" si="28"/>
        <v>2</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(3)</v>
      </c>
      <c r="CF21" s="16">
        <f t="shared" ca="1" si="29"/>
        <v>2</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Paraguay</v>
      </c>
    </row>
    <row r="22" spans="1:121" ht="16"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21"/>
      <c r="X22" s="24">
        <f ca="1">Horarios!C22</f>
        <v>46193</v>
      </c>
      <c r="Y22" s="25">
        <f ca="1">Horarios!C22</f>
        <v>46193</v>
      </c>
      <c r="Z22" s="26" t="str">
        <f>$Z$6</f>
        <v>J2</v>
      </c>
      <c r="AA22" s="27" t="str">
        <f ca="1">A24</f>
        <v>Escocia</v>
      </c>
      <c r="AB22" s="49" t="e" cm="1" vm="12">
        <f t="array" aca="1" ref="AB22" ca="1">Ver_flag_local</f>
        <v>#VALUE!</v>
      </c>
      <c r="AC22" s="50">
        <v>1</v>
      </c>
      <c r="AD22" s="51">
        <v>2</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10</v>
      </c>
      <c r="AS22" s="36">
        <f t="shared" ca="1" si="87"/>
        <v>3</v>
      </c>
      <c r="AT22" s="41">
        <f t="shared" ca="1" si="87"/>
        <v>7</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1</v>
      </c>
      <c r="CB22" s="16">
        <f t="shared" ca="1" si="28"/>
        <v>1</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1</v>
      </c>
      <c r="CP22" s="16">
        <f t="shared" ca="1" si="34"/>
        <v>1</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5</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21"/>
      <c r="X23" s="24">
        <f ca="1">Horarios!C23</f>
        <v>46193.104166666664</v>
      </c>
      <c r="Y23" s="25">
        <f ca="1">Horarios!C23</f>
        <v>46193.104166666664</v>
      </c>
      <c r="Z23" s="26" t="str">
        <f>$Z$6</f>
        <v>J2</v>
      </c>
      <c r="AA23" s="27" t="str">
        <f ca="1">A21</f>
        <v>Brasil</v>
      </c>
      <c r="AB23" s="49" t="e" cm="1" vm="9">
        <f t="array" aca="1" ref="AB23" ca="1">Ver_flag_local</f>
        <v>#VALUE!</v>
      </c>
      <c r="AC23" s="50">
        <v>5</v>
      </c>
      <c r="AD23" s="51">
        <v>1</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7</v>
      </c>
      <c r="AS23" s="39">
        <f t="shared" ca="1" si="87"/>
        <v>4</v>
      </c>
      <c r="AT23" s="43">
        <f t="shared" ca="1" si="87"/>
        <v>3</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2</v>
      </c>
      <c r="BK23" s="16">
        <f t="shared" ca="1" si="21"/>
        <v>10</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21"/>
      <c r="X24" s="24">
        <f ca="1">Horarios!C24</f>
        <v>46198</v>
      </c>
      <c r="Y24" s="25">
        <f ca="1">Horarios!C24</f>
        <v>46198</v>
      </c>
      <c r="Z24" s="26" t="str">
        <f>$Z$8</f>
        <v>J3</v>
      </c>
      <c r="AA24" s="27" t="str">
        <f ca="1">A24</f>
        <v>Escocia</v>
      </c>
      <c r="AB24" s="49" t="e" cm="1" vm="12">
        <f t="array" aca="1" ref="AB24" ca="1">Ver_flag_local</f>
        <v>#VALUE!</v>
      </c>
      <c r="AC24" s="50">
        <v>0</v>
      </c>
      <c r="AD24" s="51">
        <v>2</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4</v>
      </c>
      <c r="AT24" s="43">
        <f t="shared" ca="1" si="87"/>
        <v>0</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5</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22"/>
      <c r="X25" s="28">
        <f ca="1">Horarios!C25</f>
        <v>46198</v>
      </c>
      <c r="Y25" s="29">
        <f ca="1">Horarios!C25</f>
        <v>46198</v>
      </c>
      <c r="Z25" s="30" t="str">
        <f>$Z$8</f>
        <v>J3</v>
      </c>
      <c r="AA25" s="31" t="str">
        <f ca="1">A22</f>
        <v>Marruecos</v>
      </c>
      <c r="AB25" s="52" t="e" cm="1" vm="10">
        <f t="array" aca="1" ref="AB25" ca="1">Ver_flag_local</f>
        <v>#VALUE!</v>
      </c>
      <c r="AC25" s="50">
        <v>3</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11</v>
      </c>
      <c r="AT25" s="48">
        <f t="shared" ca="1" si="87"/>
        <v>-10</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6</v>
      </c>
      <c r="BK25" s="16">
        <f t="shared" ca="1" si="21"/>
        <v>2</v>
      </c>
      <c r="BL25" s="16">
        <f t="shared" ca="1" si="42"/>
        <v>4</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1</v>
      </c>
      <c r="CB25" s="16">
        <f t="shared" ca="1" si="28"/>
        <v>1</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1</v>
      </c>
      <c r="CP25" s="16">
        <f t="shared" ca="1" si="34"/>
        <v>1</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4</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6</v>
      </c>
      <c r="BF26" s="16">
        <f t="shared" ca="1" si="41"/>
        <v>3</v>
      </c>
      <c r="BG26" s="16">
        <f t="shared" ca="1" si="17"/>
        <v>2</v>
      </c>
      <c r="BH26" s="16">
        <f t="shared" ca="1" si="18"/>
        <v>0</v>
      </c>
      <c r="BI26" s="16">
        <f t="shared" ca="1" si="19"/>
        <v>1</v>
      </c>
      <c r="BJ26" s="16">
        <f t="shared" ca="1" si="20"/>
        <v>5</v>
      </c>
      <c r="BK26" s="16">
        <f t="shared" ca="1" si="21"/>
        <v>3</v>
      </c>
      <c r="BL26" s="16">
        <f t="shared" ca="1" si="42"/>
        <v>2</v>
      </c>
      <c r="BM26" s="16" t="str">
        <f t="shared" ca="1" si="22"/>
        <v>2F</v>
      </c>
      <c r="BN26" s="16" t="str">
        <f t="shared" ca="1" si="23"/>
        <v>2F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6</v>
      </c>
      <c r="BS26" s="16">
        <f ca="1">BP26+COUNTIFS($BQ$6:$BQ$53,BQ26,$BR$6:BR$53,"&gt;"&amp;BR26,$BC$6:$BC$53,INDEX(T_Equipos[Grupo],MATCH(BD26,T_Equipos[NombreEquipo],0)))</f>
        <v>2</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2</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2</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2</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2</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2</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2</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2</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2</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2</v>
      </c>
      <c r="DE26" s="16"/>
      <c r="DF26" s="16">
        <f t="shared" ca="1" si="52"/>
        <v>2</v>
      </c>
      <c r="DG26" s="16" t="str">
        <f ca="1">IF(DB26="-","-",COUNTIFS(DF$6:DF$53,"&lt;"&amp;DF26,$BC$6:$BC$53,INDEX(T_Equipos[Grupo],MATCH(BD26,T_Equipos[NombreEquipo],0))))</f>
        <v>-</v>
      </c>
      <c r="DH26" s="16">
        <f ca="1">DA26+COUNTIFS(DB$6:DB$53,DB26,DG$6:DG$53,"&lt;"&amp;DG26,$BC$6:$BC$53,INDEX(T_Equipos[Grupo],MATCH(BD26,T_Equipos[NombreEquipo],0)))</f>
        <v>2</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Japón</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9</v>
      </c>
      <c r="BF27" s="16">
        <f t="shared" ca="1" si="41"/>
        <v>3</v>
      </c>
      <c r="BG27" s="16">
        <f t="shared" ca="1" si="17"/>
        <v>3</v>
      </c>
      <c r="BH27" s="16">
        <f t="shared" ca="1" si="18"/>
        <v>0</v>
      </c>
      <c r="BI27" s="16">
        <f t="shared" ca="1" si="19"/>
        <v>0</v>
      </c>
      <c r="BJ27" s="16">
        <f t="shared" ca="1" si="20"/>
        <v>7</v>
      </c>
      <c r="BK27" s="16">
        <f t="shared" ca="1" si="21"/>
        <v>3</v>
      </c>
      <c r="BL27" s="16">
        <f t="shared" ca="1" si="42"/>
        <v>4</v>
      </c>
      <c r="BM27" s="16" t="str">
        <f t="shared" ca="1" si="22"/>
        <v>1F</v>
      </c>
      <c r="BN27" s="16" t="str">
        <f t="shared" ca="1" si="23"/>
        <v>1F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9</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1</v>
      </c>
      <c r="DE27" s="16"/>
      <c r="DF27" s="16">
        <f t="shared" ca="1" si="52"/>
        <v>1</v>
      </c>
      <c r="DG27" s="16" t="str">
        <f ca="1">IF(DB27="-","-",COUNTIFS(DF$6:DF$53,"&lt;"&amp;DF27,$BC$6:$BC$53,INDEX(T_Equipos[Grupo],MATCH(BD27,T_Equipos[NombreEquipo],0))))</f>
        <v>-</v>
      </c>
      <c r="DH27" s="16">
        <f ca="1">DA27+COUNTIFS(DB$6:DB$53,DB27,DG$6:DG$53,"&lt;"&amp;DG27,$BC$6:$BC$53,INDEX(T_Equipos[Grupo],MATCH(BD27,T_Equipos[NombreEquipo],0)))</f>
        <v>1</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Países Bajos</v>
      </c>
    </row>
    <row r="28" spans="1:121" ht="16"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P.1 (3)</v>
      </c>
      <c r="F28" s="16" t="str">
        <f t="shared" ref="F28:F33" ca="1" si="93">IF(D28="Pendiente","-",INDEX($BT$6:$BT$53,MATCH($AF28,$BD$6:$BD$53,0)))</f>
        <v>-</v>
      </c>
      <c r="G28" s="16"/>
      <c r="H28" s="16" t="str">
        <f t="shared" ref="H28:H33" ca="1" si="94">IF(D28="Pendiente","-",INDEX($BZ$6:$BZ$53,MATCH($AA28,$BD$6:$BD$53,0)))</f>
        <v>P.1 (3)</v>
      </c>
      <c r="I28" s="16" t="str">
        <f t="shared" ref="I28:I33" ca="1" si="95">IF(D28="Pendiente","-",INDEX($BZ$6:$BZ$53,MATCH($AF28,$BD$6:$BD$53,0)))</f>
        <v>-</v>
      </c>
      <c r="J28" s="16"/>
      <c r="K28" s="16" t="str">
        <f t="shared" ref="K28:K33" ca="1" si="96">IF(D28="Pendiente","-",INDEX($CE$6:$CE$53,MATCH($AA28,$BD$6:$BD$53,0)))</f>
        <v>P.1 (3)</v>
      </c>
      <c r="L28" s="16" t="str">
        <f t="shared" ref="L28:L33" ca="1" si="97">IF(D28="Pendiente","-",INDEX($CE$6:$CE$53,MATCH($AF28,$BD$6:$BD$53,0)))</f>
        <v>-</v>
      </c>
      <c r="M28" s="16"/>
      <c r="N28" s="16" t="str">
        <f t="shared" ref="N28:N33" ca="1" si="98">IF(D28="Pendiente","-",INDEX($CH$6:$CH$53,MATCH($AA28,$BD$6:$BD$53,0)))</f>
        <v>P.2 (2)</v>
      </c>
      <c r="O28" s="16" t="str">
        <f t="shared" ref="O28:O33" ca="1" si="99">IF(D28="Pendiente","-",INDEX($CH$6:$CH$53,MATCH($AF28,$BD$6:$BD$53,0)))</f>
        <v>-</v>
      </c>
      <c r="P28" s="16"/>
      <c r="Q28" s="16" t="str">
        <f t="shared" ref="Q28:Q33" ca="1" si="100">IF(D28="Pendiente","-",INDEX($CN$6:$CN$53,MATCH($AA28,$BD$6:$BD$53,0)))</f>
        <v>P.2 (2)</v>
      </c>
      <c r="R28" s="16" t="str">
        <f t="shared" ref="R28:R33" ca="1" si="101">IF(D28="Pendiente","-",INDEX($CN$6:$CN$53,MATCH($AF28,$BD$6:$BD$53,0)))</f>
        <v>-</v>
      </c>
      <c r="S28" s="16"/>
      <c r="T28" s="16" t="str">
        <f t="shared" ref="T28:T33" ca="1" si="102">IF(D28="Pendiente","-",INDEX($CS$6:$CS$53,MATCH($AA28,$BD$6:$BD$53,0)))</f>
        <v>P.2 (2)</v>
      </c>
      <c r="U28" s="16" t="str">
        <f t="shared" ref="U28:U33" ca="1" si="103">IF(D28="Pendiente","-",INDEX($CS$6:$CS$53,MATCH($AF28,$BD$6:$BD$53,0)))</f>
        <v>-</v>
      </c>
      <c r="V28" s="17"/>
      <c r="W28" s="623" t="s">
        <v>74</v>
      </c>
      <c r="X28" s="24">
        <f ca="1">Horarios!C28</f>
        <v>46186.125</v>
      </c>
      <c r="Y28" s="25">
        <f ca="1">Horarios!C28</f>
        <v>46186.125</v>
      </c>
      <c r="Z28" s="26" t="str">
        <f>$Z$4</f>
        <v>J1</v>
      </c>
      <c r="AA28" s="27" t="str">
        <f ca="1">A29</f>
        <v>Estados Unidos</v>
      </c>
      <c r="AB28" s="49" t="e" cm="1" vm="13">
        <f t="array" aca="1" ref="AB28" ca="1">Ver_flag_local</f>
        <v>#VALUE!</v>
      </c>
      <c r="AC28" s="50">
        <v>2</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1</v>
      </c>
      <c r="BF28" s="16">
        <f t="shared" ca="1" si="41"/>
        <v>3</v>
      </c>
      <c r="BG28" s="16">
        <f t="shared" ca="1" si="17"/>
        <v>0</v>
      </c>
      <c r="BH28" s="16">
        <f t="shared" ca="1" si="18"/>
        <v>1</v>
      </c>
      <c r="BI28" s="16">
        <f t="shared" ca="1" si="19"/>
        <v>2</v>
      </c>
      <c r="BJ28" s="16">
        <f t="shared" ca="1" si="20"/>
        <v>2</v>
      </c>
      <c r="BK28" s="16">
        <f t="shared" ca="1" si="21"/>
        <v>5</v>
      </c>
      <c r="BL28" s="16">
        <f t="shared" ca="1" si="42"/>
        <v>-3</v>
      </c>
      <c r="BM28" s="16" t="str">
        <f t="shared" ca="1" si="22"/>
        <v>4F</v>
      </c>
      <c r="BN28" s="16" t="str">
        <f t="shared" ca="1" si="23"/>
        <v>4F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1</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P.3 (2)</v>
      </c>
      <c r="BU28" s="16">
        <f t="shared" ca="1" si="24"/>
        <v>0</v>
      </c>
      <c r="BV28" s="16">
        <f t="shared" ca="1" si="25"/>
        <v>1</v>
      </c>
      <c r="BW28" s="16">
        <f t="shared" ca="1" si="26"/>
        <v>0</v>
      </c>
      <c r="BX28" s="16">
        <f t="shared" ca="1" si="48"/>
        <v>1</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P.3 (2)</v>
      </c>
      <c r="CA28" s="16">
        <f t="shared" ca="1" si="27"/>
        <v>1</v>
      </c>
      <c r="CB28" s="16">
        <f t="shared" ca="1" si="28"/>
        <v>1</v>
      </c>
      <c r="CC28" s="16">
        <f t="shared" ca="1" si="49"/>
        <v>0</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P.3 (2)</v>
      </c>
      <c r="CF28" s="16">
        <f t="shared" ca="1" si="29"/>
        <v>1</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P.3 (2)</v>
      </c>
      <c r="CI28" s="16">
        <f t="shared" ca="1" si="30"/>
        <v>0</v>
      </c>
      <c r="CJ28" s="16">
        <f t="shared" ca="1" si="31"/>
        <v>1</v>
      </c>
      <c r="CK28" s="16">
        <f t="shared" ca="1" si="32"/>
        <v>0</v>
      </c>
      <c r="CL28" s="16">
        <f t="shared" ca="1" si="50"/>
        <v>1</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P.3 (2)</v>
      </c>
      <c r="CO28" s="16">
        <f t="shared" ca="1" si="33"/>
        <v>1</v>
      </c>
      <c r="CP28" s="16">
        <f t="shared" ca="1" si="34"/>
        <v>1</v>
      </c>
      <c r="CQ28" s="16">
        <f t="shared" ca="1" si="51"/>
        <v>0</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P.3 (2)</v>
      </c>
      <c r="CT28" s="16">
        <f t="shared" ca="1" si="35"/>
        <v>1</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P.3 (2)</v>
      </c>
      <c r="CW28" s="16">
        <f t="shared" ca="1" si="36"/>
        <v>-3</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P.3 (2)</v>
      </c>
      <c r="CZ28" s="16">
        <f t="shared" ca="1" si="37"/>
        <v>2</v>
      </c>
      <c r="DA28" s="16">
        <f ca="1">CX28+COUNTIFS($CY$6:$CY$53,CY28,$CZ$6:CZ$53,"&gt;"&amp;CZ28,$BC$6:$BC$53,INDEX(T_Equipos[Grupo],MATCH(BD28,T_Equipos[NombreEquipo],0)))</f>
        <v>4</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4</v>
      </c>
      <c r="DE28" s="16"/>
      <c r="DF28" s="16">
        <f t="shared" ca="1" si="52"/>
        <v>4</v>
      </c>
      <c r="DG28" s="16" t="str">
        <f ca="1">IF(DB28="-","-",COUNTIFS(DF$6:DF$53,"&lt;"&amp;DF28,$BC$6:$BC$53,INDEX(T_Equipos[Grupo],MATCH(BD28,T_Equipos[NombreEquipo],0))))</f>
        <v>-</v>
      </c>
      <c r="DH28" s="16">
        <f ca="1">DA28+COUNTIFS(DB$6:DB$53,DB28,DG$6:DG$53,"&lt;"&amp;DG28,$BC$6:$BC$53,INDEX(T_Equipos[Grupo],MATCH(BD28,T_Equipos[NombreEquipo],0)))</f>
        <v>4</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Túnez</v>
      </c>
    </row>
    <row r="29" spans="1:121" ht="16" customHeight="1">
      <c r="A29" s="16" t="str">
        <f ca="1">+Equipos!B14</f>
        <v>Estados Unidos</v>
      </c>
      <c r="B29" s="16"/>
      <c r="C29" s="16"/>
      <c r="D29" s="16" t="str">
        <f t="shared" si="91"/>
        <v>Empate</v>
      </c>
      <c r="E29" s="16" t="str">
        <f t="shared" ca="1" si="92"/>
        <v>P.1 (3)</v>
      </c>
      <c r="F29" s="16" t="str">
        <f t="shared" ca="1" si="93"/>
        <v>P.1 (3)</v>
      </c>
      <c r="G29" s="16"/>
      <c r="H29" s="16" t="str">
        <f t="shared" ca="1" si="94"/>
        <v>P.1 (3)</v>
      </c>
      <c r="I29" s="16" t="str">
        <f t="shared" ca="1" si="95"/>
        <v>P.1 (3)</v>
      </c>
      <c r="J29" s="16"/>
      <c r="K29" s="16" t="str">
        <f t="shared" ca="1" si="96"/>
        <v>P.1 (3)</v>
      </c>
      <c r="L29" s="16" t="str">
        <f t="shared" ca="1" si="97"/>
        <v>P.1 (3)</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23"/>
      <c r="X29" s="24">
        <f ca="1">Horarios!C29</f>
        <v>46187.25</v>
      </c>
      <c r="Y29" s="25">
        <f ca="1">Horarios!C29</f>
        <v>46187.25</v>
      </c>
      <c r="Z29" s="26" t="str">
        <f>$Z$4</f>
        <v>J1</v>
      </c>
      <c r="AA29" s="27" t="str">
        <f ca="1">A31</f>
        <v>Australia</v>
      </c>
      <c r="AB29" s="49" t="e" cm="1" vm="15">
        <f t="array" aca="1" ref="AB29" ca="1">Ver_flag_local</f>
        <v>#VALUE!</v>
      </c>
      <c r="AC29" s="50">
        <v>1</v>
      </c>
      <c r="AD29" s="51">
        <v>1</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3</v>
      </c>
      <c r="BK29" s="16">
        <f t="shared" ca="1" si="21"/>
        <v>6</v>
      </c>
      <c r="BL29" s="16">
        <f t="shared" ca="1" si="42"/>
        <v>-3</v>
      </c>
      <c r="BM29" s="16" t="str">
        <f t="shared" ca="1" si="22"/>
        <v>3F</v>
      </c>
      <c r="BN29" s="16" t="str">
        <f t="shared" ca="1" si="23"/>
        <v>3F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1</v>
      </c>
      <c r="BW29" s="16">
        <f t="shared" ca="1" si="26"/>
        <v>0</v>
      </c>
      <c r="BX29" s="16">
        <f t="shared" ca="1" si="48"/>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27"/>
        <v>1</v>
      </c>
      <c r="CB29" s="16">
        <f t="shared" ca="1" si="28"/>
        <v>1</v>
      </c>
      <c r="CC29" s="16">
        <f t="shared" ca="1" si="49"/>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29"/>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0"/>
        <v>0</v>
      </c>
      <c r="CJ29" s="16">
        <f t="shared" ca="1" si="31"/>
        <v>1</v>
      </c>
      <c r="CK29" s="16">
        <f t="shared" ca="1" si="32"/>
        <v>0</v>
      </c>
      <c r="CL29" s="16">
        <f t="shared" ca="1" si="50"/>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33"/>
        <v>1</v>
      </c>
      <c r="CP29" s="16">
        <f t="shared" ca="1" si="34"/>
        <v>1</v>
      </c>
      <c r="CQ29" s="16">
        <f t="shared" ca="1" si="51"/>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35"/>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36"/>
        <v>-3</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P.3 (2)</v>
      </c>
      <c r="CZ29" s="16">
        <f t="shared" ca="1" si="37"/>
        <v>3</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3</v>
      </c>
      <c r="DE29" s="16"/>
      <c r="DF29" s="16">
        <f t="shared" ca="1" si="52"/>
        <v>3</v>
      </c>
      <c r="DG29" s="16" t="str">
        <f ca="1">IF(DB29="-","-",COUNTIFS(DF$6:DF$53,"&lt;"&amp;DF29,$BC$6:$BC$53,INDEX(T_Equipos[Grupo],MATCH(BD29,T_Equipos[NombreEquipo],0))))</f>
        <v>-</v>
      </c>
      <c r="DH29" s="16">
        <f ca="1">DA29+COUNTIFS(DB$6:DB$53,DB29,DG$6:DG$53,"&lt;"&amp;DG29,$BC$6:$BC$53,INDEX(T_Equipos[Grupo],MATCH(BD29,T_Equipos[NombreEquipo],0)))</f>
        <v>3</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Suecia</v>
      </c>
    </row>
    <row r="30" spans="1:121" ht="16" customHeight="1">
      <c r="A30" s="16" t="str">
        <f ca="1">+Equipos!B15</f>
        <v>Paraguay</v>
      </c>
      <c r="B30" s="16"/>
      <c r="C30" s="16"/>
      <c r="D30" s="16" t="str">
        <f t="shared" si="91"/>
        <v>Empate</v>
      </c>
      <c r="E30" s="16" t="str">
        <f t="shared" ca="1" si="92"/>
        <v>P.1 (3)</v>
      </c>
      <c r="F30" s="16" t="str">
        <f t="shared" ca="1" si="93"/>
        <v>P.1 (3)</v>
      </c>
      <c r="G30" s="16"/>
      <c r="H30" s="16" t="str">
        <f t="shared" ca="1" si="94"/>
        <v>P.1 (3)</v>
      </c>
      <c r="I30" s="16" t="str">
        <f t="shared" ca="1" si="95"/>
        <v>P.1 (3)</v>
      </c>
      <c r="J30" s="16"/>
      <c r="K30" s="16" t="str">
        <f t="shared" ca="1" si="96"/>
        <v>P.1 (3)</v>
      </c>
      <c r="L30" s="16" t="str">
        <f t="shared" ca="1" si="97"/>
        <v>P.1 (3)</v>
      </c>
      <c r="M30" s="16"/>
      <c r="N30" s="16" t="str">
        <f t="shared" ca="1" si="98"/>
        <v>P.2 (2)</v>
      </c>
      <c r="O30" s="16" t="str">
        <f t="shared" ca="1" si="99"/>
        <v>P.2 (2)</v>
      </c>
      <c r="P30" s="16"/>
      <c r="Q30" s="16" t="str">
        <f t="shared" ca="1" si="100"/>
        <v>P.2 (2)</v>
      </c>
      <c r="R30" s="16" t="str">
        <f t="shared" ca="1" si="101"/>
        <v>P.2 (2)</v>
      </c>
      <c r="S30" s="16"/>
      <c r="T30" s="16" t="str">
        <f t="shared" ca="1" si="102"/>
        <v>P.2 (2)</v>
      </c>
      <c r="U30" s="16" t="str">
        <f t="shared" ca="1" si="103"/>
        <v>P.2 (2)</v>
      </c>
      <c r="V30" s="17"/>
      <c r="W30" s="623"/>
      <c r="X30" s="24">
        <f ca="1">Horarios!C30</f>
        <v>46192.875</v>
      </c>
      <c r="Y30" s="25">
        <f ca="1">Horarios!C30</f>
        <v>46192.875</v>
      </c>
      <c r="Z30" s="26" t="str">
        <f>$Z$6</f>
        <v>J2</v>
      </c>
      <c r="AA30" s="27" t="str">
        <f ca="1">A29</f>
        <v>Estados Unidos</v>
      </c>
      <c r="AB30" s="49" t="e" cm="1" vm="13">
        <f t="array" aca="1" ref="AB30" ca="1">Ver_flag_local</f>
        <v>#VALUE!</v>
      </c>
      <c r="AC30" s="50">
        <v>0</v>
      </c>
      <c r="AD30" s="51">
        <v>0</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5</v>
      </c>
      <c r="AN30" s="36">
        <f t="shared" ca="1" si="107"/>
        <v>3</v>
      </c>
      <c r="AO30" s="36">
        <f t="shared" ca="1" si="107"/>
        <v>1</v>
      </c>
      <c r="AP30" s="36">
        <f t="shared" ca="1" si="107"/>
        <v>2</v>
      </c>
      <c r="AQ30" s="36">
        <f t="shared" ca="1" si="107"/>
        <v>0</v>
      </c>
      <c r="AR30" s="36">
        <f t="shared" ca="1" si="107"/>
        <v>4</v>
      </c>
      <c r="AS30" s="36">
        <f t="shared" ca="1" si="107"/>
        <v>3</v>
      </c>
      <c r="AT30" s="41">
        <f t="shared" ca="1" si="107"/>
        <v>1</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0</v>
      </c>
      <c r="BL30" s="16">
        <f t="shared" ca="1" si="42"/>
        <v>7</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 customHeight="1">
      <c r="A31" s="16" t="str">
        <f ca="1">+Equipos!B16</f>
        <v>Australia</v>
      </c>
      <c r="B31" s="16"/>
      <c r="C31" s="16"/>
      <c r="D31" s="16" t="str">
        <f t="shared" si="91"/>
        <v>Local</v>
      </c>
      <c r="E31" s="16" t="str">
        <f t="shared" ca="1" si="92"/>
        <v>P.1 (3)</v>
      </c>
      <c r="F31" s="16" t="str">
        <f t="shared" ca="1" si="93"/>
        <v>-</v>
      </c>
      <c r="G31" s="16"/>
      <c r="H31" s="16" t="str">
        <f t="shared" ca="1" si="94"/>
        <v>P.1 (3)</v>
      </c>
      <c r="I31" s="16" t="str">
        <f t="shared" ca="1" si="95"/>
        <v>-</v>
      </c>
      <c r="J31" s="16"/>
      <c r="K31" s="16" t="str">
        <f t="shared" ca="1" si="96"/>
        <v>P.1 (3)</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23"/>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5">
        <f t="array" aca="1" ref="AK31" ca="1">Ver_flag_visit</f>
        <v>#VALUE!</v>
      </c>
      <c r="AL31" s="37" t="str">
        <f ca="1">IFERROR(INDEX($BD$6:$BD$53,MATCH(AI31,$BN$6:$BN$53,0)),"")</f>
        <v>Australia</v>
      </c>
      <c r="AM31" s="38">
        <f t="shared" ca="1" si="107"/>
        <v>5</v>
      </c>
      <c r="AN31" s="39">
        <f t="shared" ca="1" si="107"/>
        <v>3</v>
      </c>
      <c r="AO31" s="39">
        <f t="shared" ca="1" si="107"/>
        <v>1</v>
      </c>
      <c r="AP31" s="39">
        <f t="shared" ca="1" si="107"/>
        <v>2</v>
      </c>
      <c r="AQ31" s="39">
        <f t="shared" ca="1" si="107"/>
        <v>0</v>
      </c>
      <c r="AR31" s="39">
        <f t="shared" ca="1" si="107"/>
        <v>4</v>
      </c>
      <c r="AS31" s="39">
        <f t="shared" ca="1" si="107"/>
        <v>2</v>
      </c>
      <c r="AT31" s="43">
        <f t="shared" ca="1" si="107"/>
        <v>2</v>
      </c>
      <c r="AU31" s="313">
        <f ca="1">INDEX($DL$6:$DL$53,MATCH(AI31,$DP$6:$DP$53,0))</f>
        <v>1</v>
      </c>
      <c r="AV31" s="172" t="str">
        <f ca="1">INDEX($BD$6:$BD$53,MATCH(AI31,$BM$6:$BM$53,0))</f>
        <v>Australia</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2</v>
      </c>
      <c r="BK31" s="16">
        <f t="shared" ca="1" si="21"/>
        <v>3</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 customHeight="1">
      <c r="A32" s="16" t="str">
        <f ca="1">+Equipos!B17</f>
        <v>Turquía</v>
      </c>
      <c r="B32" s="16"/>
      <c r="C32" s="16"/>
      <c r="D32" s="16" t="str">
        <f t="shared" si="91"/>
        <v>Empate</v>
      </c>
      <c r="E32" s="16" t="str">
        <f t="shared" ca="1" si="92"/>
        <v>P.1 (3)</v>
      </c>
      <c r="F32" s="16" t="str">
        <f t="shared" ca="1" si="93"/>
        <v>P.1 (3)</v>
      </c>
      <c r="G32" s="16"/>
      <c r="H32" s="16" t="str">
        <f t="shared" ca="1" si="94"/>
        <v>P.1 (3)</v>
      </c>
      <c r="I32" s="16" t="str">
        <f t="shared" ca="1" si="95"/>
        <v>P.1 (3)</v>
      </c>
      <c r="J32" s="16"/>
      <c r="K32" s="16" t="str">
        <f t="shared" ca="1" si="96"/>
        <v>P.1 (3)</v>
      </c>
      <c r="L32" s="16" t="str">
        <f t="shared" ca="1" si="97"/>
        <v>P.1 (3)</v>
      </c>
      <c r="M32" s="16"/>
      <c r="N32" s="16" t="str">
        <f t="shared" ca="1" si="98"/>
        <v>-</v>
      </c>
      <c r="O32" s="16" t="str">
        <f t="shared" ca="1" si="99"/>
        <v>P.2 (2)</v>
      </c>
      <c r="P32" s="16"/>
      <c r="Q32" s="16" t="str">
        <f t="shared" ca="1" si="100"/>
        <v>-</v>
      </c>
      <c r="R32" s="16" t="str">
        <f t="shared" ca="1" si="101"/>
        <v>P.2 (2)</v>
      </c>
      <c r="S32" s="16"/>
      <c r="T32" s="16" t="str">
        <f t="shared" ca="1" si="102"/>
        <v>-</v>
      </c>
      <c r="U32" s="16" t="str">
        <f t="shared" ca="1" si="103"/>
        <v>P.2 (2)</v>
      </c>
      <c r="V32" s="17"/>
      <c r="W32" s="623"/>
      <c r="X32" s="24">
        <f ca="1">Horarios!C32</f>
        <v>46199.166666666664</v>
      </c>
      <c r="Y32" s="25">
        <f ca="1">Horarios!C32</f>
        <v>46199.166666666664</v>
      </c>
      <c r="Z32" s="26" t="str">
        <f>$Z$8</f>
        <v>J3</v>
      </c>
      <c r="AA32" s="27" t="str">
        <f ca="1">A32</f>
        <v>Turquía</v>
      </c>
      <c r="AB32" s="49" t="e" cm="1" vm="16">
        <f t="array" aca="1" ref="AB32" ca="1">Ver_flag_local</f>
        <v>#VALUE!</v>
      </c>
      <c r="AC32" s="50">
        <v>1</v>
      </c>
      <c r="AD32" s="51">
        <v>1</v>
      </c>
      <c r="AE32" s="571" t="e" cm="1" vm="13">
        <f t="array" aca="1" ref="AE32" ca="1">Ver_flag_visit</f>
        <v>#VALUE!</v>
      </c>
      <c r="AF32" s="32" t="str">
        <f ca="1">A29</f>
        <v>Estados Unidos</v>
      </c>
      <c r="AG32" s="306">
        <f t="shared" si="104"/>
        <v>1</v>
      </c>
      <c r="AH32" s="185">
        <v>59</v>
      </c>
      <c r="AI32" s="171" t="str">
        <f t="shared" si="108"/>
        <v>3D</v>
      </c>
      <c r="AJ32" s="42">
        <v>3</v>
      </c>
      <c r="AK32" s="578" t="e" cm="1" vm="13">
        <f t="array" aca="1" ref="AK32" ca="1">Ver_flag_visit</f>
        <v>#VALUE!</v>
      </c>
      <c r="AL32" s="37" t="str">
        <f ca="1">IFERROR(INDEX($BD$6:$BD$53,MATCH(AI32,$BN$6:$BN$53,0)),"")</f>
        <v>Estados Unidos</v>
      </c>
      <c r="AM32" s="38">
        <f t="shared" ca="1" si="107"/>
        <v>5</v>
      </c>
      <c r="AN32" s="39">
        <f t="shared" ca="1" si="107"/>
        <v>3</v>
      </c>
      <c r="AO32" s="39">
        <f t="shared" ca="1" si="107"/>
        <v>1</v>
      </c>
      <c r="AP32" s="39">
        <f t="shared" ca="1" si="107"/>
        <v>2</v>
      </c>
      <c r="AQ32" s="39">
        <f t="shared" ca="1" si="107"/>
        <v>0</v>
      </c>
      <c r="AR32" s="39">
        <f t="shared" ca="1" si="107"/>
        <v>3</v>
      </c>
      <c r="AS32" s="39">
        <f t="shared" ca="1" si="107"/>
        <v>2</v>
      </c>
      <c r="AT32" s="43">
        <f t="shared" ca="1" si="107"/>
        <v>1</v>
      </c>
      <c r="AU32" s="313">
        <f ca="1">INDEX($DL$6:$DL$53,MATCH(AI32,$DP$6:$DP$53,0))</f>
        <v>1</v>
      </c>
      <c r="AV32" s="172" t="str">
        <f ca="1">INDEX($BD$6:$BD$53,MATCH(AI32,$BM$6:$BM$53,0))</f>
        <v>Estados Unidos</v>
      </c>
      <c r="AW32" s="200"/>
      <c r="AX32" s="161"/>
      <c r="AY32" s="191" t="str">
        <f ca="1">+A31</f>
        <v>Australia</v>
      </c>
      <c r="AZ32" s="192"/>
      <c r="BA32" s="16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1</v>
      </c>
      <c r="BK32" s="16">
        <f t="shared" ca="1" si="21"/>
        <v>3</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c r="A33" s="16"/>
      <c r="B33" s="16"/>
      <c r="C33" s="16"/>
      <c r="D33" s="16" t="str">
        <f t="shared" si="91"/>
        <v>Visitante</v>
      </c>
      <c r="E33" s="16" t="str">
        <f t="shared" ca="1" si="92"/>
        <v>-</v>
      </c>
      <c r="F33" s="16" t="str">
        <f t="shared" ca="1" si="93"/>
        <v>P.1 (3)</v>
      </c>
      <c r="G33" s="16"/>
      <c r="H33" s="16" t="str">
        <f t="shared" ca="1" si="94"/>
        <v>-</v>
      </c>
      <c r="I33" s="16" t="str">
        <f t="shared" ca="1" si="95"/>
        <v>P.1 (3)</v>
      </c>
      <c r="J33" s="16"/>
      <c r="K33" s="16" t="str">
        <f t="shared" ca="1" si="96"/>
        <v>-</v>
      </c>
      <c r="L33" s="16" t="str">
        <f t="shared" ca="1" si="97"/>
        <v>P.1 (3)</v>
      </c>
      <c r="M33" s="16"/>
      <c r="N33" s="16" t="str">
        <f t="shared" ca="1" si="98"/>
        <v>-</v>
      </c>
      <c r="O33" s="16" t="str">
        <f t="shared" ca="1" si="99"/>
        <v>P.2 (2)</v>
      </c>
      <c r="P33" s="16"/>
      <c r="Q33" s="16" t="str">
        <f t="shared" ca="1" si="100"/>
        <v>-</v>
      </c>
      <c r="R33" s="16" t="str">
        <f t="shared" ca="1" si="101"/>
        <v>P.2 (2)</v>
      </c>
      <c r="S33" s="16"/>
      <c r="T33" s="16" t="str">
        <f t="shared" ca="1" si="102"/>
        <v>-</v>
      </c>
      <c r="U33" s="16" t="str">
        <f t="shared" ca="1" si="103"/>
        <v>P.2 (2)</v>
      </c>
      <c r="V33" s="17"/>
      <c r="W33" s="624"/>
      <c r="X33" s="28">
        <f ca="1">Horarios!C33</f>
        <v>46199.166666666664</v>
      </c>
      <c r="Y33" s="29">
        <f ca="1">Horarios!C33</f>
        <v>46199.166666666664</v>
      </c>
      <c r="Z33" s="30" t="str">
        <f>$Z$8</f>
        <v>J3</v>
      </c>
      <c r="AA33" s="31" t="str">
        <f ca="1">A30</f>
        <v>Paraguay</v>
      </c>
      <c r="AB33" s="52" t="e" cm="1" vm="14">
        <f t="array" aca="1" ref="AB33" ca="1">Ver_flag_local</f>
        <v>#VALUE!</v>
      </c>
      <c r="AC33" s="50">
        <v>1</v>
      </c>
      <c r="AD33" s="51">
        <v>3</v>
      </c>
      <c r="AE33" s="572" t="e" cm="1" vm="15">
        <f t="array" aca="1" ref="AE33" ca="1">Ver_flag_visit</f>
        <v>#VALUE!</v>
      </c>
      <c r="AF33" s="33" t="str">
        <f ca="1">A31</f>
        <v>Australia</v>
      </c>
      <c r="AG33" s="306">
        <f t="shared" si="104"/>
        <v>1</v>
      </c>
      <c r="AH33" s="185">
        <v>60</v>
      </c>
      <c r="AI33" s="171" t="str">
        <f t="shared" si="108"/>
        <v>4D</v>
      </c>
      <c r="AJ33" s="44">
        <v>4</v>
      </c>
      <c r="AK33" s="580" t="e" cm="1" vm="14">
        <f t="array" aca="1" ref="AK33" ca="1">Ver_flag_visit</f>
        <v>#VALUE!</v>
      </c>
      <c r="AL33" s="45" t="str">
        <f ca="1">IFERROR(INDEX($BD$6:$BD$53,MATCH(AI33,$BN$6:$BN$53,0)),"")</f>
        <v>Paraguay</v>
      </c>
      <c r="AM33" s="46">
        <f t="shared" ca="1" si="107"/>
        <v>0</v>
      </c>
      <c r="AN33" s="47">
        <f t="shared" ca="1" si="107"/>
        <v>3</v>
      </c>
      <c r="AO33" s="47">
        <f t="shared" ca="1" si="107"/>
        <v>0</v>
      </c>
      <c r="AP33" s="47">
        <f t="shared" ca="1" si="107"/>
        <v>0</v>
      </c>
      <c r="AQ33" s="47">
        <f t="shared" ca="1" si="107"/>
        <v>3</v>
      </c>
      <c r="AR33" s="47">
        <f t="shared" ca="1" si="107"/>
        <v>3</v>
      </c>
      <c r="AS33" s="47">
        <f t="shared" ca="1" si="107"/>
        <v>7</v>
      </c>
      <c r="AT33" s="48">
        <f t="shared" ca="1" si="107"/>
        <v>-4</v>
      </c>
      <c r="AU33" s="313">
        <f ca="1">INDEX($DL$6:$DL$53,MATCH(AI33,$DP$6:$DP$53,0))</f>
        <v>1</v>
      </c>
      <c r="AV33" s="172" t="str">
        <f ca="1">INDEX($BD$6:$BD$53,MATCH(AI33,$BM$6:$BM$53,0))</f>
        <v>Paraguay</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4</v>
      </c>
      <c r="BL33" s="16">
        <f t="shared" ca="1" si="42"/>
        <v>-4</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6</v>
      </c>
      <c r="BF34" s="16">
        <f t="shared" ca="1" si="41"/>
        <v>3</v>
      </c>
      <c r="BG34" s="16">
        <f t="shared" ca="1" si="17"/>
        <v>2</v>
      </c>
      <c r="BH34" s="16">
        <f t="shared" ca="1" si="18"/>
        <v>0</v>
      </c>
      <c r="BI34" s="16">
        <f t="shared" ca="1" si="19"/>
        <v>1</v>
      </c>
      <c r="BJ34" s="16">
        <f t="shared" ca="1" si="20"/>
        <v>6</v>
      </c>
      <c r="BK34" s="16">
        <f t="shared" ca="1" si="21"/>
        <v>2</v>
      </c>
      <c r="BL34" s="16">
        <f t="shared" ca="1" si="42"/>
        <v>4</v>
      </c>
      <c r="BM34" s="16" t="str">
        <f t="shared" ca="1" si="22"/>
        <v>2H</v>
      </c>
      <c r="BN34" s="16" t="str">
        <f t="shared" ca="1" si="23"/>
        <v>2H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6</v>
      </c>
      <c r="BS34" s="16">
        <f ca="1">BP34+COUNTIFS($BQ$6:$BQ$53,BQ34,$BR$6:BR$53,"&gt;"&amp;BR34,$BC$6:$BC$53,INDEX(T_Equipos[Grupo],MATCH(BD34,T_Equipos[NombreEquipo],0)))</f>
        <v>2</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2</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2</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2</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2</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2</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2</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2</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2</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2</v>
      </c>
      <c r="DE34" s="16"/>
      <c r="DF34" s="16">
        <f t="shared" ca="1" si="52"/>
        <v>2</v>
      </c>
      <c r="DG34" s="16" t="str">
        <f ca="1">IF(DB34="-","-",COUNTIFS(DF$6:DF$53,"&lt;"&amp;DF34,$BC$6:$BC$53,INDEX(T_Equipos[Grupo],MATCH(BD34,T_Equipos[NombreEquipo],0))))</f>
        <v>-</v>
      </c>
      <c r="DH34" s="16">
        <f ca="1">DA34+COUNTIFS(DB$6:DB$53,DB34,DG$6:DG$53,"&lt;"&amp;DG34,$BC$6:$BC$53,INDEX(T_Equipos[Grupo],MATCH(BD34,T_Equipos[NombreEquipo],0)))</f>
        <v>2</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Uruguay</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3</v>
      </c>
      <c r="BF35" s="16">
        <f t="shared" ca="1" si="41"/>
        <v>3</v>
      </c>
      <c r="BG35" s="16">
        <f t="shared" ca="1" si="17"/>
        <v>1</v>
      </c>
      <c r="BH35" s="16">
        <f t="shared" ca="1" si="18"/>
        <v>0</v>
      </c>
      <c r="BI35" s="16">
        <f t="shared" ca="1" si="19"/>
        <v>2</v>
      </c>
      <c r="BJ35" s="16">
        <f t="shared" ca="1" si="20"/>
        <v>3</v>
      </c>
      <c r="BK35" s="16">
        <f t="shared" ca="1" si="21"/>
        <v>5</v>
      </c>
      <c r="BL35" s="16">
        <f t="shared" ca="1" si="42"/>
        <v>-2</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España</v>
      </c>
    </row>
    <row r="36" spans="1:121" ht="16"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25"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1</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0</v>
      </c>
      <c r="BF36" s="16">
        <f t="shared" ca="1" si="41"/>
        <v>3</v>
      </c>
      <c r="BG36" s="16">
        <f t="shared" ca="1" si="17"/>
        <v>0</v>
      </c>
      <c r="BH36" s="16">
        <f t="shared" ca="1" si="18"/>
        <v>0</v>
      </c>
      <c r="BI36" s="16">
        <f t="shared" ca="1" si="19"/>
        <v>3</v>
      </c>
      <c r="BJ36" s="16">
        <f t="shared" ca="1" si="20"/>
        <v>1</v>
      </c>
      <c r="BK36" s="16">
        <f t="shared" ca="1" si="21"/>
        <v>8</v>
      </c>
      <c r="BL36" s="16">
        <f t="shared" ca="1" si="42"/>
        <v>-7</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0</v>
      </c>
      <c r="BS36" s="16">
        <f ca="1">BP36+COUNTIFS($BQ$6:$BQ$53,BQ36,$BR$6:BR$53,"&gt;"&amp;BR36,$BC$6:$BC$53,INDEX(T_Equipos[Grupo],MATCH(BD36,T_Equipos[NombreEquipo],0)))</f>
        <v>4</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4</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4</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4</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4</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4</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4</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 customHeight="1">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25"/>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9</v>
      </c>
      <c r="BF37" s="16">
        <f t="shared" ca="1" si="41"/>
        <v>3</v>
      </c>
      <c r="BG37" s="16">
        <f t="shared" ca="1" si="17"/>
        <v>3</v>
      </c>
      <c r="BH37" s="16">
        <f t="shared" ca="1" si="18"/>
        <v>0</v>
      </c>
      <c r="BI37" s="16">
        <f t="shared" ca="1" si="19"/>
        <v>0</v>
      </c>
      <c r="BJ37" s="16">
        <f t="shared" ca="1" si="20"/>
        <v>7</v>
      </c>
      <c r="BK37" s="16">
        <f t="shared" ca="1" si="21"/>
        <v>2</v>
      </c>
      <c r="BL37" s="16">
        <f t="shared" ca="1" si="42"/>
        <v>5</v>
      </c>
      <c r="BM37" s="16" t="str">
        <f t="shared" ca="1" si="22"/>
        <v>1H</v>
      </c>
      <c r="BN37" s="16" t="str">
        <f t="shared" ca="1" si="23"/>
        <v>1H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9</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1</v>
      </c>
      <c r="DE37" s="16"/>
      <c r="DF37" s="16">
        <f t="shared" ca="1" si="52"/>
        <v>1</v>
      </c>
      <c r="DG37" s="16" t="str">
        <f ca="1">IF(DB37="-","-",COUNTIFS(DF$6:DF$53,"&lt;"&amp;DF37,$BC$6:$BC$53,INDEX(T_Equipos[Grupo],MATCH(BD37,T_Equipos[NombreEquipo],0))))</f>
        <v>-</v>
      </c>
      <c r="DH37" s="16">
        <f ca="1">DA37+COUNTIFS(DB$6:DB$53,DB37,DG$6:DG$53,"&lt;"&amp;DG37,$BC$6:$BC$53,INDEX(T_Equipos[Grupo],MATCH(BD37,T_Equipos[NombreEquipo],0)))</f>
        <v>1</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Arabia Saudita</v>
      </c>
    </row>
    <row r="38" spans="1:121" ht="16" customHeight="1">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25"/>
      <c r="X38" s="24">
        <f ca="1">Horarios!C38</f>
        <v>46193.916666666664</v>
      </c>
      <c r="Y38" s="25">
        <f ca="1">Horarios!C38</f>
        <v>46193.916666666664</v>
      </c>
      <c r="Z38" s="26" t="str">
        <f>$Z$6</f>
        <v>J2</v>
      </c>
      <c r="AA38" s="27" t="str">
        <f ca="1">A37</f>
        <v>Alemania</v>
      </c>
      <c r="AB38" s="49" t="e" cm="1" vm="17">
        <f t="array" aca="1" ref="AB38" ca="1">Ver_flag_local</f>
        <v>#VALUE!</v>
      </c>
      <c r="AC38" s="50">
        <v>2</v>
      </c>
      <c r="AD38" s="51">
        <v>0</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7</v>
      </c>
      <c r="AS38" s="36">
        <f t="shared" ca="1" si="127"/>
        <v>2</v>
      </c>
      <c r="AT38" s="41">
        <f t="shared" ca="1" si="127"/>
        <v>5</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 customHeight="1">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25"/>
      <c r="X39" s="24">
        <f ca="1">Horarios!C39</f>
        <v>46194.083333333336</v>
      </c>
      <c r="Y39" s="25">
        <f ca="1">Horarios!C39</f>
        <v>46194.083333333336</v>
      </c>
      <c r="Z39" s="26" t="str">
        <f>$Z$6</f>
        <v>J2</v>
      </c>
      <c r="AA39" s="27" t="str">
        <f ca="1">A40</f>
        <v>Ecuador</v>
      </c>
      <c r="AB39" s="49" t="e" cm="1" vm="20">
        <f t="array" aca="1" ref="AB39" ca="1">Ver_flag_local</f>
        <v>#VALUE!</v>
      </c>
      <c r="AC39" s="50">
        <v>3</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6</v>
      </c>
      <c r="AS39" s="39">
        <f t="shared" ca="1" si="127"/>
        <v>2</v>
      </c>
      <c r="AT39" s="43">
        <f t="shared" ca="1" si="127"/>
        <v>4</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3</v>
      </c>
      <c r="BK39" s="16">
        <f t="shared" ca="1" si="21"/>
        <v>3</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Senegal</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25"/>
      <c r="X40" s="24">
        <f ca="1">Horarios!C40</f>
        <v>46198.916666666664</v>
      </c>
      <c r="Y40" s="25">
        <f ca="1">Horarios!C40</f>
        <v>46198.916666666664</v>
      </c>
      <c r="Z40" s="26" t="str">
        <f>$Z$8</f>
        <v>J3</v>
      </c>
      <c r="AA40" s="27" t="str">
        <f ca="1">A38</f>
        <v>Curazao</v>
      </c>
      <c r="AB40" s="49" t="e" cm="1" vm="18">
        <f t="array" aca="1" ref="AB40" ca="1">Ver_flag_local</f>
        <v>#VALUE!</v>
      </c>
      <c r="AC40" s="50">
        <v>1</v>
      </c>
      <c r="AD40" s="51">
        <v>3</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5</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5</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26"/>
      <c r="X41" s="28">
        <f ca="1">Horarios!C41</f>
        <v>46198.916666666664</v>
      </c>
      <c r="Y41" s="29">
        <f ca="1">Horarios!C41</f>
        <v>46198.916666666664</v>
      </c>
      <c r="Z41" s="30" t="str">
        <f>$Z$8</f>
        <v>J3</v>
      </c>
      <c r="AA41" s="31" t="str">
        <f ca="1">A40</f>
        <v>Ecuador</v>
      </c>
      <c r="AB41" s="52" t="e" cm="1" vm="20">
        <f t="array" aca="1" ref="AB41" ca="1">Ver_flag_local</f>
        <v>#VALUE!</v>
      </c>
      <c r="AC41" s="50">
        <v>1</v>
      </c>
      <c r="AD41" s="51">
        <v>1</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2</v>
      </c>
      <c r="AS41" s="47">
        <f t="shared" ca="1" si="127"/>
        <v>10</v>
      </c>
      <c r="AT41" s="48">
        <f t="shared" ca="1" si="127"/>
        <v>-8</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3</v>
      </c>
      <c r="BF41" s="16">
        <f t="shared" ca="1" si="41"/>
        <v>3</v>
      </c>
      <c r="BG41" s="16">
        <f t="shared" ca="1" si="17"/>
        <v>1</v>
      </c>
      <c r="BH41" s="16">
        <f t="shared" ca="1" si="18"/>
        <v>0</v>
      </c>
      <c r="BI41" s="16">
        <f t="shared" ca="1" si="19"/>
        <v>2</v>
      </c>
      <c r="BJ41" s="16">
        <f t="shared" ca="1" si="20"/>
        <v>2</v>
      </c>
      <c r="BK41" s="16">
        <f t="shared" ca="1" si="21"/>
        <v>4</v>
      </c>
      <c r="BL41" s="16">
        <f t="shared" ca="1" si="42"/>
        <v>-2</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6</v>
      </c>
      <c r="BK42" s="16">
        <f t="shared" ca="1" si="21"/>
        <v>3</v>
      </c>
      <c r="BL42" s="16">
        <f t="shared" ca="1" si="42"/>
        <v>3</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1</v>
      </c>
      <c r="CB42" s="16">
        <f t="shared" ca="1" si="28"/>
        <v>1</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1</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1</v>
      </c>
      <c r="CP42" s="16">
        <f t="shared" ca="1" si="34"/>
        <v>1</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1</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3</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3</v>
      </c>
      <c r="BK43" s="16">
        <f t="shared" ca="1" si="21"/>
        <v>5</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 customHeight="1" thickBot="1">
      <c r="A44" s="16" t="s">
        <v>32</v>
      </c>
      <c r="B44" s="16" t="s">
        <v>4</v>
      </c>
      <c r="C44" s="16">
        <f>COUNTIF(Equipos!$C$2:$C$49,WORLDCUP!B44)</f>
        <v>4</v>
      </c>
      <c r="D44" s="16" t="str">
        <f t="shared" ref="D44:D49" si="131">IF(OR(AC44="",AD44=""),"Pendiente",IF(AC44&gt;AD44,"Local",IF(AC44&lt;AD44,"Visitante","Empate")))</f>
        <v>Visitante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3" t="s">
        <v>4</v>
      </c>
      <c r="X44" s="24">
        <f ca="1">Horarios!C44</f>
        <v>46187.916666666664</v>
      </c>
      <c r="Y44" s="25">
        <f ca="1">Horarios!C44</f>
        <v>46187.916666666664</v>
      </c>
      <c r="Z44" s="26" t="str">
        <f>$Z$4</f>
        <v>J1</v>
      </c>
      <c r="AA44" s="27" t="str">
        <f ca="1">A45</f>
        <v>Países Bajos</v>
      </c>
      <c r="AB44" s="49" t="e" cm="1" vm="21">
        <f t="array" aca="1" ref="AB44" ca="1">Ver_flag_local</f>
        <v>#VALUE!</v>
      </c>
      <c r="AC44" s="50">
        <v>1</v>
      </c>
      <c r="AD44" s="51">
        <v>2</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7</v>
      </c>
      <c r="BF44" s="16">
        <f t="shared" ca="1" si="41"/>
        <v>3</v>
      </c>
      <c r="BG44" s="16">
        <f t="shared" ca="1" si="17"/>
        <v>2</v>
      </c>
      <c r="BH44" s="16">
        <f t="shared" ca="1" si="18"/>
        <v>1</v>
      </c>
      <c r="BI44" s="16">
        <f t="shared" ca="1" si="19"/>
        <v>0</v>
      </c>
      <c r="BJ44" s="16">
        <f t="shared" ca="1" si="20"/>
        <v>3</v>
      </c>
      <c r="BK44" s="16">
        <f t="shared" ca="1" si="21"/>
        <v>1</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1</v>
      </c>
      <c r="CB44" s="16">
        <f t="shared" ca="1" si="28"/>
        <v>1</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1</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1</v>
      </c>
      <c r="CP44" s="16">
        <f t="shared" ca="1" si="34"/>
        <v>1</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1</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2</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c r="A45" s="16" t="str">
        <f ca="1">+Equipos!B22</f>
        <v>Países Bajos</v>
      </c>
      <c r="B45" s="16"/>
      <c r="C45" s="16"/>
      <c r="D45" s="16" t="str">
        <f t="shared" si="131"/>
        <v>Empate</v>
      </c>
      <c r="E45" s="16" t="str">
        <f t="shared" ca="1" si="132"/>
        <v>P.3 (2)</v>
      </c>
      <c r="F45" s="16" t="str">
        <f t="shared" ca="1" si="133"/>
        <v>P.3 (2)</v>
      </c>
      <c r="G45" s="16"/>
      <c r="H45" s="16" t="str">
        <f t="shared" ca="1" si="134"/>
        <v>P.3 (2)</v>
      </c>
      <c r="I45" s="16" t="str">
        <f t="shared" ca="1" si="135"/>
        <v>P.3 (2)</v>
      </c>
      <c r="J45" s="16"/>
      <c r="K45" s="16" t="str">
        <f t="shared" ca="1" si="136"/>
        <v>P.3 (2)</v>
      </c>
      <c r="L45" s="16" t="str">
        <f t="shared" ca="1" si="137"/>
        <v>P.3 (2)</v>
      </c>
      <c r="M45" s="16"/>
      <c r="N45" s="16" t="str">
        <f t="shared" ca="1" si="138"/>
        <v>P.3 (2)</v>
      </c>
      <c r="O45" s="16" t="str">
        <f t="shared" ca="1" si="139"/>
        <v>P.3 (2)</v>
      </c>
      <c r="P45" s="16"/>
      <c r="Q45" s="16" t="str">
        <f t="shared" ca="1" si="140"/>
        <v>P.3 (2)</v>
      </c>
      <c r="R45" s="16" t="str">
        <f t="shared" ca="1" si="141"/>
        <v>P.3 (2)</v>
      </c>
      <c r="S45" s="16"/>
      <c r="T45" s="16" t="str">
        <f t="shared" ca="1" si="142"/>
        <v>P.3 (2)</v>
      </c>
      <c r="U45" s="16" t="str">
        <f t="shared" ca="1" si="143"/>
        <v>P.3 (2)</v>
      </c>
      <c r="V45" s="17"/>
      <c r="W45" s="633"/>
      <c r="X45" s="24">
        <f ca="1">Horarios!C45</f>
        <v>46188.166666666664</v>
      </c>
      <c r="Y45" s="25">
        <f ca="1">Horarios!C45</f>
        <v>46188.166666666664</v>
      </c>
      <c r="Z45" s="26" t="str">
        <f>$Z$4</f>
        <v>J1</v>
      </c>
      <c r="AA45" s="27" t="str">
        <f ca="1">A47</f>
        <v>Suecia</v>
      </c>
      <c r="AB45" s="49" t="e" cm="1" vm="23">
        <f t="array" aca="1" ref="AB45" ca="1">Ver_flag_local</f>
        <v>#VALUE!</v>
      </c>
      <c r="AC45" s="50">
        <v>1</v>
      </c>
      <c r="AD45" s="51">
        <v>1</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2</v>
      </c>
      <c r="BK45" s="16">
        <f t="shared" ca="1" si="21"/>
        <v>5</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 customHeight="1">
      <c r="A46" s="16" t="str">
        <f ca="1">+Equipos!B23</f>
        <v>Japón</v>
      </c>
      <c r="B46" s="16"/>
      <c r="C46" s="16"/>
      <c r="D46" s="16" t="str">
        <f t="shared" si="131"/>
        <v>Local</v>
      </c>
      <c r="E46" s="16" t="str">
        <f t="shared" ca="1" si="132"/>
        <v>-</v>
      </c>
      <c r="F46" s="16" t="str">
        <f t="shared" ca="1" si="133"/>
        <v>P.3 (2)</v>
      </c>
      <c r="G46" s="16"/>
      <c r="H46" s="16" t="str">
        <f t="shared" ca="1" si="134"/>
        <v>-</v>
      </c>
      <c r="I46" s="16" t="str">
        <f t="shared" ca="1" si="135"/>
        <v>P.3 (2)</v>
      </c>
      <c r="J46" s="16"/>
      <c r="K46" s="16" t="str">
        <f t="shared" ca="1" si="136"/>
        <v>-</v>
      </c>
      <c r="L46" s="16" t="str">
        <f t="shared" ca="1" si="137"/>
        <v>P.3 (2)</v>
      </c>
      <c r="M46" s="16"/>
      <c r="N46" s="16" t="str">
        <f t="shared" ca="1" si="138"/>
        <v>-</v>
      </c>
      <c r="O46" s="16" t="str">
        <f t="shared" ca="1" si="139"/>
        <v>P.3 (2)</v>
      </c>
      <c r="P46" s="16"/>
      <c r="Q46" s="16" t="str">
        <f t="shared" ca="1" si="140"/>
        <v>-</v>
      </c>
      <c r="R46" s="16" t="str">
        <f t="shared" ca="1" si="141"/>
        <v>P.3 (2)</v>
      </c>
      <c r="S46" s="16"/>
      <c r="T46" s="16" t="str">
        <f t="shared" ca="1" si="142"/>
        <v>-</v>
      </c>
      <c r="U46" s="16" t="str">
        <f t="shared" ca="1" si="143"/>
        <v>P.3 (2)</v>
      </c>
      <c r="V46" s="17"/>
      <c r="W46" s="633"/>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0</v>
      </c>
      <c r="AE46" s="571" t="e" cm="1" vm="23">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Japón</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3</v>
      </c>
      <c r="AT46" s="41">
        <f t="shared" ca="1" si="147"/>
        <v>4</v>
      </c>
      <c r="AU46" s="313">
        <f ca="1">INDEX($DL$6:$DL$53,MATCH(AI46,$DP$6:$DP$53,0))</f>
        <v>1</v>
      </c>
      <c r="AV46" s="172" t="str">
        <f ca="1">INDEX($BD$6:$BD$53,MATCH(AI46,$BM$6:$BM$53,0))</f>
        <v>Japón</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6</v>
      </c>
      <c r="BK46" s="16">
        <f t="shared" ca="1" si="21"/>
        <v>0</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 customHeight="1">
      <c r="A47" s="16" t="str">
        <f ca="1">+Equipos!B24</f>
        <v>Suecia</v>
      </c>
      <c r="B47" s="16"/>
      <c r="C47" s="16"/>
      <c r="D47" s="16" t="str">
        <f t="shared" si="131"/>
        <v>Visitante</v>
      </c>
      <c r="E47" s="16" t="str">
        <f t="shared" ca="1" si="132"/>
        <v>P.3 (2)</v>
      </c>
      <c r="F47" s="16" t="str">
        <f t="shared" ca="1" si="133"/>
        <v>-</v>
      </c>
      <c r="G47" s="16"/>
      <c r="H47" s="16" t="str">
        <f t="shared" ca="1" si="134"/>
        <v>P.3 (2)</v>
      </c>
      <c r="I47" s="16" t="str">
        <f t="shared" ca="1" si="135"/>
        <v>-</v>
      </c>
      <c r="J47" s="16"/>
      <c r="K47" s="16" t="str">
        <f t="shared" ca="1" si="136"/>
        <v>P.3 (2)</v>
      </c>
      <c r="L47" s="16" t="str">
        <f t="shared" ca="1" si="137"/>
        <v>-</v>
      </c>
      <c r="M47" s="16"/>
      <c r="N47" s="16" t="str">
        <f t="shared" ca="1" si="138"/>
        <v>P.3 (2)</v>
      </c>
      <c r="O47" s="16" t="str">
        <f t="shared" ca="1" si="139"/>
        <v>-</v>
      </c>
      <c r="P47" s="16"/>
      <c r="Q47" s="16" t="str">
        <f t="shared" ca="1" si="140"/>
        <v>P.3 (2)</v>
      </c>
      <c r="R47" s="16" t="str">
        <f t="shared" ca="1" si="141"/>
        <v>-</v>
      </c>
      <c r="S47" s="16"/>
      <c r="T47" s="16" t="str">
        <f t="shared" ca="1" si="142"/>
        <v>P.3 (2)</v>
      </c>
      <c r="U47" s="16" t="str">
        <f t="shared" ca="1" si="143"/>
        <v>-</v>
      </c>
      <c r="V47" s="17"/>
      <c r="W47" s="633"/>
      <c r="X47" s="24">
        <f ca="1">Horarios!C47</f>
        <v>46194.25</v>
      </c>
      <c r="Y47" s="25">
        <f ca="1">Horarios!C47</f>
        <v>46194.25</v>
      </c>
      <c r="Z47" s="26" t="str">
        <f>$Z$6</f>
        <v>J2</v>
      </c>
      <c r="AA47" s="27" t="str">
        <f ca="1">A48</f>
        <v>Túnez</v>
      </c>
      <c r="AB47" s="49" t="e" cm="1" vm="24">
        <f t="array" aca="1" ref="AB47" ca="1">Ver_flag_local</f>
        <v>#VALUE!</v>
      </c>
      <c r="AC47" s="50">
        <v>1</v>
      </c>
      <c r="AD47" s="51">
        <v>3</v>
      </c>
      <c r="AE47" s="571" t="e" cm="1" vm="22">
        <f t="array" aca="1" ref="AE47" ca="1">Ver_flag_visit</f>
        <v>#VALUE!</v>
      </c>
      <c r="AF47" s="32" t="str">
        <f ca="1">A46</f>
        <v>Japón</v>
      </c>
      <c r="AG47" s="306">
        <f t="shared" si="144"/>
        <v>1</v>
      </c>
      <c r="AH47" s="185">
        <v>36</v>
      </c>
      <c r="AI47" s="171" t="str">
        <f t="shared" ref="AI47:AI49" si="148">AJ47&amp;$B$44</f>
        <v>2F</v>
      </c>
      <c r="AJ47" s="42">
        <v>2</v>
      </c>
      <c r="AK47" s="578" t="e" cm="1" vm="21">
        <f t="array" aca="1" ref="AK47" ca="1">Ver_flag_visit</f>
        <v>#VALUE!</v>
      </c>
      <c r="AL47" s="37" t="str">
        <f ca="1">IFERROR(INDEX($BD$6:$BD$53,MATCH(AI47,$BN$6:$BN$53,0)),"")</f>
        <v>Países Bajos</v>
      </c>
      <c r="AM47" s="38">
        <f t="shared" ca="1" si="147"/>
        <v>6</v>
      </c>
      <c r="AN47" s="39">
        <f t="shared" ca="1" si="147"/>
        <v>3</v>
      </c>
      <c r="AO47" s="39">
        <f t="shared" ca="1" si="147"/>
        <v>2</v>
      </c>
      <c r="AP47" s="39">
        <f t="shared" ca="1" si="147"/>
        <v>0</v>
      </c>
      <c r="AQ47" s="39">
        <f t="shared" ca="1" si="147"/>
        <v>1</v>
      </c>
      <c r="AR47" s="39">
        <f t="shared" ca="1" si="147"/>
        <v>5</v>
      </c>
      <c r="AS47" s="39">
        <f t="shared" ca="1" si="147"/>
        <v>3</v>
      </c>
      <c r="AT47" s="43">
        <f t="shared" ca="1" si="147"/>
        <v>2</v>
      </c>
      <c r="AU47" s="313">
        <f ca="1">INDEX($DL$6:$DL$53,MATCH(AI47,$DP$6:$DP$53,0))</f>
        <v>1</v>
      </c>
      <c r="AV47" s="172" t="str">
        <f ca="1">INDEX($BD$6:$BD$53,MATCH(AI47,$BM$6:$BM$53,0))</f>
        <v>Países Bajos</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 customHeight="1">
      <c r="A48" s="16" t="str">
        <f ca="1">+Equipos!B25</f>
        <v>Túnez</v>
      </c>
      <c r="B48" s="16"/>
      <c r="C48" s="16"/>
      <c r="D48" s="16" t="str">
        <f t="shared" si="131"/>
        <v>Local</v>
      </c>
      <c r="E48" s="16" t="str">
        <f t="shared" ca="1" si="132"/>
        <v>-</v>
      </c>
      <c r="F48" s="16" t="str">
        <f t="shared" ca="1" si="133"/>
        <v>P.3 (2)</v>
      </c>
      <c r="G48" s="16"/>
      <c r="H48" s="16" t="str">
        <f t="shared" ca="1" si="134"/>
        <v>-</v>
      </c>
      <c r="I48" s="16" t="str">
        <f t="shared" ca="1" si="135"/>
        <v>P.3 (2)</v>
      </c>
      <c r="J48" s="16"/>
      <c r="K48" s="16" t="str">
        <f t="shared" ca="1" si="136"/>
        <v>-</v>
      </c>
      <c r="L48" s="16" t="str">
        <f t="shared" ca="1" si="137"/>
        <v>P.3 (2)</v>
      </c>
      <c r="M48" s="16"/>
      <c r="N48" s="16" t="str">
        <f t="shared" ca="1" si="138"/>
        <v>-</v>
      </c>
      <c r="O48" s="16" t="str">
        <f t="shared" ca="1" si="139"/>
        <v>P.3 (2)</v>
      </c>
      <c r="P48" s="16"/>
      <c r="Q48" s="16" t="str">
        <f t="shared" ca="1" si="140"/>
        <v>-</v>
      </c>
      <c r="R48" s="16" t="str">
        <f t="shared" ca="1" si="141"/>
        <v>P.3 (2)</v>
      </c>
      <c r="S48" s="16"/>
      <c r="T48" s="16" t="str">
        <f t="shared" ca="1" si="142"/>
        <v>-</v>
      </c>
      <c r="U48" s="16" t="str">
        <f t="shared" ca="1" si="143"/>
        <v>P.3 (2)</v>
      </c>
      <c r="V48" s="17"/>
      <c r="W48" s="633"/>
      <c r="X48" s="24">
        <f ca="1">Horarios!C48</f>
        <v>46199.041666666664</v>
      </c>
      <c r="Y48" s="25">
        <f ca="1">Horarios!C48</f>
        <v>46199.041666666664</v>
      </c>
      <c r="Z48" s="26" t="str">
        <f>$Z$8</f>
        <v>J3</v>
      </c>
      <c r="AA48" s="27" t="str">
        <f ca="1">A46</f>
        <v>Japón</v>
      </c>
      <c r="AB48" s="49" t="e" cm="1" vm="22">
        <f t="array" aca="1" ref="AB48" ca="1">Ver_flag_local</f>
        <v>#VALUE!</v>
      </c>
      <c r="AC48" s="50">
        <v>2</v>
      </c>
      <c r="AD48" s="51">
        <v>1</v>
      </c>
      <c r="AE48" s="571" t="e" cm="1" vm="23">
        <f t="array" aca="1" ref="AE48" ca="1">Ver_flag_visit</f>
        <v>#VALUE!</v>
      </c>
      <c r="AF48" s="32" t="str">
        <f ca="1">A47</f>
        <v>Suecia</v>
      </c>
      <c r="AG48" s="306">
        <f t="shared" si="144"/>
        <v>1</v>
      </c>
      <c r="AH48" s="185">
        <v>57</v>
      </c>
      <c r="AI48" s="171" t="str">
        <f t="shared" si="148"/>
        <v>3F</v>
      </c>
      <c r="AJ48" s="42">
        <v>3</v>
      </c>
      <c r="AK48" s="578" t="e" cm="1" vm="24">
        <f t="array" aca="1" ref="AK48" ca="1">Ver_flag_visit</f>
        <v>#VALUE!</v>
      </c>
      <c r="AL48" s="37" t="str">
        <f ca="1">IFERROR(INDEX($BD$6:$BD$53,MATCH(AI48,$BN$6:$BN$53,0)),"")</f>
        <v>Túnez</v>
      </c>
      <c r="AM48" s="38">
        <f t="shared" ca="1" si="147"/>
        <v>1</v>
      </c>
      <c r="AN48" s="39">
        <f t="shared" ca="1" si="147"/>
        <v>3</v>
      </c>
      <c r="AO48" s="39">
        <f t="shared" ca="1" si="147"/>
        <v>0</v>
      </c>
      <c r="AP48" s="39">
        <f t="shared" ca="1" si="147"/>
        <v>1</v>
      </c>
      <c r="AQ48" s="39">
        <f t="shared" ca="1" si="147"/>
        <v>2</v>
      </c>
      <c r="AR48" s="39">
        <f t="shared" ca="1" si="147"/>
        <v>3</v>
      </c>
      <c r="AS48" s="39">
        <f t="shared" ca="1" si="147"/>
        <v>6</v>
      </c>
      <c r="AT48" s="43">
        <f t="shared" ca="1" si="147"/>
        <v>-3</v>
      </c>
      <c r="AU48" s="313">
        <f ca="1">INDEX($DL$6:$DL$53,MATCH(AI48,$DP$6:$DP$53,0))</f>
        <v>1</v>
      </c>
      <c r="AV48" s="172" t="str">
        <f ca="1">INDEX($BD$6:$BD$53,MATCH(AI48,$BM$6:$BM$53,0))</f>
        <v>Túnez</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7</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-6</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c r="A49" s="16"/>
      <c r="B49" s="16"/>
      <c r="C49" s="16"/>
      <c r="D49" s="16" t="str">
        <f t="shared" si="131"/>
        <v>Visitante</v>
      </c>
      <c r="E49" s="16" t="str">
        <f t="shared" ca="1" si="132"/>
        <v>P.3 (2)</v>
      </c>
      <c r="F49" s="16" t="str">
        <f t="shared" ca="1" si="133"/>
        <v>-</v>
      </c>
      <c r="G49" s="16"/>
      <c r="H49" s="16" t="str">
        <f t="shared" ca="1" si="134"/>
        <v>P.3 (2)</v>
      </c>
      <c r="I49" s="16" t="str">
        <f t="shared" ca="1" si="135"/>
        <v>-</v>
      </c>
      <c r="J49" s="16"/>
      <c r="K49" s="16" t="str">
        <f t="shared" ca="1" si="136"/>
        <v>P.3 (2)</v>
      </c>
      <c r="L49" s="16" t="str">
        <f t="shared" ca="1" si="137"/>
        <v>-</v>
      </c>
      <c r="M49" s="16"/>
      <c r="N49" s="16" t="str">
        <f t="shared" ca="1" si="138"/>
        <v>P.3 (2)</v>
      </c>
      <c r="O49" s="16" t="str">
        <f t="shared" ca="1" si="139"/>
        <v>-</v>
      </c>
      <c r="P49" s="16"/>
      <c r="Q49" s="16" t="str">
        <f t="shared" ca="1" si="140"/>
        <v>P.3 (2)</v>
      </c>
      <c r="R49" s="16" t="str">
        <f t="shared" ca="1" si="141"/>
        <v>-</v>
      </c>
      <c r="S49" s="16"/>
      <c r="T49" s="16" t="str">
        <f t="shared" ca="1" si="142"/>
        <v>P.3 (2)</v>
      </c>
      <c r="U49" s="16" t="str">
        <f t="shared" ca="1" si="143"/>
        <v>-</v>
      </c>
      <c r="V49" s="17"/>
      <c r="W49" s="634"/>
      <c r="X49" s="28">
        <f ca="1">Horarios!C49</f>
        <v>46199.041666666664</v>
      </c>
      <c r="Y49" s="29">
        <f ca="1">Horarios!C49</f>
        <v>46199.041666666664</v>
      </c>
      <c r="Z49" s="30" t="str">
        <f>$Z$8</f>
        <v>J3</v>
      </c>
      <c r="AA49" s="31" t="str">
        <f ca="1">A48</f>
        <v>Túnez</v>
      </c>
      <c r="AB49" s="52" t="e" cm="1" vm="24">
        <f t="array" aca="1" ref="AB49" ca="1">Ver_flag_local</f>
        <v>#VALUE!</v>
      </c>
      <c r="AC49" s="50">
        <v>1</v>
      </c>
      <c r="AD49" s="51">
        <v>2</v>
      </c>
      <c r="AE49" s="572" t="e" cm="1" vm="21">
        <f t="array" aca="1" ref="AE49" ca="1">Ver_flag_visit</f>
        <v>#VALUE!</v>
      </c>
      <c r="AF49" s="33" t="str">
        <f ca="1">A45</f>
        <v>Países Bajos</v>
      </c>
      <c r="AG49" s="306">
        <f t="shared" si="144"/>
        <v>1</v>
      </c>
      <c r="AH49" s="185">
        <v>58</v>
      </c>
      <c r="AI49" s="171" t="str">
        <f t="shared" si="148"/>
        <v>4F</v>
      </c>
      <c r="AJ49" s="44">
        <v>4</v>
      </c>
      <c r="AK49" s="580" t="e" cm="1" vm="23">
        <f t="array" aca="1" ref="AK49" ca="1">Ver_flag_visit</f>
        <v>#VALUE!</v>
      </c>
      <c r="AL49" s="45" t="str">
        <f ca="1">IFERROR(INDEX($BD$6:$BD$53,MATCH(AI49,$BN$6:$BN$53,0)),"")</f>
        <v>Suecia</v>
      </c>
      <c r="AM49" s="46">
        <f t="shared" ca="1" si="147"/>
        <v>1</v>
      </c>
      <c r="AN49" s="47">
        <f t="shared" ca="1" si="147"/>
        <v>3</v>
      </c>
      <c r="AO49" s="47">
        <f t="shared" ca="1" si="147"/>
        <v>0</v>
      </c>
      <c r="AP49" s="47">
        <f t="shared" ca="1" si="147"/>
        <v>1</v>
      </c>
      <c r="AQ49" s="47">
        <f t="shared" ca="1" si="147"/>
        <v>2</v>
      </c>
      <c r="AR49" s="47">
        <f t="shared" ca="1" si="147"/>
        <v>2</v>
      </c>
      <c r="AS49" s="47">
        <f t="shared" ca="1" si="147"/>
        <v>5</v>
      </c>
      <c r="AT49" s="48">
        <f t="shared" ca="1" si="147"/>
        <v>-3</v>
      </c>
      <c r="AU49" s="313">
        <f ca="1">INDEX($DL$6:$DL$53,MATCH(AI49,$DP$6:$DP$53,0))</f>
        <v>1</v>
      </c>
      <c r="AV49" s="172" t="str">
        <f ca="1">INDEX($BD$6:$BD$53,MATCH(AI49,$BM$6:$BM$53,0))</f>
        <v>Suecia</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4</v>
      </c>
      <c r="BL50" s="16">
        <f t="shared" ca="1" si="42"/>
        <v>3</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5</v>
      </c>
      <c r="BK51" s="16">
        <f t="shared" ca="1" si="21"/>
        <v>5</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1</v>
      </c>
      <c r="CB51" s="16">
        <f t="shared" ca="1" si="28"/>
        <v>1</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1</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1</v>
      </c>
      <c r="CP51" s="16">
        <f t="shared" ca="1" si="34"/>
        <v>1</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1</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0</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P.2 (2)</v>
      </c>
      <c r="CZ51" s="16">
        <f t="shared" ca="1" si="37"/>
        <v>5</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53" t="s">
        <v>6</v>
      </c>
      <c r="X52" s="24">
        <f ca="1">Horarios!C52</f>
        <v>46188.875</v>
      </c>
      <c r="Y52" s="25">
        <f ca="1">Horarios!C52</f>
        <v>46188.875</v>
      </c>
      <c r="Z52" s="26" t="str">
        <f>$Z$4</f>
        <v>J1</v>
      </c>
      <c r="AA52" s="27" t="str">
        <f ca="1">A53</f>
        <v>Bélgica</v>
      </c>
      <c r="AB52" s="49" t="e" cm="1" vm="25">
        <f t="array" aca="1" ref="AB52" ca="1">Ver_flag_local</f>
        <v>#VALUE!</v>
      </c>
      <c r="AC52" s="50">
        <v>3</v>
      </c>
      <c r="AD52" s="51">
        <v>0</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3</v>
      </c>
      <c r="BK52" s="16">
        <f t="shared" ca="1" si="21"/>
        <v>3</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1</v>
      </c>
      <c r="CB52" s="16">
        <f t="shared" ca="1" si="28"/>
        <v>1</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1</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1</v>
      </c>
      <c r="CP52" s="16">
        <f t="shared" ca="1" si="34"/>
        <v>1</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1</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0</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P.2 (2)</v>
      </c>
      <c r="CZ52" s="16">
        <f t="shared" ca="1" si="37"/>
        <v>3</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3"/>
      <c r="X53" s="24">
        <f ca="1">Horarios!C53</f>
        <v>46189.125</v>
      </c>
      <c r="Y53" s="25">
        <f ca="1">Horarios!C53</f>
        <v>46189.125</v>
      </c>
      <c r="Z53" s="26" t="str">
        <f>$Z$4</f>
        <v>J1</v>
      </c>
      <c r="AA53" s="27" t="str">
        <f ca="1">A55</f>
        <v>Irán</v>
      </c>
      <c r="AB53" s="49" t="e" cm="1" vm="27">
        <f t="array" aca="1" ref="AB53" ca="1">Ver_flag_local</f>
        <v>#VALUE!</v>
      </c>
      <c r="AC53" s="50">
        <v>1</v>
      </c>
      <c r="AD53" s="51">
        <v>0</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5</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53"/>
      <c r="X54" s="24">
        <f ca="1">Horarios!C54</f>
        <v>46194.875</v>
      </c>
      <c r="Y54" s="25">
        <f ca="1">Horarios!C54</f>
        <v>46194.875</v>
      </c>
      <c r="Z54" s="26" t="str">
        <f>$Z$6</f>
        <v>J2</v>
      </c>
      <c r="AA54" s="27" t="str">
        <f ca="1">A53</f>
        <v>Bélgica</v>
      </c>
      <c r="AB54" s="49" t="e" cm="1" vm="25">
        <f t="array" aca="1" ref="AB54" ca="1">Ver_flag_local</f>
        <v>#VALUE!</v>
      </c>
      <c r="AC54" s="50">
        <v>2</v>
      </c>
      <c r="AD54" s="51">
        <v>0</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0</v>
      </c>
      <c r="AT54" s="41">
        <f t="shared" ca="1" si="165"/>
        <v>7</v>
      </c>
      <c r="AU54" s="313">
        <f ca="1">INDEX($DL$6:$DL$53,MATCH(AI54,$DP$6:$DP$53,0))</f>
        <v>1</v>
      </c>
      <c r="AV54" s="172" t="str">
        <f ca="1">INDEX($BD$6:$BD$53,MATCH(AI54,$BM$6:$BM$53,0))</f>
        <v>Bélgica</v>
      </c>
      <c r="AW54" s="200"/>
      <c r="AX54" s="161"/>
      <c r="AY54" s="191" t="str">
        <f ca="1">+A53</f>
        <v>Bélgica</v>
      </c>
      <c r="AZ54" s="192"/>
      <c r="BA54" s="166"/>
    </row>
    <row r="55" spans="1:121" ht="16"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53"/>
      <c r="X55" s="24">
        <f ca="1">Horarios!C55</f>
        <v>46195.125</v>
      </c>
      <c r="Y55" s="25">
        <f ca="1">Horarios!C55</f>
        <v>46195.125</v>
      </c>
      <c r="Z55" s="26" t="str">
        <f>$Z$6</f>
        <v>J2</v>
      </c>
      <c r="AA55" s="27" t="str">
        <f ca="1">A56</f>
        <v>Nueva Zelanda</v>
      </c>
      <c r="AB55" s="49" t="e" cm="1" vm="28">
        <f t="array" aca="1" ref="AB55" ca="1">Ver_flag_local</f>
        <v>#VALUE!</v>
      </c>
      <c r="AC55" s="50">
        <v>0</v>
      </c>
      <c r="AD55" s="51">
        <v>1</v>
      </c>
      <c r="AE55" s="571" t="e" cm="1" vm="26">
        <f t="array" aca="1" ref="AE55" ca="1">Ver_flag_visit</f>
        <v>#VALUE!</v>
      </c>
      <c r="AF55" s="32" t="str">
        <f ca="1">A54</f>
        <v>Egipto</v>
      </c>
      <c r="AG55" s="306">
        <f t="shared" si="162"/>
        <v>1</v>
      </c>
      <c r="AH55" s="185">
        <v>40</v>
      </c>
      <c r="AI55" s="171" t="str">
        <f t="shared" ref="AI55:AI57" si="166">AJ55&amp;$B$52</f>
        <v>2G</v>
      </c>
      <c r="AJ55" s="42">
        <v>2</v>
      </c>
      <c r="AK55" s="578" t="e" cm="1" vm="26">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2</v>
      </c>
      <c r="AS55" s="39">
        <f t="shared" ca="1" si="165"/>
        <v>3</v>
      </c>
      <c r="AT55" s="43">
        <f t="shared" ca="1" si="165"/>
        <v>-1</v>
      </c>
      <c r="AU55" s="313">
        <f ca="1">INDEX($DL$6:$DL$53,MATCH(AI55,$DP$6:$DP$53,0))</f>
        <v>1</v>
      </c>
      <c r="AV55" s="172" t="str">
        <f ca="1">INDEX($BD$6:$BD$53,MATCH(AI55,$BM$6:$BM$53,0))</f>
        <v>Egipto</v>
      </c>
      <c r="AW55" s="200"/>
      <c r="AX55" s="161"/>
      <c r="AY55" s="193" t="str">
        <f ca="1">+A54</f>
        <v>Egipto</v>
      </c>
      <c r="AZ55" s="194"/>
      <c r="BA55" s="166"/>
    </row>
    <row r="56" spans="1:121" ht="16"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53"/>
      <c r="X56" s="24">
        <f ca="1">Horarios!C56</f>
        <v>46200.208333333336</v>
      </c>
      <c r="Y56" s="25">
        <f ca="1">Horarios!C56</f>
        <v>46200.208333333336</v>
      </c>
      <c r="Z56" s="26" t="str">
        <f>$Z$8</f>
        <v>J3</v>
      </c>
      <c r="AA56" s="27" t="str">
        <f ca="1">A54</f>
        <v>Egipto</v>
      </c>
      <c r="AB56" s="49" t="e" cm="1" vm="26">
        <f t="array" aca="1" ref="AB56" ca="1">Ver_flag_local</f>
        <v>#VALUE!</v>
      </c>
      <c r="AC56" s="50">
        <v>1</v>
      </c>
      <c r="AD56" s="51">
        <v>0</v>
      </c>
      <c r="AE56" s="571" t="e" cm="1" vm="27">
        <f t="array" aca="1" ref="AE56" ca="1">Ver_flag_visit</f>
        <v>#VALUE!</v>
      </c>
      <c r="AF56" s="32" t="str">
        <f ca="1">A55</f>
        <v>Irán</v>
      </c>
      <c r="AG56" s="306">
        <f t="shared" si="162"/>
        <v>1</v>
      </c>
      <c r="AH56" s="185">
        <v>63</v>
      </c>
      <c r="AI56" s="171" t="str">
        <f t="shared" si="166"/>
        <v>3G</v>
      </c>
      <c r="AJ56" s="42">
        <v>3</v>
      </c>
      <c r="AK56" s="578" t="e" cm="1" vm="27">
        <f t="array" aca="1" ref="AK56" ca="1">Ver_flag_visit</f>
        <v>#VALUE!</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1</v>
      </c>
      <c r="AS56" s="39">
        <f t="shared" ca="1" si="165"/>
        <v>3</v>
      </c>
      <c r="AT56" s="43">
        <f t="shared" ca="1" si="165"/>
        <v>-2</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54"/>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2</v>
      </c>
      <c r="AE57" s="572" t="e" cm="1" vm="25">
        <f t="array" aca="1" ref="AE57" ca="1">Ver_flag_visit</f>
        <v>#VALUE!</v>
      </c>
      <c r="AF57" s="33" t="str">
        <f ca="1">A53</f>
        <v>Bélgica</v>
      </c>
      <c r="AG57" s="306">
        <f t="shared" si="162"/>
        <v>1</v>
      </c>
      <c r="AH57" s="185">
        <v>64</v>
      </c>
      <c r="AI57" s="171" t="str">
        <f t="shared" si="166"/>
        <v>4G</v>
      </c>
      <c r="AJ57" s="44">
        <v>4</v>
      </c>
      <c r="AK57" s="580" t="e" cm="1" vm="28">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4</v>
      </c>
      <c r="AT57" s="48">
        <f t="shared" ca="1" si="165"/>
        <v>-4</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6">
        <f ca="1">+BJ58-BK58</f>
        <v>-2</v>
      </c>
      <c r="BM58" s="16">
        <f ca="1">CB58</f>
        <v>8</v>
      </c>
      <c r="BN58" s="16">
        <f ca="1">CF58</f>
        <v>8</v>
      </c>
      <c r="BO58" s="16" t="str">
        <f t="shared" ref="BO58:BO69" si="174">"4"&amp;BC58</f>
        <v>4A</v>
      </c>
      <c r="BP58" s="16"/>
      <c r="BQ58" s="16"/>
      <c r="BR58" s="16">
        <f t="shared" ref="BR58:BR69" ca="1" si="175">+BE58</f>
        <v>3</v>
      </c>
      <c r="BS58" s="16">
        <f ca="1">COUNTIFS(BR$58:BR$69,"&gt;"&amp;BR58)+1</f>
        <v>4</v>
      </c>
      <c r="BT58" s="16" t="str">
        <f ca="1">IF(COUNTIF(BS$58:BS$69,BS58)=1,"-","Pos. "&amp;BS58&amp;" ("&amp;COUNTIF(BS$58:BS$69,BS58)&amp;")")</f>
        <v>Pos. 4 (7)</v>
      </c>
      <c r="BU58" s="16">
        <f t="shared" ref="BU58:BU69" ca="1" si="176">IF(BT58="-","-",BL58)</f>
        <v>-2</v>
      </c>
      <c r="BV58" s="16">
        <f t="shared" ref="BV58:BV69" ca="1" si="177">BS58+COUNTIFS(BT$58:BT$69,BT58,BU$58:BU$69,"&gt;"&amp;BU58)</f>
        <v>6</v>
      </c>
      <c r="BW58" s="16" t="str">
        <f t="shared" ref="BW58:BW69" ca="1" si="178">IF(COUNTIF(BV$58:BV$69,BV58)=1,"-","Pos. "&amp;BV58&amp;" ("&amp;COUNTIF(BV$58:BV$69,BV58)&amp;")")</f>
        <v>Pos. 6 (5)</v>
      </c>
      <c r="BX58" s="16">
        <f t="shared" ref="BX58:BX69" ca="1" si="179">IF(BW58="-","-",BJ58)</f>
        <v>3</v>
      </c>
      <c r="BY58" s="16">
        <f t="shared" ref="BY58:BY69" ca="1" si="180">BV58+COUNTIFS(BW$58:BW$69,BW58,BX$58:BX$69,"&gt;"&amp;BX58)</f>
        <v>6</v>
      </c>
      <c r="BZ58" s="16" t="str">
        <f t="shared" ref="BZ58:BZ69" ca="1" si="181">IF(COUNTIF(BY$58:BY$69,BY58)=1,"-","Pos. "&amp;BY58&amp;" ("&amp;COUNTIF(BY$58:BY$69,BY58)&amp;")")</f>
        <v>Pos. 6 (3)</v>
      </c>
      <c r="CA58" s="16">
        <f t="shared" ref="CA58:CA69" ca="1" si="182">IF(BZ58="-","-",COUNTIF($BD$58:$BD$69,"&gt;"&amp;BD58))</f>
        <v>1</v>
      </c>
      <c r="CB58" s="16">
        <f ca="1">BY58+COUNTIFS(BZ$58:BZ$69,BZ58,CA$58:CA$69,"&gt;"&amp;CA58)</f>
        <v>8</v>
      </c>
      <c r="CC58" s="16"/>
      <c r="CD58" s="16">
        <f t="shared" ref="CD58:CD69" ca="1" si="183">IF(OR(INDEX($AW$102:$AW$113,MATCH($BD58,$AV$102:$AV$113,0))="",BZ58="-"),CB58,INDEX($AW$102:$AW$113,MATCH($BD58,$AV$102:$AV$113,0))+CB58/1000)</f>
        <v>8.0079999999999991</v>
      </c>
      <c r="CE58" s="16">
        <f ca="1">IF(BZ58="-","-",COUNTIF(CD$58:CD$69,"&lt;"&amp;CD58))</f>
        <v>7</v>
      </c>
      <c r="CF58" s="16">
        <f ca="1">BY58+COUNTIFS(BZ$58:BZ$69,BZ58,CE$58:CE$69,"&lt;"&amp;CE58)</f>
        <v>8</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Estados Unidos</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3</v>
      </c>
      <c r="BL59" s="16">
        <f t="shared" ref="BL59:BL69" ca="1" si="190">+BJ59-BK59</f>
        <v>1</v>
      </c>
      <c r="BM59" s="16">
        <f t="shared" ref="BM59:BM69" ca="1" si="191">CB59</f>
        <v>2</v>
      </c>
      <c r="BN59" s="16">
        <f t="shared" ref="BN59:BN69" ca="1" si="192">CF59</f>
        <v>2</v>
      </c>
      <c r="BO59" s="16" t="str">
        <f t="shared" si="174"/>
        <v>4B</v>
      </c>
      <c r="BP59" s="16"/>
      <c r="BQ59" s="16"/>
      <c r="BR59" s="16">
        <f t="shared" ca="1" si="175"/>
        <v>4</v>
      </c>
      <c r="BS59" s="16">
        <f t="shared" ref="BS59:BS69" ca="1" si="193">COUNTIFS(BR$58:BR$69,"&gt;"&amp;BR59)+1</f>
        <v>2</v>
      </c>
      <c r="BT59" s="16" t="str">
        <f t="shared" ref="BT59:BT69" ca="1" si="194">IF(COUNTIF(BS$58:BS$69,BS59)=1,"-","Pos. "&amp;BS59&amp;" ("&amp;COUNTIF(BS$58:BS$69,BS59)&amp;")")</f>
        <v>Pos. 2 (2)</v>
      </c>
      <c r="BU59" s="16">
        <f t="shared" ca="1" si="176"/>
        <v>1</v>
      </c>
      <c r="BV59" s="16">
        <f t="shared" ca="1" si="177"/>
        <v>2</v>
      </c>
      <c r="BW59" s="16" t="str">
        <f t="shared" ca="1" si="178"/>
        <v>-</v>
      </c>
      <c r="BX59" s="16" t="str">
        <f t="shared" ca="1" si="179"/>
        <v>-</v>
      </c>
      <c r="BY59" s="16">
        <f t="shared" ca="1" si="180"/>
        <v>2</v>
      </c>
      <c r="BZ59" s="16" t="str">
        <f t="shared" ca="1" si="181"/>
        <v>-</v>
      </c>
      <c r="CA59" s="16" t="str">
        <f t="shared" ca="1" si="182"/>
        <v>-</v>
      </c>
      <c r="CB59" s="16">
        <f t="shared" ref="CB59:CB68" ca="1" si="195">BY59+COUNTIFS(BZ$58:BZ$69,BZ59,CA$58:CA$69,"&gt;"&amp;CA59)</f>
        <v>2</v>
      </c>
      <c r="CC59" s="16"/>
      <c r="CD59" s="16">
        <f t="shared" ca="1" si="183"/>
        <v>2</v>
      </c>
      <c r="CE59" s="16" t="str">
        <f t="shared" ref="CE59:CE69" ca="1" si="196">IF(BZ59="-","-",COUNTIF(CD$58:CD$69,"&lt;"&amp;CD59))</f>
        <v>-</v>
      </c>
      <c r="CF59" s="16">
        <f t="shared" ref="CF59:CF69" ca="1" si="197">BY59+COUNTIFS(BZ$58:BZ$69,BZ59,CE$58:CE$69,"&lt;"&amp;CE59)</f>
        <v>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Bosnia y Herzegovina</v>
      </c>
    </row>
    <row r="60" spans="1:121" ht="16"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35" t="s">
        <v>447</v>
      </c>
      <c r="X60" s="24">
        <f ca="1">Horarios!C60</f>
        <v>46188.75</v>
      </c>
      <c r="Y60" s="25">
        <f ca="1">Horarios!C60</f>
        <v>46188.75</v>
      </c>
      <c r="Z60" s="26" t="str">
        <f>$Z$4</f>
        <v>J1</v>
      </c>
      <c r="AA60" s="27" t="str">
        <f ca="1">A61</f>
        <v>España</v>
      </c>
      <c r="AB60" s="49" t="e" cm="1" vm="29">
        <f t="array" aca="1" ref="AB60" ca="1">Ver_flag_local</f>
        <v>#VALUE!</v>
      </c>
      <c r="AC60" s="50">
        <v>2</v>
      </c>
      <c r="AD60" s="51">
        <v>0</v>
      </c>
      <c r="AE60" s="571" t="e" cm="1" vm="30">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4</v>
      </c>
      <c r="BL60" s="16">
        <f t="shared" ca="1" si="190"/>
        <v>0</v>
      </c>
      <c r="BM60" s="16">
        <f t="shared" ca="1" si="191"/>
        <v>4</v>
      </c>
      <c r="BN60" s="16">
        <f t="shared" ca="1" si="192"/>
        <v>4</v>
      </c>
      <c r="BO60" s="16" t="str">
        <f t="shared" si="174"/>
        <v>4C</v>
      </c>
      <c r="BP60" s="16"/>
      <c r="BQ60" s="16"/>
      <c r="BR60" s="16">
        <f t="shared" ca="1" si="175"/>
        <v>3</v>
      </c>
      <c r="BS60" s="16">
        <f t="shared" ca="1" si="193"/>
        <v>4</v>
      </c>
      <c r="BT60" s="16" t="str">
        <f t="shared" ca="1" si="194"/>
        <v>Pos. 4 (7)</v>
      </c>
      <c r="BU60" s="16">
        <f t="shared" ca="1" si="176"/>
        <v>0</v>
      </c>
      <c r="BV60" s="16">
        <f t="shared" ca="1" si="177"/>
        <v>4</v>
      </c>
      <c r="BW60" s="16" t="str">
        <f t="shared" ca="1" si="178"/>
        <v>-</v>
      </c>
      <c r="BX60" s="16" t="str">
        <f t="shared" ca="1" si="179"/>
        <v>-</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Ghana</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35"/>
      <c r="X61" s="24">
        <f ca="1">Horarios!C61</f>
        <v>46189</v>
      </c>
      <c r="Y61" s="25">
        <f ca="1">Horarios!C61</f>
        <v>46189</v>
      </c>
      <c r="Z61" s="26" t="str">
        <f>$Z$4</f>
        <v>J1</v>
      </c>
      <c r="AA61" s="27" t="str">
        <f ca="1">A63</f>
        <v>Arabia Saudita</v>
      </c>
      <c r="AB61" s="49" t="e" cm="1" vm="31">
        <f t="array" aca="1" ref="AB61" ca="1">Ver_flag_local</f>
        <v>#VALUE!</v>
      </c>
      <c r="AC61" s="50">
        <v>0</v>
      </c>
      <c r="AD61" s="51">
        <v>3</v>
      </c>
      <c r="AE61" s="571" t="e" cm="1" vm="32">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Estados Unidos</v>
      </c>
      <c r="BE61" s="16">
        <f t="shared" ca="1" si="188"/>
        <v>5</v>
      </c>
      <c r="BF61" s="16">
        <f t="shared" ca="1" si="189"/>
        <v>3</v>
      </c>
      <c r="BG61" s="16">
        <f t="shared" ca="1" si="169"/>
        <v>1</v>
      </c>
      <c r="BH61" s="16">
        <f t="shared" ca="1" si="170"/>
        <v>2</v>
      </c>
      <c r="BI61" s="16">
        <f t="shared" ca="1" si="171"/>
        <v>0</v>
      </c>
      <c r="BJ61" s="16">
        <f t="shared" ca="1" si="172"/>
        <v>3</v>
      </c>
      <c r="BK61" s="16">
        <f t="shared" ca="1" si="173"/>
        <v>2</v>
      </c>
      <c r="BL61" s="16">
        <f t="shared" ca="1" si="190"/>
        <v>1</v>
      </c>
      <c r="BM61" s="16">
        <f t="shared" ca="1" si="191"/>
        <v>1</v>
      </c>
      <c r="BN61" s="16">
        <f t="shared" ca="1" si="192"/>
        <v>1</v>
      </c>
      <c r="BO61" s="16" t="str">
        <f t="shared" si="174"/>
        <v>4D</v>
      </c>
      <c r="BP61" s="16"/>
      <c r="BQ61" s="16"/>
      <c r="BR61" s="16">
        <f t="shared" ca="1" si="175"/>
        <v>5</v>
      </c>
      <c r="BS61" s="16">
        <f t="shared" ca="1" si="193"/>
        <v>1</v>
      </c>
      <c r="BT61" s="16" t="str">
        <f t="shared" ca="1" si="194"/>
        <v>-</v>
      </c>
      <c r="BU61" s="16" t="str">
        <f t="shared" ca="1" si="176"/>
        <v>-</v>
      </c>
      <c r="BV61" s="16">
        <f t="shared" ca="1" si="177"/>
        <v>1</v>
      </c>
      <c r="BW61" s="16" t="str">
        <f t="shared" ca="1" si="178"/>
        <v>-</v>
      </c>
      <c r="BX61" s="16" t="str">
        <f t="shared" ca="1" si="179"/>
        <v>-</v>
      </c>
      <c r="BY61" s="16">
        <f t="shared" ca="1" si="180"/>
        <v>1</v>
      </c>
      <c r="BZ61" s="16" t="str">
        <f t="shared" ca="1" si="181"/>
        <v>-</v>
      </c>
      <c r="CA61" s="16" t="str">
        <f t="shared" ca="1" si="182"/>
        <v>-</v>
      </c>
      <c r="CB61" s="16">
        <f t="shared" ca="1" si="195"/>
        <v>1</v>
      </c>
      <c r="CC61" s="16"/>
      <c r="CD61" s="16">
        <f t="shared" ca="1" si="183"/>
        <v>1</v>
      </c>
      <c r="CE61" s="16" t="str">
        <f t="shared" ca="1" si="196"/>
        <v>-</v>
      </c>
      <c r="CF61" s="16">
        <f t="shared" ca="1" si="197"/>
        <v>1</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35"/>
      <c r="X62" s="24">
        <f ca="1">Horarios!C62</f>
        <v>46194.75</v>
      </c>
      <c r="Y62" s="25">
        <f ca="1">Horarios!C62</f>
        <v>46194.75</v>
      </c>
      <c r="Z62" s="26" t="str">
        <f>$Z$6</f>
        <v>J2</v>
      </c>
      <c r="AA62" s="27" t="str">
        <f ca="1">A61</f>
        <v>España</v>
      </c>
      <c r="AB62" s="49" t="e" cm="1" vm="29">
        <f t="array" aca="1" ref="AB62" ca="1">Ver_flag_local</f>
        <v>#VALUE!</v>
      </c>
      <c r="AC62" s="50">
        <v>3</v>
      </c>
      <c r="AD62" s="51">
        <v>0</v>
      </c>
      <c r="AE62" s="571" t="e" cm="1" vm="31">
        <f t="array" aca="1" ref="AE62" ca="1">Ver_flag_visit</f>
        <v>#VALUE!</v>
      </c>
      <c r="AF62" s="32" t="str">
        <f ca="1">A63</f>
        <v>Arabia Saudita</v>
      </c>
      <c r="AG62" s="306">
        <f t="shared" si="212"/>
        <v>1</v>
      </c>
      <c r="AH62" s="185">
        <v>38</v>
      </c>
      <c r="AI62" s="171" t="str">
        <f>AJ62&amp;$B$60</f>
        <v>1H</v>
      </c>
      <c r="AJ62" s="40">
        <v>1</v>
      </c>
      <c r="AK62" s="577" t="e" cm="1" vm="32">
        <f t="array" aca="1" ref="AK62" ca="1">Ver_flag_visit</f>
        <v>#VALUE!</v>
      </c>
      <c r="AL62" s="34" t="str">
        <f ca="1">IFERROR(INDEX($BD$6:$BD$53,MATCH(AI62,$BN$6:$BN$53,0)),"")</f>
        <v>Uruguay</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7</v>
      </c>
      <c r="AS62" s="36">
        <f t="shared" ca="1" si="215"/>
        <v>2</v>
      </c>
      <c r="AT62" s="41">
        <f t="shared" ca="1" si="215"/>
        <v>5</v>
      </c>
      <c r="AU62" s="313">
        <f ca="1">INDEX($DL$6:$DL$53,MATCH(AI62,$DP$6:$DP$53,0))</f>
        <v>1</v>
      </c>
      <c r="AV62" s="172" t="str">
        <f ca="1">INDEX($BD$6:$BD$53,MATCH(AI62,$BM$6:$BM$53,0))</f>
        <v>Uruguay</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5</v>
      </c>
      <c r="BL62" s="16">
        <f t="shared" ca="1" si="190"/>
        <v>-1</v>
      </c>
      <c r="BM62" s="16">
        <f t="shared" ca="1" si="191"/>
        <v>5</v>
      </c>
      <c r="BN62" s="16">
        <f t="shared" ca="1" si="192"/>
        <v>5</v>
      </c>
      <c r="BO62" s="16" t="str">
        <f t="shared" si="174"/>
        <v>4E</v>
      </c>
      <c r="BP62" s="16"/>
      <c r="BQ62" s="16"/>
      <c r="BR62" s="16">
        <f t="shared" ca="1" si="175"/>
        <v>3</v>
      </c>
      <c r="BS62" s="16">
        <f t="shared" ca="1" si="193"/>
        <v>4</v>
      </c>
      <c r="BT62" s="16" t="str">
        <f t="shared" ca="1" si="194"/>
        <v>Pos. 4 (7)</v>
      </c>
      <c r="BU62" s="16">
        <f t="shared" ca="1" si="176"/>
        <v>-1</v>
      </c>
      <c r="BV62" s="16">
        <f t="shared" ca="1" si="177"/>
        <v>5</v>
      </c>
      <c r="BW62" s="16" t="str">
        <f t="shared" ca="1" si="178"/>
        <v>-</v>
      </c>
      <c r="BX62" s="16" t="str">
        <f t="shared" ca="1" si="179"/>
        <v>-</v>
      </c>
      <c r="BY62" s="16">
        <f t="shared" ca="1" si="180"/>
        <v>5</v>
      </c>
      <c r="BZ62" s="16" t="str">
        <f t="shared" ca="1" si="181"/>
        <v>-</v>
      </c>
      <c r="CA62" s="16" t="str">
        <f t="shared" ca="1" si="182"/>
        <v>-</v>
      </c>
      <c r="CB62" s="16">
        <f t="shared" ca="1" si="195"/>
        <v>5</v>
      </c>
      <c r="CC62" s="16"/>
      <c r="CD62" s="16">
        <f t="shared" ca="1" si="183"/>
        <v>5</v>
      </c>
      <c r="CE62" s="16" t="str">
        <f t="shared" ca="1" si="196"/>
        <v>-</v>
      </c>
      <c r="CF62" s="16">
        <f t="shared" ca="1" si="197"/>
        <v>5</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Costa de Marfil</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35"/>
      <c r="X63" s="24">
        <f ca="1">Horarios!C63</f>
        <v>46195</v>
      </c>
      <c r="Y63" s="25">
        <f ca="1">Horarios!C63</f>
        <v>46195</v>
      </c>
      <c r="Z63" s="26" t="str">
        <f>$Z$6</f>
        <v>J2</v>
      </c>
      <c r="AA63" s="27" t="str">
        <f ca="1">A64</f>
        <v>Uruguay</v>
      </c>
      <c r="AB63" s="49" t="e" cm="1" vm="32">
        <f t="array" aca="1" ref="AB63" ca="1">Ver_flag_local</f>
        <v>#VALUE!</v>
      </c>
      <c r="AC63" s="50">
        <v>2</v>
      </c>
      <c r="AD63" s="51">
        <v>1</v>
      </c>
      <c r="AE63" s="571" t="e" cm="1" vm="30">
        <f t="array" aca="1" ref="AE63" ca="1">Ver_flag_visit</f>
        <v>#VALUE!</v>
      </c>
      <c r="AF63" s="32" t="str">
        <f ca="1">A62</f>
        <v>Cabo Verde</v>
      </c>
      <c r="AG63" s="306">
        <f t="shared" si="212"/>
        <v>1</v>
      </c>
      <c r="AH63" s="185">
        <v>37</v>
      </c>
      <c r="AI63" s="171" t="str">
        <f t="shared" ref="AI63:AI65" si="216">AJ63&amp;$B$60</f>
        <v>2H</v>
      </c>
      <c r="AJ63" s="42">
        <v>2</v>
      </c>
      <c r="AK63" s="578" t="e" cm="1" vm="29">
        <f t="array" aca="1" ref="AK63" ca="1">Ver_flag_visit</f>
        <v>#VALUE!</v>
      </c>
      <c r="AL63" s="37" t="str">
        <f ca="1">IFERROR(INDEX($BD$6:$BD$53,MATCH(AI63,$BN$6:$BN$53,0)),"")</f>
        <v>España</v>
      </c>
      <c r="AM63" s="38">
        <f t="shared" ca="1" si="215"/>
        <v>6</v>
      </c>
      <c r="AN63" s="39">
        <f t="shared" ca="1" si="215"/>
        <v>3</v>
      </c>
      <c r="AO63" s="39">
        <f t="shared" ca="1" si="215"/>
        <v>2</v>
      </c>
      <c r="AP63" s="39">
        <f t="shared" ca="1" si="215"/>
        <v>0</v>
      </c>
      <c r="AQ63" s="39">
        <f t="shared" ca="1" si="215"/>
        <v>1</v>
      </c>
      <c r="AR63" s="39">
        <f t="shared" ca="1" si="215"/>
        <v>6</v>
      </c>
      <c r="AS63" s="39">
        <f t="shared" ca="1" si="215"/>
        <v>2</v>
      </c>
      <c r="AT63" s="43">
        <f t="shared" ca="1" si="215"/>
        <v>4</v>
      </c>
      <c r="AU63" s="313">
        <f ca="1">INDEX($DL$6:$DL$53,MATCH(AI63,$DP$6:$DP$53,0))</f>
        <v>1</v>
      </c>
      <c r="AV63" s="172" t="str">
        <f ca="1">INDEX($BD$6:$BD$53,MATCH(AI63,$BM$6:$BM$53,0))</f>
        <v>España</v>
      </c>
      <c r="AW63" s="200"/>
      <c r="AX63" s="161"/>
      <c r="AY63" s="193" t="str">
        <f ca="1">+A62</f>
        <v>Cabo Verde</v>
      </c>
      <c r="AZ63" s="194"/>
      <c r="BA63" s="166"/>
      <c r="BB63" s="16" t="str">
        <f t="shared" si="187"/>
        <v>3F</v>
      </c>
      <c r="BC63" s="16" t="s">
        <v>4</v>
      </c>
      <c r="BD63" s="16" t="str">
        <f t="shared" ca="1" si="168"/>
        <v>Túnez</v>
      </c>
      <c r="BE63" s="16">
        <f t="shared" ca="1" si="188"/>
        <v>1</v>
      </c>
      <c r="BF63" s="16">
        <f t="shared" ca="1" si="189"/>
        <v>3</v>
      </c>
      <c r="BG63" s="16">
        <f t="shared" ca="1" si="169"/>
        <v>0</v>
      </c>
      <c r="BH63" s="16">
        <f t="shared" ca="1" si="170"/>
        <v>1</v>
      </c>
      <c r="BI63" s="16">
        <f t="shared" ca="1" si="171"/>
        <v>2</v>
      </c>
      <c r="BJ63" s="16">
        <f t="shared" ca="1" si="172"/>
        <v>3</v>
      </c>
      <c r="BK63" s="16">
        <f t="shared" ca="1" si="173"/>
        <v>6</v>
      </c>
      <c r="BL63" s="16">
        <f t="shared" ca="1" si="190"/>
        <v>-3</v>
      </c>
      <c r="BM63" s="16">
        <f t="shared" ca="1" si="191"/>
        <v>11</v>
      </c>
      <c r="BN63" s="16">
        <f t="shared" ca="1" si="192"/>
        <v>11</v>
      </c>
      <c r="BO63" s="16" t="str">
        <f t="shared" si="174"/>
        <v>4F</v>
      </c>
      <c r="BP63" s="16"/>
      <c r="BQ63" s="16"/>
      <c r="BR63" s="16">
        <f t="shared" ca="1" si="175"/>
        <v>1</v>
      </c>
      <c r="BS63" s="16">
        <f t="shared" ca="1" si="193"/>
        <v>11</v>
      </c>
      <c r="BT63" s="16" t="str">
        <f t="shared" ca="1" si="194"/>
        <v>Pos. 11 (2)</v>
      </c>
      <c r="BU63" s="16">
        <f t="shared" ca="1" si="176"/>
        <v>-3</v>
      </c>
      <c r="BV63" s="16">
        <f t="shared" ca="1" si="177"/>
        <v>11</v>
      </c>
      <c r="BW63" s="16" t="str">
        <f t="shared" ca="1" si="178"/>
        <v>Pos. 11 (2)</v>
      </c>
      <c r="BX63" s="16">
        <f t="shared" ca="1" si="179"/>
        <v>3</v>
      </c>
      <c r="BY63" s="16">
        <f t="shared" ca="1" si="180"/>
        <v>11</v>
      </c>
      <c r="BZ63" s="16" t="str">
        <f t="shared" ca="1" si="181"/>
        <v>-</v>
      </c>
      <c r="CA63" s="16" t="str">
        <f t="shared" ca="1" si="182"/>
        <v>-</v>
      </c>
      <c r="CB63" s="16">
        <f t="shared" ca="1" si="195"/>
        <v>11</v>
      </c>
      <c r="CC63" s="16"/>
      <c r="CD63" s="16">
        <f t="shared" ca="1" si="183"/>
        <v>11</v>
      </c>
      <c r="CE63" s="16" t="str">
        <f t="shared" ca="1" si="196"/>
        <v>-</v>
      </c>
      <c r="CF63" s="16">
        <f t="shared" ca="1" si="197"/>
        <v>11</v>
      </c>
      <c r="DJ63" s="16">
        <f t="shared" ca="1" si="184"/>
        <v>6</v>
      </c>
      <c r="DK63" s="16"/>
      <c r="DL63" s="16">
        <f t="shared" ca="1" si="185"/>
        <v>3</v>
      </c>
      <c r="DM63" s="16" t="str">
        <f t="shared" ca="1" si="186"/>
        <v>6.3</v>
      </c>
      <c r="DN63" s="16" t="e" cm="1" vm="33">
        <f t="array" aca="1" ref="DN63" ca="1">OFFSET(Horarios!$P$3,DJ63-1,0,DL63,1)</f>
        <v>#VALUE!</v>
      </c>
      <c r="DO63" s="16"/>
      <c r="DP63" s="16">
        <v>6</v>
      </c>
      <c r="DQ63" s="16" t="str">
        <f t="shared" ca="1" si="198"/>
        <v>Argelia</v>
      </c>
    </row>
    <row r="64" spans="1:121" ht="16" customHeight="1">
      <c r="A64" s="16" t="str">
        <f ca="1">+Equipos!B33</f>
        <v>Uruguay</v>
      </c>
      <c r="B64" s="16"/>
      <c r="C64" s="16"/>
      <c r="D64" s="16" t="str">
        <f t="shared" si="199"/>
        <v>Local</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35"/>
      <c r="X64" s="24">
        <f ca="1">Horarios!C64</f>
        <v>46200.083333333336</v>
      </c>
      <c r="Y64" s="25">
        <f ca="1">Horarios!C64</f>
        <v>46200.083333333336</v>
      </c>
      <c r="Z64" s="26" t="str">
        <f>$Z$8</f>
        <v>J3</v>
      </c>
      <c r="AA64" s="27" t="str">
        <f ca="1">A62</f>
        <v>Cabo Verde</v>
      </c>
      <c r="AB64" s="49" t="e" cm="1" vm="30">
        <f t="array" aca="1" ref="AB64" ca="1">Ver_flag_local</f>
        <v>#VALUE!</v>
      </c>
      <c r="AC64" s="50">
        <v>2</v>
      </c>
      <c r="AD64" s="51">
        <v>1</v>
      </c>
      <c r="AE64" s="571" t="e" cm="1" vm="31">
        <f t="array" aca="1" ref="AE64" ca="1">Ver_flag_visit</f>
        <v>#VALUE!</v>
      </c>
      <c r="AF64" s="32" t="str">
        <f ca="1">A63</f>
        <v>Arabia Saudita</v>
      </c>
      <c r="AG64" s="306">
        <f t="shared" si="212"/>
        <v>1</v>
      </c>
      <c r="AH64" s="185">
        <v>65</v>
      </c>
      <c r="AI64" s="171" t="str">
        <f t="shared" si="216"/>
        <v>3H</v>
      </c>
      <c r="AJ64" s="42">
        <v>3</v>
      </c>
      <c r="AK64" s="578" t="e" cm="1" vm="30">
        <f t="array" aca="1" ref="AK64" ca="1">Ver_flag_visit</f>
        <v>#VALUE!</v>
      </c>
      <c r="AL64" s="37" t="str">
        <f ca="1">IFERROR(INDEX($BD$6:$BD$53,MATCH(AI64,$BN$6:$BN$53,0)),"")</f>
        <v>Cabo Verde</v>
      </c>
      <c r="AM64" s="38">
        <f t="shared" ca="1" si="215"/>
        <v>3</v>
      </c>
      <c r="AN64" s="39">
        <f t="shared" ca="1" si="215"/>
        <v>3</v>
      </c>
      <c r="AO64" s="39">
        <f t="shared" ca="1" si="215"/>
        <v>1</v>
      </c>
      <c r="AP64" s="39">
        <f t="shared" ca="1" si="215"/>
        <v>0</v>
      </c>
      <c r="AQ64" s="39">
        <f t="shared" ca="1" si="215"/>
        <v>2</v>
      </c>
      <c r="AR64" s="39">
        <f t="shared" ca="1" si="215"/>
        <v>3</v>
      </c>
      <c r="AS64" s="39">
        <f t="shared" ca="1" si="215"/>
        <v>5</v>
      </c>
      <c r="AT64" s="43">
        <f t="shared" ca="1" si="215"/>
        <v>-2</v>
      </c>
      <c r="AU64" s="313">
        <f ca="1">INDEX($DL$6:$DL$53,MATCH(AI64,$DP$6:$DP$53,0))</f>
        <v>1</v>
      </c>
      <c r="AV64" s="172" t="str">
        <f ca="1">INDEX($BD$6:$BD$53,MATCH(AI64,$BM$6:$BM$53,0))</f>
        <v>Cabo Verde</v>
      </c>
      <c r="AW64" s="200"/>
      <c r="AX64" s="161"/>
      <c r="AY64" s="191" t="str">
        <f ca="1">+A63</f>
        <v>Arabia Saudita</v>
      </c>
      <c r="AZ64" s="192"/>
      <c r="BA64" s="16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1</v>
      </c>
      <c r="BK64" s="16">
        <f t="shared" ca="1" si="173"/>
        <v>3</v>
      </c>
      <c r="BL64" s="16">
        <f t="shared" ca="1" si="190"/>
        <v>-2</v>
      </c>
      <c r="BM64" s="16">
        <f t="shared" ca="1" si="191"/>
        <v>10</v>
      </c>
      <c r="BN64" s="16">
        <f t="shared" ca="1" si="192"/>
        <v>10</v>
      </c>
      <c r="BO64" s="16" t="str">
        <f t="shared" si="174"/>
        <v>4G</v>
      </c>
      <c r="BP64" s="16"/>
      <c r="BQ64" s="16"/>
      <c r="BR64" s="16">
        <f t="shared" ca="1" si="175"/>
        <v>3</v>
      </c>
      <c r="BS64" s="16">
        <f t="shared" ca="1" si="193"/>
        <v>4</v>
      </c>
      <c r="BT64" s="16" t="str">
        <f t="shared" ca="1" si="194"/>
        <v>Pos. 4 (7)</v>
      </c>
      <c r="BU64" s="16">
        <f t="shared" ca="1" si="176"/>
        <v>-2</v>
      </c>
      <c r="BV64" s="16">
        <f t="shared" ca="1" si="177"/>
        <v>6</v>
      </c>
      <c r="BW64" s="16" t="str">
        <f t="shared" ca="1" si="178"/>
        <v>Pos. 6 (5)</v>
      </c>
      <c r="BX64" s="16">
        <f t="shared" ca="1" si="179"/>
        <v>1</v>
      </c>
      <c r="BY64" s="16">
        <f t="shared" ca="1" si="180"/>
        <v>10</v>
      </c>
      <c r="BZ64" s="16" t="str">
        <f t="shared" ca="1" si="181"/>
        <v>-</v>
      </c>
      <c r="CA64" s="16" t="str">
        <f t="shared" ca="1" si="182"/>
        <v>-</v>
      </c>
      <c r="CB64" s="16">
        <f t="shared" ca="1" si="195"/>
        <v>10</v>
      </c>
      <c r="CC64" s="16"/>
      <c r="CD64" s="16">
        <f t="shared" ca="1" si="183"/>
        <v>10</v>
      </c>
      <c r="CE64" s="16" t="str">
        <f t="shared" ca="1" si="196"/>
        <v>-</v>
      </c>
      <c r="CF64" s="16">
        <f t="shared" ca="1" si="197"/>
        <v>10</v>
      </c>
      <c r="DJ64" s="16">
        <f t="shared" ca="1" si="184"/>
        <v>6</v>
      </c>
      <c r="DK64" s="16"/>
      <c r="DL64" s="16">
        <f t="shared" ca="1" si="185"/>
        <v>3</v>
      </c>
      <c r="DM64" s="16" t="str">
        <f t="shared" ca="1" si="186"/>
        <v>6.3</v>
      </c>
      <c r="DN64" s="16" t="e" cm="1" vm="33">
        <f t="array" aca="1" ref="DN64" ca="1">OFFSET(Horarios!$P$3,DJ64-1,0,DL64,1)</f>
        <v>#VALUE!</v>
      </c>
      <c r="DO64" s="16"/>
      <c r="DP64" s="16">
        <v>7</v>
      </c>
      <c r="DQ64" s="16" t="str">
        <f t="shared" ca="1" si="198"/>
        <v>Cabo Verde</v>
      </c>
    </row>
    <row r="65" spans="1:121" ht="16" customHeight="1" thickBot="1">
      <c r="A65" s="16"/>
      <c r="B65" s="16"/>
      <c r="C65" s="16"/>
      <c r="D65" s="16" t="str">
        <f t="shared" si="199"/>
        <v>Local</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36"/>
      <c r="X65" s="28">
        <f ca="1">Horarios!C65</f>
        <v>46200.083333333336</v>
      </c>
      <c r="Y65" s="29">
        <f ca="1">Horarios!C65</f>
        <v>46200.083333333336</v>
      </c>
      <c r="Z65" s="30" t="str">
        <f>$Z$8</f>
        <v>J3</v>
      </c>
      <c r="AA65" s="31" t="str">
        <f ca="1">A64</f>
        <v>Uruguay</v>
      </c>
      <c r="AB65" s="52" t="e" cm="1" vm="32">
        <f t="array" aca="1" ref="AB65" ca="1">Ver_flag_local</f>
        <v>#VALUE!</v>
      </c>
      <c r="AC65" s="50">
        <v>2</v>
      </c>
      <c r="AD65" s="51">
        <v>1</v>
      </c>
      <c r="AE65" s="572" t="e" cm="1" vm="29">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Arabia Saudita</v>
      </c>
      <c r="AM65" s="46">
        <f t="shared" ca="1" si="215"/>
        <v>0</v>
      </c>
      <c r="AN65" s="47">
        <f t="shared" ca="1" si="215"/>
        <v>3</v>
      </c>
      <c r="AO65" s="47">
        <f t="shared" ca="1" si="215"/>
        <v>0</v>
      </c>
      <c r="AP65" s="47">
        <f t="shared" ca="1" si="215"/>
        <v>0</v>
      </c>
      <c r="AQ65" s="47">
        <f t="shared" ca="1" si="215"/>
        <v>3</v>
      </c>
      <c r="AR65" s="47">
        <f t="shared" ca="1" si="215"/>
        <v>1</v>
      </c>
      <c r="AS65" s="47">
        <f t="shared" ca="1" si="215"/>
        <v>8</v>
      </c>
      <c r="AT65" s="48">
        <f t="shared" ca="1" si="215"/>
        <v>-7</v>
      </c>
      <c r="AU65" s="313">
        <f ca="1">INDEX($DL$6:$DL$53,MATCH(AI65,$DP$6:$DP$53,0))</f>
        <v>1</v>
      </c>
      <c r="AV65" s="172" t="str">
        <f ca="1">INDEX($BD$6:$BD$53,MATCH(AI65,$BM$6:$BM$53,0))</f>
        <v>Arabia Saudita</v>
      </c>
      <c r="AW65" s="200"/>
      <c r="AX65" s="161"/>
      <c r="AY65" s="195" t="str">
        <f ca="1">+A64</f>
        <v>Uruguay</v>
      </c>
      <c r="AZ65" s="196"/>
      <c r="BA65" s="166"/>
      <c r="BB65" s="16" t="str">
        <f t="shared" si="187"/>
        <v>3H</v>
      </c>
      <c r="BC65" s="16" t="s">
        <v>447</v>
      </c>
      <c r="BD65" s="16" t="str">
        <f t="shared" ca="1" si="168"/>
        <v>Cabo Verde</v>
      </c>
      <c r="BE65" s="16">
        <f t="shared" ca="1" si="188"/>
        <v>3</v>
      </c>
      <c r="BF65" s="16">
        <f t="shared" ca="1" si="189"/>
        <v>3</v>
      </c>
      <c r="BG65" s="16">
        <f t="shared" ca="1" si="169"/>
        <v>1</v>
      </c>
      <c r="BH65" s="16">
        <f t="shared" ca="1" si="170"/>
        <v>0</v>
      </c>
      <c r="BI65" s="16">
        <f t="shared" ca="1" si="171"/>
        <v>2</v>
      </c>
      <c r="BJ65" s="16">
        <f t="shared" ca="1" si="172"/>
        <v>3</v>
      </c>
      <c r="BK65" s="16">
        <f t="shared" ca="1" si="173"/>
        <v>5</v>
      </c>
      <c r="BL65" s="16">
        <f t="shared" ca="1" si="190"/>
        <v>-2</v>
      </c>
      <c r="BM65" s="16">
        <f t="shared" ca="1" si="191"/>
        <v>7</v>
      </c>
      <c r="BN65" s="16">
        <f t="shared" ca="1" si="192"/>
        <v>7</v>
      </c>
      <c r="BO65" s="16" t="str">
        <f t="shared" si="174"/>
        <v>4H</v>
      </c>
      <c r="BP65" s="16"/>
      <c r="BQ65" s="16"/>
      <c r="BR65" s="16">
        <f t="shared" ca="1" si="175"/>
        <v>3</v>
      </c>
      <c r="BS65" s="16">
        <f t="shared" ca="1" si="193"/>
        <v>4</v>
      </c>
      <c r="BT65" s="16" t="str">
        <f t="shared" ca="1" si="194"/>
        <v>Pos. 4 (7)</v>
      </c>
      <c r="BU65" s="16">
        <f t="shared" ca="1" si="176"/>
        <v>-2</v>
      </c>
      <c r="BV65" s="16">
        <f t="shared" ca="1" si="177"/>
        <v>6</v>
      </c>
      <c r="BW65" s="16" t="str">
        <f t="shared" ca="1" si="178"/>
        <v>Pos. 6 (5)</v>
      </c>
      <c r="BX65" s="16">
        <f t="shared" ca="1" si="179"/>
        <v>3</v>
      </c>
      <c r="BY65" s="16">
        <f t="shared" ca="1" si="180"/>
        <v>6</v>
      </c>
      <c r="BZ65" s="16" t="str">
        <f t="shared" ca="1" si="181"/>
        <v>Pos. 6 (3)</v>
      </c>
      <c r="CA65" s="16">
        <f t="shared" ca="1" si="182"/>
        <v>9</v>
      </c>
      <c r="CB65" s="16">
        <f t="shared" ca="1" si="195"/>
        <v>7</v>
      </c>
      <c r="CC65" s="16"/>
      <c r="CD65" s="16">
        <f t="shared" ca="1" si="183"/>
        <v>7.0069999999999997</v>
      </c>
      <c r="CE65" s="16">
        <f t="shared" ca="1" si="196"/>
        <v>6</v>
      </c>
      <c r="CF65" s="16">
        <f t="shared" ca="1" si="197"/>
        <v>7</v>
      </c>
      <c r="DJ65" s="16">
        <f t="shared" ca="1" si="184"/>
        <v>6</v>
      </c>
      <c r="DK65" s="16"/>
      <c r="DL65" s="16">
        <f t="shared" ca="1" si="185"/>
        <v>3</v>
      </c>
      <c r="DM65" s="16" t="str">
        <f t="shared" ca="1" si="186"/>
        <v>6.3</v>
      </c>
      <c r="DN65" s="16" t="e" cm="1" vm="33">
        <f t="array" aca="1" ref="DN65" ca="1">OFFSET(Horarios!$P$3,DJ65-1,0,DL65,1)</f>
        <v>#VALUE!</v>
      </c>
      <c r="DO65" s="16"/>
      <c r="DP65" s="16">
        <v>8</v>
      </c>
      <c r="DQ65" s="16" t="str">
        <f t="shared" ca="1" si="198"/>
        <v>Sudáfrica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Noruega</v>
      </c>
      <c r="BE66" s="16">
        <f t="shared" ca="1" si="188"/>
        <v>3</v>
      </c>
      <c r="BF66" s="16">
        <f t="shared" ca="1" si="189"/>
        <v>3</v>
      </c>
      <c r="BG66" s="16">
        <f t="shared" ca="1" si="169"/>
        <v>1</v>
      </c>
      <c r="BH66" s="16">
        <f t="shared" ca="1" si="170"/>
        <v>0</v>
      </c>
      <c r="BI66" s="16">
        <f t="shared" ca="1" si="171"/>
        <v>2</v>
      </c>
      <c r="BJ66" s="16">
        <f t="shared" ca="1" si="172"/>
        <v>2</v>
      </c>
      <c r="BK66" s="16">
        <f t="shared" ca="1" si="173"/>
        <v>4</v>
      </c>
      <c r="BL66" s="16">
        <f t="shared" ca="1" si="190"/>
        <v>-2</v>
      </c>
      <c r="BM66" s="16">
        <f t="shared" ca="1" si="191"/>
        <v>9</v>
      </c>
      <c r="BN66" s="16">
        <f t="shared" ca="1" si="192"/>
        <v>9</v>
      </c>
      <c r="BO66" s="16" t="str">
        <f t="shared" si="174"/>
        <v>4I</v>
      </c>
      <c r="BP66" s="16"/>
      <c r="BQ66" s="16"/>
      <c r="BR66" s="16">
        <f t="shared" ca="1" si="175"/>
        <v>3</v>
      </c>
      <c r="BS66" s="16">
        <f t="shared" ca="1" si="193"/>
        <v>4</v>
      </c>
      <c r="BT66" s="16" t="str">
        <f t="shared" ca="1" si="194"/>
        <v>Pos. 4 (7)</v>
      </c>
      <c r="BU66" s="16">
        <f t="shared" ca="1" si="176"/>
        <v>-2</v>
      </c>
      <c r="BV66" s="16">
        <f t="shared" ca="1" si="177"/>
        <v>6</v>
      </c>
      <c r="BW66" s="16" t="str">
        <f t="shared" ca="1" si="178"/>
        <v>Pos. 6 (5)</v>
      </c>
      <c r="BX66" s="16">
        <f t="shared" ca="1" si="179"/>
        <v>2</v>
      </c>
      <c r="BY66" s="16">
        <f t="shared" ca="1" si="180"/>
        <v>9</v>
      </c>
      <c r="BZ66" s="16" t="str">
        <f t="shared" ca="1" si="181"/>
        <v>-</v>
      </c>
      <c r="CA66" s="16" t="str">
        <f t="shared" ca="1" si="182"/>
        <v>-</v>
      </c>
      <c r="CB66" s="16">
        <f t="shared" ca="1" si="195"/>
        <v>9</v>
      </c>
      <c r="CC66" s="16"/>
      <c r="CD66" s="16">
        <f t="shared" ca="1" si="183"/>
        <v>9</v>
      </c>
      <c r="CE66" s="16" t="str">
        <f t="shared" ca="1" si="196"/>
        <v>-</v>
      </c>
      <c r="CF66" s="16">
        <f t="shared" ca="1" si="197"/>
        <v>9</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Noruega</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3</v>
      </c>
      <c r="BK67" s="16">
        <f t="shared" ca="1" si="173"/>
        <v>5</v>
      </c>
      <c r="BL67" s="16">
        <f t="shared" ca="1" si="190"/>
        <v>-2</v>
      </c>
      <c r="BM67" s="16">
        <f t="shared" ca="1" si="191"/>
        <v>6</v>
      </c>
      <c r="BN67" s="16">
        <f t="shared" ca="1" si="192"/>
        <v>6</v>
      </c>
      <c r="BO67" s="16" t="str">
        <f t="shared" si="174"/>
        <v>4J</v>
      </c>
      <c r="BP67" s="16"/>
      <c r="BQ67" s="16"/>
      <c r="BR67" s="16">
        <f t="shared" ca="1" si="175"/>
        <v>3</v>
      </c>
      <c r="BS67" s="16">
        <f t="shared" ca="1" si="193"/>
        <v>4</v>
      </c>
      <c r="BT67" s="16" t="str">
        <f t="shared" ca="1" si="194"/>
        <v>Pos. 4 (7)</v>
      </c>
      <c r="BU67" s="16">
        <f t="shared" ca="1" si="176"/>
        <v>-2</v>
      </c>
      <c r="BV67" s="16">
        <f t="shared" ca="1" si="177"/>
        <v>6</v>
      </c>
      <c r="BW67" s="16" t="str">
        <f t="shared" ca="1" si="178"/>
        <v>Pos. 6 (5)</v>
      </c>
      <c r="BX67" s="16">
        <f t="shared" ca="1" si="179"/>
        <v>3</v>
      </c>
      <c r="BY67" s="16">
        <f t="shared" ca="1" si="180"/>
        <v>6</v>
      </c>
      <c r="BZ67" s="16" t="str">
        <f t="shared" ca="1" si="181"/>
        <v>Pos. 6 (3)</v>
      </c>
      <c r="CA67" s="16">
        <f t="shared" ca="1" si="182"/>
        <v>11</v>
      </c>
      <c r="CB67" s="16">
        <f t="shared" ca="1" si="195"/>
        <v>6</v>
      </c>
      <c r="CC67" s="16"/>
      <c r="CD67" s="16">
        <f t="shared" ca="1" si="183"/>
        <v>6.0060000000000002</v>
      </c>
      <c r="CE67" s="16">
        <f t="shared" ca="1" si="196"/>
        <v>5</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Irán</v>
      </c>
    </row>
    <row r="68" spans="1:121" ht="16"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1" t="s">
        <v>448</v>
      </c>
      <c r="X68" s="24">
        <f ca="1">Horarios!C68</f>
        <v>46189.875</v>
      </c>
      <c r="Y68" s="25">
        <f ca="1">Horarios!C68</f>
        <v>46189.875</v>
      </c>
      <c r="Z68" s="26" t="str">
        <f>$Z$4</f>
        <v>J1</v>
      </c>
      <c r="AA68" s="27" t="str">
        <f ca="1">A69</f>
        <v>Francia</v>
      </c>
      <c r="AB68" s="49" t="e" cm="1" vm="34">
        <f t="array" aca="1" ref="AB68" ca="1">Ver_flag_local</f>
        <v>#VALUE!</v>
      </c>
      <c r="AC68" s="50">
        <v>3</v>
      </c>
      <c r="AD68" s="51">
        <v>1</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2</v>
      </c>
      <c r="BK68" s="16">
        <f t="shared" ca="1" si="173"/>
        <v>5</v>
      </c>
      <c r="BL68" s="16">
        <f t="shared" ca="1" si="190"/>
        <v>-3</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-3</v>
      </c>
      <c r="BV68" s="16">
        <f t="shared" ca="1" si="177"/>
        <v>11</v>
      </c>
      <c r="BW68" s="16" t="str">
        <f t="shared" ca="1" si="178"/>
        <v>Pos. 11 (2)</v>
      </c>
      <c r="BX68" s="16">
        <f t="shared" ca="1" si="179"/>
        <v>2</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Túnez</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1"/>
      <c r="X69" s="24">
        <f ca="1">Horarios!C69</f>
        <v>46190</v>
      </c>
      <c r="Y69" s="25">
        <f ca="1">Horarios!C69</f>
        <v>46190</v>
      </c>
      <c r="Z69" s="26" t="str">
        <f>$Z$4</f>
        <v>J1</v>
      </c>
      <c r="AA69" s="27" t="str">
        <f ca="1">A71</f>
        <v>Irak</v>
      </c>
      <c r="AB69" s="49" t="e" cm="1" vm="36">
        <f t="array" aca="1" ref="AB69" ca="1">Ver_flag_local</f>
        <v>#VALUE!</v>
      </c>
      <c r="AC69" s="50">
        <v>1</v>
      </c>
      <c r="AD69" s="51">
        <v>2</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3</v>
      </c>
      <c r="BK69" s="16">
        <f t="shared" ca="1" si="173"/>
        <v>3</v>
      </c>
      <c r="BL69" s="16">
        <f t="shared" ca="1" si="190"/>
        <v>0</v>
      </c>
      <c r="BM69" s="16">
        <f t="shared" ca="1" si="191"/>
        <v>3</v>
      </c>
      <c r="BN69" s="16">
        <f t="shared" ca="1" si="192"/>
        <v>3</v>
      </c>
      <c r="BO69" s="16" t="str">
        <f t="shared" si="174"/>
        <v>4L</v>
      </c>
      <c r="BP69" s="16"/>
      <c r="BQ69" s="16"/>
      <c r="BR69" s="16">
        <f t="shared" ca="1" si="175"/>
        <v>4</v>
      </c>
      <c r="BS69" s="16">
        <f t="shared" ca="1" si="193"/>
        <v>2</v>
      </c>
      <c r="BT69" s="16" t="str">
        <f t="shared" ca="1" si="194"/>
        <v>Pos. 2 (2)</v>
      </c>
      <c r="BU69" s="16">
        <f t="shared" ca="1" si="176"/>
        <v>0</v>
      </c>
      <c r="BV69" s="16">
        <f t="shared" ca="1" si="177"/>
        <v>3</v>
      </c>
      <c r="BW69" s="16" t="str">
        <f t="shared" ca="1" si="178"/>
        <v>-</v>
      </c>
      <c r="BX69" s="16" t="str">
        <f t="shared" ca="1" si="179"/>
        <v>-</v>
      </c>
      <c r="BY69" s="16">
        <f t="shared" ca="1" si="180"/>
        <v>3</v>
      </c>
      <c r="BZ69" s="16" t="str">
        <f t="shared" ca="1" si="181"/>
        <v>-</v>
      </c>
      <c r="CA69" s="16" t="str">
        <f t="shared" ca="1" si="182"/>
        <v>-</v>
      </c>
      <c r="CB69" s="16">
        <f ca="1">BY69+COUNTIFS(BZ$58:BZ$69,BZ69,CA$58:CA$69,"&gt;"&amp;CA69)</f>
        <v>3</v>
      </c>
      <c r="CC69" s="16"/>
      <c r="CD69" s="16">
        <f t="shared" ca="1" si="183"/>
        <v>3</v>
      </c>
      <c r="CE69" s="16" t="str">
        <f t="shared" ca="1" si="196"/>
        <v>-</v>
      </c>
      <c r="CF69" s="16">
        <f t="shared" ca="1" si="197"/>
        <v>3</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1"/>
      <c r="X70" s="24">
        <f ca="1">Horarios!C70</f>
        <v>46195.958333333336</v>
      </c>
      <c r="Y70" s="25">
        <f ca="1">Horarios!C70</f>
        <v>46195.958333333336</v>
      </c>
      <c r="Z70" s="26" t="str">
        <f>$Z$6</f>
        <v>J2</v>
      </c>
      <c r="AA70" s="27" t="str">
        <f ca="1">A69</f>
        <v>Francia</v>
      </c>
      <c r="AB70" s="49" t="e" cm="1" vm="34">
        <f t="array" aca="1" ref="AB70" ca="1">Ver_flag_local</f>
        <v>#VALUE!</v>
      </c>
      <c r="AC70" s="50">
        <v>2</v>
      </c>
      <c r="AD70" s="51">
        <v>0</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13">
        <f ca="1">INDEX($DL$6:$DL$53,MATCH(AI70,$DP$6:$DP$53,0))</f>
        <v>1</v>
      </c>
      <c r="AV70" s="172" t="str">
        <f ca="1">INDEX($BD$6:$BD$53,MATCH(AI70,$BM$6:$BM$53,0))</f>
        <v>Francia</v>
      </c>
      <c r="AW70" s="200"/>
      <c r="AX70" s="161"/>
      <c r="AY70" s="191" t="str">
        <f ca="1">+A69</f>
        <v>Francia</v>
      </c>
      <c r="AZ70" s="192"/>
      <c r="BA70" s="166"/>
      <c r="DN70" s="16"/>
    </row>
    <row r="71" spans="1:121" ht="16"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1"/>
      <c r="X71" s="24">
        <f ca="1">Horarios!C71</f>
        <v>46196.083333333336</v>
      </c>
      <c r="Y71" s="25">
        <f ca="1">Horarios!C71</f>
        <v>46196.083333333336</v>
      </c>
      <c r="Z71" s="26" t="str">
        <f>$Z$6</f>
        <v>J2</v>
      </c>
      <c r="AA71" s="27" t="str">
        <f ca="1">A72</f>
        <v>Noruega</v>
      </c>
      <c r="AB71" s="49" t="e" cm="1" vm="37">
        <f t="array" aca="1" ref="AB71" ca="1">Ver_flag_local</f>
        <v>#VALUE!</v>
      </c>
      <c r="AC71" s="50">
        <v>0</v>
      </c>
      <c r="AD71" s="51">
        <v>1</v>
      </c>
      <c r="AE71" s="571" t="e" cm="1" vm="35">
        <f t="array" aca="1" ref="AE71" ca="1">Ver_flag_visit</f>
        <v>#VALUE!</v>
      </c>
      <c r="AF71" s="32" t="str">
        <f ca="1">A70</f>
        <v>Senegal</v>
      </c>
      <c r="AG71" s="306">
        <f t="shared" si="230"/>
        <v>1</v>
      </c>
      <c r="AH71" s="185">
        <v>41</v>
      </c>
      <c r="AI71" s="171" t="str">
        <f t="shared" ref="AI71:AI73" si="234">AJ71&amp;$B$68</f>
        <v>2I</v>
      </c>
      <c r="AJ71" s="42">
        <v>2</v>
      </c>
      <c r="AK71" s="578" t="e" cm="1" vm="35">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3</v>
      </c>
      <c r="AS71" s="39">
        <f t="shared" ca="1" si="233"/>
        <v>3</v>
      </c>
      <c r="AT71" s="43">
        <f t="shared" ca="1" si="233"/>
        <v>0</v>
      </c>
      <c r="AU71" s="313">
        <f ca="1">INDEX($DL$6:$DL$53,MATCH(AI71,$DP$6:$DP$53,0))</f>
        <v>1</v>
      </c>
      <c r="AV71" s="172" t="str">
        <f ca="1">INDEX($BD$6:$BD$53,MATCH(AI71,$BM$6:$BM$53,0))</f>
        <v>Senegal</v>
      </c>
      <c r="AW71" s="200"/>
      <c r="AX71" s="161"/>
      <c r="AY71" s="193" t="str">
        <f ca="1">+A70</f>
        <v>Senegal</v>
      </c>
      <c r="AZ71" s="194"/>
      <c r="BA71" s="16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1"/>
      <c r="X72" s="24">
        <f ca="1">Horarios!C72</f>
        <v>46199.875</v>
      </c>
      <c r="Y72" s="25">
        <f ca="1">Horarios!C72</f>
        <v>46199.875</v>
      </c>
      <c r="Z72" s="26" t="str">
        <f>$Z$8</f>
        <v>J3</v>
      </c>
      <c r="AA72" s="27" t="str">
        <f ca="1">A72</f>
        <v>Noruega</v>
      </c>
      <c r="AB72" s="49" t="e" cm="1" vm="37">
        <f t="array" aca="1" ref="AB72" ca="1">Ver_flag_local</f>
        <v>#VALUE!</v>
      </c>
      <c r="AC72" s="50">
        <v>0</v>
      </c>
      <c r="AD72" s="51">
        <v>2</v>
      </c>
      <c r="AE72" s="571" t="e" cm="1" vm="34">
        <f t="array" aca="1" ref="AE72" ca="1">Ver_flag_visit</f>
        <v>#VALUE!</v>
      </c>
      <c r="AF72" s="32" t="str">
        <f ca="1">A69</f>
        <v>Francia</v>
      </c>
      <c r="AG72" s="306">
        <f t="shared" si="230"/>
        <v>1</v>
      </c>
      <c r="AH72" s="185">
        <v>61</v>
      </c>
      <c r="AI72" s="171" t="str">
        <f t="shared" si="234"/>
        <v>3I</v>
      </c>
      <c r="AJ72" s="42">
        <v>3</v>
      </c>
      <c r="AK72" s="578" t="e" cm="1" vm="37">
        <f t="array" aca="1" ref="AK72" ca="1">Ver_flag_visit</f>
        <v>#VALUE!</v>
      </c>
      <c r="AL72" s="37" t="str">
        <f ca="1">IFERROR(INDEX($BD$6:$BD$53,MATCH(AI72,$BN$6:$BN$53,0)),"")</f>
        <v>Noruega</v>
      </c>
      <c r="AM72" s="38">
        <f t="shared" ca="1" si="233"/>
        <v>3</v>
      </c>
      <c r="AN72" s="39">
        <f t="shared" ca="1" si="233"/>
        <v>3</v>
      </c>
      <c r="AO72" s="39">
        <f t="shared" ca="1" si="233"/>
        <v>1</v>
      </c>
      <c r="AP72" s="39">
        <f t="shared" ca="1" si="233"/>
        <v>0</v>
      </c>
      <c r="AQ72" s="39">
        <f t="shared" ca="1" si="233"/>
        <v>2</v>
      </c>
      <c r="AR72" s="39">
        <f t="shared" ca="1" si="233"/>
        <v>2</v>
      </c>
      <c r="AS72" s="39">
        <f t="shared" ca="1" si="233"/>
        <v>4</v>
      </c>
      <c r="AT72" s="43">
        <f t="shared" ca="1" si="233"/>
        <v>-2</v>
      </c>
      <c r="AU72" s="313">
        <f ca="1">INDEX($DL$6:$DL$53,MATCH(AI72,$DP$6:$DP$53,0))</f>
        <v>1</v>
      </c>
      <c r="AV72" s="172" t="str">
        <f ca="1">INDEX($BD$6:$BD$53,MATCH(AI72,$BM$6:$BM$53,0))</f>
        <v>Noruega</v>
      </c>
      <c r="AW72" s="200"/>
      <c r="AX72" s="161"/>
      <c r="AY72" s="191" t="str">
        <f ca="1">+A71</f>
        <v>Irak</v>
      </c>
      <c r="AZ72" s="192"/>
      <c r="BA72" s="16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2"/>
      <c r="X73" s="28">
        <f ca="1">Horarios!C73</f>
        <v>46199.875</v>
      </c>
      <c r="Y73" s="29">
        <f ca="1">Horarios!C73</f>
        <v>46199.875</v>
      </c>
      <c r="Z73" s="30" t="str">
        <f>$Z$8</f>
        <v>J3</v>
      </c>
      <c r="AA73" s="31" t="str">
        <f ca="1">A70</f>
        <v>Senegal</v>
      </c>
      <c r="AB73" s="52" t="e" cm="1" vm="35">
        <f t="array" aca="1" ref="AB73" ca="1">Ver_flag_local</f>
        <v>#VALUE!</v>
      </c>
      <c r="AC73" s="50">
        <v>1</v>
      </c>
      <c r="AD73" s="51">
        <v>0</v>
      </c>
      <c r="AE73" s="572" t="e" cm="1" vm="36">
        <f t="array" aca="1" ref="AE73" ca="1">Ver_flag_visit</f>
        <v>#VALUE!</v>
      </c>
      <c r="AF73" s="33" t="str">
        <f ca="1">A71</f>
        <v>Irak</v>
      </c>
      <c r="AG73" s="306">
        <f t="shared" si="230"/>
        <v>1</v>
      </c>
      <c r="AH73" s="185">
        <v>62</v>
      </c>
      <c r="AI73" s="171" t="str">
        <f t="shared" si="234"/>
        <v>4I</v>
      </c>
      <c r="AJ73" s="44">
        <v>4</v>
      </c>
      <c r="AK73" s="580"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5</v>
      </c>
      <c r="AT73" s="48">
        <f t="shared" ca="1" si="233"/>
        <v>-4</v>
      </c>
      <c r="AU73" s="313">
        <f ca="1">INDEX($DL$6:$DL$53,MATCH(AI73,$DP$6:$DP$53,0))</f>
        <v>1</v>
      </c>
      <c r="AV73" s="172" t="str">
        <f ca="1">INDEX($BD$6:$BD$53,MATCH(AI73,$BM$6:$BM$53,0))</f>
        <v>Irak</v>
      </c>
      <c r="AW73" s="200"/>
      <c r="AX73" s="161"/>
      <c r="AY73" s="195" t="str">
        <f ca="1">+A72</f>
        <v>Noruega</v>
      </c>
      <c r="AZ73" s="196"/>
      <c r="BA73" s="16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v>
      </c>
      <c r="G76" s="16"/>
      <c r="H76" s="16" t="str">
        <f t="shared" ref="H76:H81" ca="1" si="238">IF(D76="Pendiente","-",INDEX($BZ$6:$BZ$53,MATCH($AA76,$BD$6:$BD$53,0)))</f>
        <v>P.1 (2)</v>
      </c>
      <c r="I76" s="16" t="str">
        <f t="shared" ref="I76:I81" ca="1" si="239">IF(D76="Pendiente","-",INDEX($BZ$6:$BZ$53,MATCH($AF76,$BD$6:$BD$53,0)))</f>
        <v>-</v>
      </c>
      <c r="J76" s="16"/>
      <c r="K76" s="16" t="str">
        <f t="shared" ref="K76:K81" ca="1" si="240">IF(D76="Pendiente","-",INDEX($CE$6:$CE$53,MATCH($AA76,$BD$6:$BD$53,0)))</f>
        <v>P.1 (2)</v>
      </c>
      <c r="L76" s="16" t="str">
        <f t="shared" ref="L76:L81" ca="1" si="241">IF(D76="Pendiente","-",INDEX($CE$6:$CE$53,MATCH($AF76,$BD$6:$BD$53,0)))</f>
        <v>-</v>
      </c>
      <c r="M76" s="16"/>
      <c r="N76" s="16" t="str">
        <f t="shared" ref="N76:N81" ca="1" si="242">IF(D76="Pendiente","-",INDEX($CH$6:$CH$53,MATCH($AA76,$BD$6:$BD$53,0)))</f>
        <v>P.1 (2)</v>
      </c>
      <c r="O76" s="16" t="str">
        <f t="shared" ref="O76:O81" ca="1" si="243">IF(D76="Pendiente","-",INDEX($CH$6:$CH$53,MATCH($AF76,$BD$6:$BD$53,0)))</f>
        <v>-</v>
      </c>
      <c r="P76" s="16"/>
      <c r="Q76" s="16" t="str">
        <f t="shared" ref="Q76:Q81" ca="1" si="244">IF(D76="Pendiente","-",INDEX($CN$6:$CN$53,MATCH($AA76,$BD$6:$BD$53,0)))</f>
        <v>P.1 (2)</v>
      </c>
      <c r="R76" s="16" t="str">
        <f t="shared" ref="R76:R81" ca="1" si="245">IF(D76="Pendiente","-",INDEX($CN$6:$CN$53,MATCH($AF76,$BD$6:$BD$53,0)))</f>
        <v>-</v>
      </c>
      <c r="S76" s="16"/>
      <c r="T76" s="16" t="str">
        <f t="shared" ref="T76:T81" ca="1" si="246">IF(D76="Pendiente","-",INDEX($CS$6:$CS$53,MATCH($AA76,$BD$6:$BD$53,0)))</f>
        <v>P.1 (2)</v>
      </c>
      <c r="U76" s="16" t="str">
        <f t="shared" ref="U76:U81" ca="1" si="247">IF(D76="Pendiente","-",INDEX($CS$6:$CS$53,MATCH($AF76,$BD$6:$BD$53,0)))</f>
        <v>-</v>
      </c>
      <c r="V76" s="17"/>
      <c r="W76" s="637" t="s">
        <v>5</v>
      </c>
      <c r="X76" s="24">
        <f ca="1">Horarios!C76</f>
        <v>46190.125</v>
      </c>
      <c r="Y76" s="25">
        <f ca="1">Horarios!C76</f>
        <v>46190.125</v>
      </c>
      <c r="Z76" s="26" t="str">
        <f>$Z$4</f>
        <v>J1</v>
      </c>
      <c r="AA76" s="27" t="str">
        <f ca="1">A77</f>
        <v>Argentina</v>
      </c>
      <c r="AB76" s="49" t="e" cm="1" vm="38">
        <f t="array" aca="1" ref="AB76" ca="1">Ver_flag_local</f>
        <v>#VALUE!</v>
      </c>
      <c r="AC76" s="50">
        <v>3</v>
      </c>
      <c r="AD76" s="51">
        <v>1</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 customHeight="1">
      <c r="A77" s="16" t="str">
        <f ca="1">+Equipos!B38</f>
        <v>Argentina</v>
      </c>
      <c r="B77" s="16"/>
      <c r="C77" s="16"/>
      <c r="D77" s="16" t="str">
        <f t="shared" si="235"/>
        <v>Local</v>
      </c>
      <c r="E77" s="16" t="str">
        <f t="shared" ca="1" si="236"/>
        <v>P.1 (2)</v>
      </c>
      <c r="F77" s="16" t="str">
        <f t="shared" ca="1" si="237"/>
        <v>-</v>
      </c>
      <c r="G77" s="16"/>
      <c r="H77" s="16" t="str">
        <f t="shared" ca="1" si="238"/>
        <v>P.1 (2)</v>
      </c>
      <c r="I77" s="16" t="str">
        <f t="shared" ca="1" si="239"/>
        <v>-</v>
      </c>
      <c r="J77" s="16"/>
      <c r="K77" s="16" t="str">
        <f t="shared" ca="1" si="240"/>
        <v>P.1 (2)</v>
      </c>
      <c r="L77" s="16" t="str">
        <f t="shared" ca="1" si="241"/>
        <v>-</v>
      </c>
      <c r="M77" s="16"/>
      <c r="N77" s="16" t="str">
        <f t="shared" ca="1" si="242"/>
        <v>P.1 (2)</v>
      </c>
      <c r="O77" s="16" t="str">
        <f t="shared" ca="1" si="243"/>
        <v>-</v>
      </c>
      <c r="P77" s="16"/>
      <c r="Q77" s="16" t="str">
        <f t="shared" ca="1" si="244"/>
        <v>P.1 (2)</v>
      </c>
      <c r="R77" s="16" t="str">
        <f t="shared" ca="1" si="245"/>
        <v>-</v>
      </c>
      <c r="S77" s="16"/>
      <c r="T77" s="16" t="str">
        <f t="shared" ca="1" si="246"/>
        <v>P.1 (2)</v>
      </c>
      <c r="U77" s="16" t="str">
        <f t="shared" ca="1" si="247"/>
        <v>-</v>
      </c>
      <c r="V77" s="17"/>
      <c r="W77" s="637"/>
      <c r="X77" s="24">
        <f ca="1">Horarios!C77</f>
        <v>46190.25</v>
      </c>
      <c r="Y77" s="25">
        <f ca="1">Horarios!C77</f>
        <v>46190.25</v>
      </c>
      <c r="Z77" s="26" t="str">
        <f>$Z$4</f>
        <v>J1</v>
      </c>
      <c r="AA77" s="27" t="str">
        <f ca="1">A79</f>
        <v>Austria</v>
      </c>
      <c r="AB77" s="49" t="e" cm="1" vm="40">
        <f t="array" aca="1" ref="AB77" ca="1">Ver_flag_local</f>
        <v>#VALUE!</v>
      </c>
      <c r="AC77" s="50">
        <v>1</v>
      </c>
      <c r="AD77" s="51">
        <v>0</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 customHeight="1">
      <c r="A78" s="16" t="str">
        <f ca="1">+Equipos!B39</f>
        <v>Argelia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37"/>
      <c r="X78" s="24">
        <f ca="1">Horarios!C78</f>
        <v>46195.791666666664</v>
      </c>
      <c r="Y78" s="25">
        <f ca="1">Horarios!C78</f>
        <v>46195.791666666664</v>
      </c>
      <c r="Z78" s="26" t="str">
        <f>$Z$6</f>
        <v>J2</v>
      </c>
      <c r="AA78" s="27" t="str">
        <f ca="1">A77</f>
        <v>Argentina</v>
      </c>
      <c r="AB78" s="49" t="e" cm="1" vm="38">
        <f t="array" aca="1" ref="AB78" ca="1">Ver_flag_local</f>
        <v>#VALUE!</v>
      </c>
      <c r="AC78" s="50">
        <v>1</v>
      </c>
      <c r="AD78" s="51">
        <v>1</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6</v>
      </c>
      <c r="AS78" s="36">
        <f t="shared" ca="1" si="251"/>
        <v>3</v>
      </c>
      <c r="AT78" s="41">
        <f t="shared" ca="1" si="251"/>
        <v>3</v>
      </c>
      <c r="AU78" s="313">
        <f ca="1">INDEX($DL$6:$DL$53,MATCH(AI78,$DP$6:$DP$53,0))</f>
        <v>1</v>
      </c>
      <c r="AV78" s="172" t="str">
        <f ca="1">INDEX($BD$6:$BD$53,MATCH(AI78,$BM$6:$BM$53,0))</f>
        <v>Argentina</v>
      </c>
      <c r="AW78" s="200"/>
      <c r="AX78" s="161"/>
      <c r="AY78" s="191" t="str">
        <f ca="1">+A77</f>
        <v>Argentina</v>
      </c>
      <c r="AZ78" s="192"/>
      <c r="BA78" s="166"/>
      <c r="DN78" s="16"/>
    </row>
    <row r="79" spans="1:121" ht="16"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37"/>
      <c r="X79" s="24">
        <f ca="1">Horarios!C79</f>
        <v>46196.208333333336</v>
      </c>
      <c r="Y79" s="25">
        <f ca="1">Horarios!C79</f>
        <v>46196.208333333336</v>
      </c>
      <c r="Z79" s="26" t="str">
        <f>$Z$6</f>
        <v>J2</v>
      </c>
      <c r="AA79" s="27" t="str">
        <f ca="1">A80</f>
        <v>Jordania</v>
      </c>
      <c r="AB79" s="49" t="e" cm="1" vm="41">
        <f t="array" aca="1" ref="AB79" ca="1">Ver_flag_local</f>
        <v>#VALUE!</v>
      </c>
      <c r="AC79" s="50">
        <v>1</v>
      </c>
      <c r="AD79" s="51">
        <v>2</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7</v>
      </c>
      <c r="AN79" s="39">
        <f t="shared" ca="1" si="251"/>
        <v>3</v>
      </c>
      <c r="AO79" s="39">
        <f t="shared" ca="1" si="251"/>
        <v>2</v>
      </c>
      <c r="AP79" s="39">
        <f t="shared" ca="1" si="251"/>
        <v>1</v>
      </c>
      <c r="AQ79" s="39">
        <f t="shared" ca="1" si="251"/>
        <v>0</v>
      </c>
      <c r="AR79" s="39">
        <f t="shared" ca="1" si="251"/>
        <v>3</v>
      </c>
      <c r="AS79" s="39">
        <f t="shared" ca="1" si="251"/>
        <v>1</v>
      </c>
      <c r="AT79" s="43">
        <f t="shared" ca="1" si="251"/>
        <v>2</v>
      </c>
      <c r="AU79" s="313">
        <f ca="1">INDEX($DL$6:$DL$53,MATCH(AI79,$DP$6:$DP$53,0))</f>
        <v>1</v>
      </c>
      <c r="AV79" s="172" t="str">
        <f ca="1">INDEX($BD$6:$BD$53,MATCH(AI79,$BM$6:$BM$53,0))</f>
        <v>Austria</v>
      </c>
      <c r="AW79" s="200"/>
      <c r="AX79" s="161"/>
      <c r="AY79" s="193" t="str">
        <f ca="1">+A78</f>
        <v>Argelia</v>
      </c>
      <c r="AZ79" s="194"/>
      <c r="BA79" s="166"/>
      <c r="DN79" s="16"/>
    </row>
    <row r="80" spans="1:121" ht="16" customHeight="1">
      <c r="A80" s="16" t="str">
        <f ca="1">+Equipos!B41</f>
        <v>Jordania</v>
      </c>
      <c r="B80" s="16"/>
      <c r="C80" s="16"/>
      <c r="D80" s="16" t="str">
        <f t="shared" si="235"/>
        <v>Visitante</v>
      </c>
      <c r="E80" s="16" t="str">
        <f t="shared" ca="1" si="236"/>
        <v>-</v>
      </c>
      <c r="F80" s="16" t="str">
        <f t="shared" ca="1" si="237"/>
        <v>P.1 (2)</v>
      </c>
      <c r="G80" s="16"/>
      <c r="H80" s="16" t="str">
        <f t="shared" ca="1" si="238"/>
        <v>-</v>
      </c>
      <c r="I80" s="16" t="str">
        <f t="shared" ca="1" si="239"/>
        <v>P.1 (2)</v>
      </c>
      <c r="J80" s="16"/>
      <c r="K80" s="16" t="str">
        <f t="shared" ca="1" si="240"/>
        <v>-</v>
      </c>
      <c r="L80" s="16" t="str">
        <f t="shared" ca="1" si="241"/>
        <v>P.1 (2)</v>
      </c>
      <c r="M80" s="16"/>
      <c r="N80" s="16" t="str">
        <f t="shared" ca="1" si="242"/>
        <v>-</v>
      </c>
      <c r="O80" s="16" t="str">
        <f t="shared" ca="1" si="243"/>
        <v>P.1 (2)</v>
      </c>
      <c r="P80" s="16"/>
      <c r="Q80" s="16" t="str">
        <f t="shared" ca="1" si="244"/>
        <v>-</v>
      </c>
      <c r="R80" s="16" t="str">
        <f t="shared" ca="1" si="245"/>
        <v>P.1 (2)</v>
      </c>
      <c r="S80" s="16"/>
      <c r="T80" s="16" t="str">
        <f t="shared" ca="1" si="246"/>
        <v>-</v>
      </c>
      <c r="U80" s="16" t="str">
        <f t="shared" ca="1" si="247"/>
        <v>P.1 (2)</v>
      </c>
      <c r="V80" s="17"/>
      <c r="W80" s="637"/>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71" t="e" cm="1" vm="40">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3</v>
      </c>
      <c r="AS80" s="39">
        <f t="shared" ca="1" si="251"/>
        <v>5</v>
      </c>
      <c r="AT80" s="43">
        <f t="shared" ca="1" si="251"/>
        <v>-2</v>
      </c>
      <c r="AU80" s="313">
        <f ca="1">INDEX($DL$6:$DL$53,MATCH(AI80,$DP$6:$DP$53,0))</f>
        <v>1</v>
      </c>
      <c r="AV80" s="172" t="str">
        <f ca="1">INDEX($BD$6:$BD$53,MATCH(AI80,$BM$6:$BM$53,0))</f>
        <v>Argelia</v>
      </c>
      <c r="AW80" s="200"/>
      <c r="AX80" s="161"/>
      <c r="AY80" s="191" t="str">
        <f ca="1">+A79</f>
        <v>Austria</v>
      </c>
      <c r="AZ80" s="192"/>
      <c r="BA80" s="166"/>
      <c r="DN80" s="16"/>
    </row>
    <row r="81" spans="1:118" ht="16" customHeight="1" thickBot="1">
      <c r="A81" s="16"/>
      <c r="B81" s="16"/>
      <c r="C81" s="16"/>
      <c r="D81" s="16" t="str">
        <f t="shared" si="235"/>
        <v>Visitante</v>
      </c>
      <c r="E81" s="16" t="str">
        <f t="shared" ca="1" si="236"/>
        <v>-</v>
      </c>
      <c r="F81" s="16" t="str">
        <f t="shared" ca="1" si="237"/>
        <v>P.1 (2)</v>
      </c>
      <c r="G81" s="16"/>
      <c r="H81" s="16" t="str">
        <f t="shared" ca="1" si="238"/>
        <v>-</v>
      </c>
      <c r="I81" s="16" t="str">
        <f t="shared" ca="1" si="239"/>
        <v>P.1 (2)</v>
      </c>
      <c r="J81" s="16"/>
      <c r="K81" s="16" t="str">
        <f t="shared" ca="1" si="240"/>
        <v>-</v>
      </c>
      <c r="L81" s="16" t="str">
        <f t="shared" ca="1" si="241"/>
        <v>P.1 (2)</v>
      </c>
      <c r="M81" s="16"/>
      <c r="N81" s="16" t="str">
        <f t="shared" ca="1" si="242"/>
        <v>-</v>
      </c>
      <c r="O81" s="16" t="str">
        <f t="shared" ca="1" si="243"/>
        <v>P.1 (2)</v>
      </c>
      <c r="P81" s="16"/>
      <c r="Q81" s="16" t="str">
        <f t="shared" ca="1" si="244"/>
        <v>-</v>
      </c>
      <c r="R81" s="16" t="str">
        <f t="shared" ca="1" si="245"/>
        <v>P.1 (2)</v>
      </c>
      <c r="S81" s="16"/>
      <c r="T81" s="16" t="str">
        <f t="shared" ca="1" si="246"/>
        <v>-</v>
      </c>
      <c r="U81" s="16" t="str">
        <f t="shared" ca="1" si="247"/>
        <v>P.1 (2)</v>
      </c>
      <c r="V81" s="17"/>
      <c r="W81" s="638"/>
      <c r="X81" s="28">
        <f ca="1">Horarios!C81</f>
        <v>46201.166666666664</v>
      </c>
      <c r="Y81" s="29">
        <f ca="1">Horarios!C81</f>
        <v>46201.166666666664</v>
      </c>
      <c r="Z81" s="30" t="str">
        <f>$Z$8</f>
        <v>J3</v>
      </c>
      <c r="AA81" s="31" t="str">
        <f ca="1">A80</f>
        <v>Jordania</v>
      </c>
      <c r="AB81" s="52" t="e" cm="1" vm="41">
        <f t="array" aca="1" ref="AB81" ca="1">Ver_flag_local</f>
        <v>#VALUE!</v>
      </c>
      <c r="AC81" s="50">
        <v>1</v>
      </c>
      <c r="AD81" s="51">
        <v>2</v>
      </c>
      <c r="AE81" s="572" t="e" cm="1" vm="38">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2</v>
      </c>
      <c r="AS81" s="47">
        <f t="shared" ca="1" si="251"/>
        <v>5</v>
      </c>
      <c r="AT81" s="48">
        <f t="shared" ca="1" si="251"/>
        <v>-3</v>
      </c>
      <c r="AU81" s="313">
        <f ca="1">INDEX($DL$6:$DL$53,MATCH(AI81,$DP$6:$DP$53,0))</f>
        <v>1</v>
      </c>
      <c r="AV81" s="172" t="str">
        <f ca="1">INDEX($BD$6:$BD$53,MATCH(AI81,$BM$6:$BM$53,0))</f>
        <v>Jordania</v>
      </c>
      <c r="AW81" s="200"/>
      <c r="AX81" s="161"/>
      <c r="AY81" s="195" t="str">
        <f ca="1">+A80</f>
        <v>Jordania</v>
      </c>
      <c r="AZ81" s="196"/>
      <c r="BA81" s="16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43"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43"/>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3</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43"/>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71" t="e" cm="1" vm="44">
        <f t="array" aca="1" ref="AE86" ca="1">Ver_flag_visit</f>
        <v>#VALUE!</v>
      </c>
      <c r="AF86" s="32" t="str">
        <f ca="1">A87</f>
        <v>Uzbekistán</v>
      </c>
      <c r="AG86" s="306">
        <f t="shared" si="266"/>
        <v>1</v>
      </c>
      <c r="AH86" s="185">
        <v>47</v>
      </c>
      <c r="AI86" s="171" t="str">
        <f>AJ86&amp;$B$84</f>
        <v>1K</v>
      </c>
      <c r="AJ86" s="40">
        <v>1</v>
      </c>
      <c r="AK86" s="577"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6</v>
      </c>
      <c r="AS86" s="36">
        <f t="shared" ca="1" si="269"/>
        <v>0</v>
      </c>
      <c r="AT86" s="41">
        <f t="shared" ca="1" si="269"/>
        <v>6</v>
      </c>
      <c r="AU86" s="313">
        <f ca="1">INDEX($DL$6:$DL$53,MATCH(AI86,$DP$6:$DP$53,0))</f>
        <v>1</v>
      </c>
      <c r="AV86" s="172" t="str">
        <f ca="1">INDEX($BD$6:$BD$53,MATCH(AI86,$BM$6:$BM$53,0))</f>
        <v>Portugal</v>
      </c>
      <c r="AW86" s="200"/>
      <c r="AX86" s="161"/>
      <c r="AY86" s="191" t="str">
        <f ca="1">+A85</f>
        <v>Portugal</v>
      </c>
      <c r="AZ86" s="192"/>
      <c r="BA86" s="166"/>
      <c r="DN86" s="16"/>
    </row>
    <row r="87" spans="1:118" ht="16"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43"/>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13">
        <f ca="1">INDEX($DL$6:$DL$53,MATCH(AI87,$DP$6:$DP$53,0))</f>
        <v>1</v>
      </c>
      <c r="AV87" s="172" t="str">
        <f ca="1">INDEX($BD$6:$BD$53,MATCH(AI87,$BM$6:$BM$53,0))</f>
        <v>Colombia</v>
      </c>
      <c r="AW87" s="200"/>
      <c r="AX87" s="161"/>
      <c r="AY87" s="193" t="str">
        <f ca="1">+A86</f>
        <v>RD Congo</v>
      </c>
      <c r="AZ87" s="194"/>
      <c r="BA87" s="16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3"/>
      <c r="X88" s="24">
        <f ca="1">Horarios!C88</f>
        <v>46201.0625</v>
      </c>
      <c r="Y88" s="25">
        <f ca="1">Horarios!C88</f>
        <v>46201.0625</v>
      </c>
      <c r="Z88" s="26" t="str">
        <f>$Z$8</f>
        <v>J3</v>
      </c>
      <c r="AA88" s="27" t="str">
        <f ca="1">A88</f>
        <v>Colombia</v>
      </c>
      <c r="AB88" s="49" t="e" cm="1" vm="45">
        <f t="array" aca="1" ref="AB88" ca="1">Ver_flag_local</f>
        <v>#VALUE!</v>
      </c>
      <c r="AC88" s="50">
        <v>0</v>
      </c>
      <c r="AD88" s="51">
        <v>1</v>
      </c>
      <c r="AE88" s="571" t="e" cm="1" vm="42">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2</v>
      </c>
      <c r="AS88" s="39">
        <f t="shared" ca="1" si="269"/>
        <v>5</v>
      </c>
      <c r="AT88" s="43">
        <f t="shared" ca="1" si="269"/>
        <v>-3</v>
      </c>
      <c r="AU88" s="313">
        <f ca="1">INDEX($DL$6:$DL$53,MATCH(AI88,$DP$6:$DP$53,0))</f>
        <v>1</v>
      </c>
      <c r="AV88" s="172" t="str">
        <f ca="1">INDEX($BD$6:$BD$53,MATCH(AI88,$BM$6:$BM$53,0))</f>
        <v>RD Congo</v>
      </c>
      <c r="AW88" s="200"/>
      <c r="AX88" s="161"/>
      <c r="AY88" s="191" t="str">
        <f ca="1">+A87</f>
        <v>Uzbekistán</v>
      </c>
      <c r="AZ88" s="192"/>
      <c r="BA88" s="166"/>
    </row>
    <row r="89" spans="1:118" ht="16"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44"/>
      <c r="X89" s="28">
        <f ca="1">Horarios!C89</f>
        <v>46201.0625</v>
      </c>
      <c r="Y89" s="29">
        <f ca="1">Horarios!C89</f>
        <v>46201.0625</v>
      </c>
      <c r="Z89" s="30" t="str">
        <f>$Z$8</f>
        <v>J3</v>
      </c>
      <c r="AA89" s="31" t="str">
        <f ca="1">A86</f>
        <v>RD Congo</v>
      </c>
      <c r="AB89" s="52" t="e" cm="1" vm="43">
        <f t="array" aca="1" ref="AB89" ca="1">Ver_flag_local</f>
        <v>#VALUE!</v>
      </c>
      <c r="AC89" s="50">
        <v>1</v>
      </c>
      <c r="AD89" s="51">
        <v>1</v>
      </c>
      <c r="AE89" s="572" t="e" cm="1" vm="44">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7</v>
      </c>
      <c r="AT89" s="48">
        <f t="shared" ca="1" si="269"/>
        <v>-6</v>
      </c>
      <c r="AU89" s="313">
        <f ca="1">INDEX($DL$6:$DL$53,MATCH(AI89,$DP$6:$DP$53,0))</f>
        <v>1</v>
      </c>
      <c r="AV89" s="172" t="str">
        <f ca="1">INDEX($BD$6:$BD$53,MATCH(AI89,$BM$6:$BM$53,0))</f>
        <v>Uzbekistán</v>
      </c>
      <c r="AW89" s="200"/>
      <c r="AX89" s="161"/>
      <c r="AY89" s="195" t="str">
        <f ca="1">+A88</f>
        <v>Colombia</v>
      </c>
      <c r="AZ89" s="196"/>
      <c r="BA89" s="16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39" t="s">
        <v>247</v>
      </c>
      <c r="X92" s="24">
        <f ca="1">Horarios!C92</f>
        <v>46190.916666666664</v>
      </c>
      <c r="Y92" s="25">
        <f ca="1">Horarios!C92</f>
        <v>46190.916666666664</v>
      </c>
      <c r="Z92" s="26" t="str">
        <f>$Z$4</f>
        <v>J1</v>
      </c>
      <c r="AA92" s="27" t="str">
        <f ca="1">A93</f>
        <v>Inglaterra</v>
      </c>
      <c r="AB92" s="49" t="e" cm="1" vm="46">
        <f t="array" aca="1" ref="AB92" ca="1">Ver_flag_local</f>
        <v>#VALUE!</v>
      </c>
      <c r="AC92" s="50">
        <v>3</v>
      </c>
      <c r="AD92" s="51">
        <v>2</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39"/>
      <c r="X93" s="24">
        <f ca="1">Horarios!C93</f>
        <v>46191.041666666664</v>
      </c>
      <c r="Y93" s="25">
        <f ca="1">Horarios!C93</f>
        <v>46191.041666666664</v>
      </c>
      <c r="Z93" s="26" t="str">
        <f>$Z$4</f>
        <v>J1</v>
      </c>
      <c r="AA93" s="27" t="str">
        <f ca="1">A95</f>
        <v>Ghana</v>
      </c>
      <c r="AB93" s="49" t="e" cm="1" vm="48">
        <f t="array" aca="1" ref="AB93" ca="1">Ver_flag_local</f>
        <v>#VALUE!</v>
      </c>
      <c r="AC93" s="50">
        <v>1</v>
      </c>
      <c r="AD93" s="51">
        <v>0</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39"/>
      <c r="X94" s="24">
        <f ca="1">Horarios!C94</f>
        <v>46196.916666666664</v>
      </c>
      <c r="Y94" s="25">
        <f ca="1">Horarios!C94</f>
        <v>46196.916666666664</v>
      </c>
      <c r="Z94" s="26" t="str">
        <f>$Z$6</f>
        <v>J2</v>
      </c>
      <c r="AA94" s="27" t="str">
        <f ca="1">A93</f>
        <v>Inglaterra</v>
      </c>
      <c r="AB94" s="49" t="e" cm="1" vm="46">
        <f t="array" aca="1" ref="AB94" ca="1">Ver_flag_local</f>
        <v>#VALUE!</v>
      </c>
      <c r="AC94" s="50">
        <v>2</v>
      </c>
      <c r="AD94" s="51">
        <v>1</v>
      </c>
      <c r="AE94" s="571" t="e" cm="1" vm="48">
        <f t="array" aca="1" ref="AE94" ca="1">Ver_flag_visit</f>
        <v>#VALUE!</v>
      </c>
      <c r="AF94" s="32" t="str">
        <f ca="1">A95</f>
        <v>Ghana</v>
      </c>
      <c r="AG94" s="306">
        <f t="shared" si="284"/>
        <v>1</v>
      </c>
      <c r="AH94" s="185">
        <v>45</v>
      </c>
      <c r="AI94" s="171" t="str">
        <f>AJ94&amp;$B$92</f>
        <v>1L</v>
      </c>
      <c r="AJ94" s="40">
        <v>1</v>
      </c>
      <c r="AK94" s="577"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4</v>
      </c>
      <c r="AT94" s="41">
        <f t="shared" ca="1" si="287"/>
        <v>3</v>
      </c>
      <c r="AU94" s="313">
        <f ca="1">INDEX($DL$6:$DL$53,MATCH(AI94,$DP$6:$DP$53,0))</f>
        <v>1</v>
      </c>
      <c r="AV94" s="172" t="str">
        <f ca="1">INDEX($BD$6:$BD$53,MATCH(AI94,$BM$6:$BM$53,0))</f>
        <v>Inglaterra</v>
      </c>
      <c r="AW94" s="200"/>
      <c r="AX94" s="161"/>
      <c r="AY94" s="191" t="str">
        <f ca="1">+A93</f>
        <v>Inglaterra</v>
      </c>
      <c r="AZ94" s="192"/>
      <c r="BA94" s="166"/>
    </row>
    <row r="95" spans="1:118" ht="16"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39"/>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71" t="e" cm="1" vm="47">
        <f t="array" aca="1" ref="AE95" ca="1">Ver_flag_visit</f>
        <v>#VALUE!</v>
      </c>
      <c r="AF95" s="32" t="str">
        <f ca="1">A94</f>
        <v>Croacia</v>
      </c>
      <c r="AG95" s="306">
        <f t="shared" si="284"/>
        <v>1</v>
      </c>
      <c r="AH95" s="185">
        <v>46</v>
      </c>
      <c r="AI95" s="171" t="str">
        <f t="shared" ref="AI95:AI97" si="288">AJ95&amp;$B$92</f>
        <v>2L</v>
      </c>
      <c r="AJ95" s="42">
        <v>2</v>
      </c>
      <c r="AK95" s="578" t="e" cm="1" vm="47">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5</v>
      </c>
      <c r="AS95" s="39">
        <f t="shared" ca="1" si="287"/>
        <v>5</v>
      </c>
      <c r="AT95" s="43">
        <f t="shared" ca="1" si="287"/>
        <v>0</v>
      </c>
      <c r="AU95" s="313">
        <f ca="1">INDEX($DL$6:$DL$53,MATCH(AI95,$DP$6:$DP$53,0))</f>
        <v>1</v>
      </c>
      <c r="AV95" s="172" t="str">
        <f ca="1">INDEX($BD$6:$BD$53,MATCH(AI95,$BM$6:$BM$53,0))</f>
        <v>Croacia</v>
      </c>
      <c r="AW95" s="200"/>
      <c r="AX95" s="161"/>
      <c r="AY95" s="193" t="str">
        <f ca="1">+A94</f>
        <v>Croacia</v>
      </c>
      <c r="AZ95" s="194"/>
      <c r="BA95" s="16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39"/>
      <c r="X96" s="24">
        <f ca="1">Horarios!C96</f>
        <v>46200.958333333336</v>
      </c>
      <c r="Y96" s="25">
        <f ca="1">Horarios!C96</f>
        <v>46200.958333333336</v>
      </c>
      <c r="Z96" s="26" t="str">
        <f>$Z$8</f>
        <v>J3</v>
      </c>
      <c r="AA96" s="27" t="str">
        <f ca="1">A96</f>
        <v>Panamá</v>
      </c>
      <c r="AB96" s="49" t="e" cm="1" vm="49">
        <f t="array" aca="1" ref="AB96" ca="1">Ver_flag_local</f>
        <v>#VALUE!</v>
      </c>
      <c r="AC96" s="50">
        <v>1</v>
      </c>
      <c r="AD96" s="51">
        <v>2</v>
      </c>
      <c r="AE96" s="571" t="e" cm="1" vm="46">
        <f t="array" aca="1" ref="AE96" ca="1">Ver_flag_visit</f>
        <v>#VALUE!</v>
      </c>
      <c r="AF96" s="32" t="str">
        <f ca="1">A93</f>
        <v>Inglaterra</v>
      </c>
      <c r="AG96" s="306">
        <f t="shared" si="284"/>
        <v>1</v>
      </c>
      <c r="AH96" s="185">
        <v>67</v>
      </c>
      <c r="AI96" s="171" t="str">
        <f t="shared" si="288"/>
        <v>3L</v>
      </c>
      <c r="AJ96" s="42">
        <v>3</v>
      </c>
      <c r="AK96" s="578"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3</v>
      </c>
      <c r="AS96" s="39">
        <f t="shared" ca="1" si="287"/>
        <v>3</v>
      </c>
      <c r="AT96" s="43">
        <f t="shared" ca="1" si="287"/>
        <v>0</v>
      </c>
      <c r="AU96" s="313">
        <f ca="1">INDEX($DL$6:$DL$53,MATCH(AI96,$DP$6:$DP$53,0))</f>
        <v>1</v>
      </c>
      <c r="AV96" s="172" t="str">
        <f ca="1">INDEX($BD$6:$BD$53,MATCH(AI96,$BM$6:$BM$53,0))</f>
        <v>Ghana</v>
      </c>
      <c r="AW96" s="200"/>
      <c r="AX96" s="161"/>
      <c r="AY96" s="191" t="str">
        <f ca="1">+A95</f>
        <v>Ghana</v>
      </c>
      <c r="AZ96" s="192"/>
      <c r="BA96" s="166"/>
    </row>
    <row r="97" spans="1:62" ht="16"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40"/>
      <c r="X97" s="28">
        <f ca="1">Horarios!C97</f>
        <v>46200.958333333336</v>
      </c>
      <c r="Y97" s="29">
        <f ca="1">Horarios!C97</f>
        <v>46200.958333333336</v>
      </c>
      <c r="Z97" s="30" t="str">
        <f>$Z$8</f>
        <v>J3</v>
      </c>
      <c r="AA97" s="31" t="str">
        <f ca="1">A94</f>
        <v>Croacia</v>
      </c>
      <c r="AB97" s="52" t="e" cm="1" vm="47">
        <f t="array" aca="1" ref="AB97" ca="1">Ver_flag_local</f>
        <v>#VALUE!</v>
      </c>
      <c r="AC97" s="50">
        <v>1</v>
      </c>
      <c r="AD97" s="51">
        <v>1</v>
      </c>
      <c r="AE97" s="572" t="e" cm="1" vm="48">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5</v>
      </c>
      <c r="AT97" s="48">
        <f t="shared" ca="1" si="287"/>
        <v>-3</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45" t="s">
        <v>493</v>
      </c>
      <c r="X101" s="24">
        <f ca="1">Horarios!C101</f>
        <v>46201.875</v>
      </c>
      <c r="Y101" s="25">
        <f ca="1">Horarios!C101</f>
        <v>46201.875</v>
      </c>
      <c r="Z101" s="264">
        <f>AH101</f>
        <v>73</v>
      </c>
      <c r="AA101" s="86" t="str">
        <f t="shared" ref="AA101:AA116" ca="1" si="292">+INDEX($M$101:$M$147,MATCH(AH101,$J$101:$J$147,0))</f>
        <v>República Checa</v>
      </c>
      <c r="AB101" s="87"/>
      <c r="AC101" s="50">
        <v>1</v>
      </c>
      <c r="AD101" s="51">
        <v>2</v>
      </c>
      <c r="AE101" s="88"/>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3</v>
      </c>
      <c r="AV101" s="178"/>
      <c r="AW101" s="204"/>
      <c r="AX101" s="204"/>
      <c r="AY101" s="318" t="str">
        <f ca="1">+IF(OR($H$113&gt;=48,$AJ$99=144),Idiomas!D68,"")</f>
        <v xml:space="preserve">Grupos mejores 3ºs: </v>
      </c>
      <c r="AZ101" s="319" t="str">
        <f ca="1">+IF(OR($H$113&gt;=48,$AJ$99=144),BI112,"")</f>
        <v>ABCDEHJL</v>
      </c>
      <c r="BA101" s="166"/>
    </row>
    <row r="102" spans="1:62" ht="16"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45"/>
      <c r="X102" s="24">
        <f ca="1">Horarios!C102</f>
        <v>46202.791666666664</v>
      </c>
      <c r="Y102" s="25">
        <f ca="1">Horarios!C102</f>
        <v>46202.791666666664</v>
      </c>
      <c r="Z102" s="264">
        <f t="shared" ref="Z102:Z116" si="296">AH102</f>
        <v>76</v>
      </c>
      <c r="AA102" s="86" t="str">
        <f t="shared" ca="1" si="292"/>
        <v>Brasil</v>
      </c>
      <c r="AB102" s="87"/>
      <c r="AC102" s="50">
        <v>1</v>
      </c>
      <c r="AD102" s="51">
        <v>0</v>
      </c>
      <c r="AE102" s="87"/>
      <c r="AF102" s="89" t="str">
        <f t="shared" ca="1" si="293"/>
        <v>Países Bajos</v>
      </c>
      <c r="AG102" s="310">
        <f t="shared" ca="1" si="294"/>
        <v>1</v>
      </c>
      <c r="AH102" s="185">
        <v>76</v>
      </c>
      <c r="AI102" s="172">
        <v>1</v>
      </c>
      <c r="AJ102" s="78">
        <v>1</v>
      </c>
      <c r="AK102" s="581" t="e" cm="1" vm="13">
        <f t="array" aca="1" ref="AK102" ca="1">Ver_flag_visit</f>
        <v>#VALUE!</v>
      </c>
      <c r="AL102" s="79" t="str">
        <f t="shared" ref="AL102:AL113" ca="1" si="297">+IF($H$113&gt;=48,INDEX($BD$58:$BD$69,MATCH(AI102,$BN$58:$BN$69,0)),BB58)</f>
        <v>Estados Unidos</v>
      </c>
      <c r="AM102" s="564">
        <f ca="1">+IF($H$113&gt;=48,INDEX($BE$58:$BN$69,MATCH($AL102,$BD$58:$BD$69,0),MATCH(AM$5,$BE$57:$BN$57,0)),$BB58)</f>
        <v>5</v>
      </c>
      <c r="AN102" s="80">
        <f ca="1">+IF($H$113&gt;=48,INDEX($BE$58:$BN$69,MATCH($AL102,$BD$58:$BD$69,0),MATCH(AN$5,$BE$57:$BN$57,0)),$BB58)</f>
        <v>3</v>
      </c>
      <c r="AO102" s="80">
        <f t="shared" ref="AO102:AT102" ca="1" si="298">+IF($H$113&gt;=48,INDEX($BE$58:$BN$69,MATCH($AL102,$BD$58:$BD$69,0),MATCH(AO$5,$BE$57:$BN$57,0)),$BB58)</f>
        <v>1</v>
      </c>
      <c r="AP102" s="80">
        <f t="shared" ca="1" si="298"/>
        <v>2</v>
      </c>
      <c r="AQ102" s="81">
        <f t="shared" ca="1" si="298"/>
        <v>0</v>
      </c>
      <c r="AR102" s="81">
        <f t="shared" ca="1" si="298"/>
        <v>3</v>
      </c>
      <c r="AS102" s="81">
        <f t="shared" ca="1" si="298"/>
        <v>2</v>
      </c>
      <c r="AT102" s="82">
        <f t="shared" ca="1" si="298"/>
        <v>1</v>
      </c>
      <c r="AU102" s="313">
        <f t="shared" ref="AU102:AU113" ca="1" si="299">IF($H$113=144,INDEX($DL$58:$DL$69,MATCH(AI102,$DP$58:$DP$69,0)),"")</f>
        <v>1</v>
      </c>
      <c r="AV102" s="172" t="str">
        <f t="shared" ref="AV102:AV113" ca="1" si="300">INDEX($BD$58:$BD$69,MATCH(AI102,$BM$58:$BM$69,0))</f>
        <v>Estados Unidos</v>
      </c>
      <c r="AW102" s="205"/>
      <c r="AX102" s="160"/>
      <c r="AY102" s="144"/>
      <c r="AZ102" s="145"/>
      <c r="BA102" s="166"/>
      <c r="BE102" t="s">
        <v>454</v>
      </c>
      <c r="BF102" t="s">
        <v>731</v>
      </c>
      <c r="BG102" t="s">
        <v>776</v>
      </c>
      <c r="BI102" t="s">
        <v>86</v>
      </c>
    </row>
    <row r="103" spans="1:62" ht="16"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Japón</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45"/>
      <c r="X103" s="24">
        <f ca="1">Horarios!C103</f>
        <v>46202.9375</v>
      </c>
      <c r="Y103" s="25">
        <f ca="1">Horarios!C103</f>
        <v>46202.9375</v>
      </c>
      <c r="Z103" s="264">
        <f t="shared" si="296"/>
        <v>74</v>
      </c>
      <c r="AA103" s="86" t="str">
        <f t="shared" ca="1" si="292"/>
        <v>Alemania</v>
      </c>
      <c r="AB103" s="87"/>
      <c r="AC103" s="50">
        <v>3</v>
      </c>
      <c r="AD103" s="51">
        <v>1</v>
      </c>
      <c r="AE103" s="87"/>
      <c r="AF103" s="89" t="str">
        <f t="shared" ca="1" si="293"/>
        <v>Escocia</v>
      </c>
      <c r="AG103" s="310">
        <f t="shared" ca="1" si="294"/>
        <v>1</v>
      </c>
      <c r="AH103" s="185">
        <v>74</v>
      </c>
      <c r="AI103" s="172">
        <v>2</v>
      </c>
      <c r="AJ103" s="42">
        <v>2</v>
      </c>
      <c r="AK103" s="578" t="e" cm="1" vm="6">
        <f t="array" aca="1" ref="AK103" ca="1">Ver_flag_visit</f>
        <v>#VALUE!</v>
      </c>
      <c r="AL103" s="83" t="str">
        <f t="shared" ca="1" si="297"/>
        <v>Bosnia y Herzegovina</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3</v>
      </c>
      <c r="AT103" s="85">
        <f t="shared" ca="1" si="302"/>
        <v>1</v>
      </c>
      <c r="AU103" s="313">
        <f t="shared" ca="1" si="299"/>
        <v>1</v>
      </c>
      <c r="AV103" s="172" t="str">
        <f t="shared" ca="1" si="300"/>
        <v>Bosnia y Herzegovina</v>
      </c>
      <c r="AW103" s="205"/>
      <c r="AX103" s="160"/>
      <c r="AY103" s="261"/>
      <c r="AZ103" s="263" t="str">
        <f t="shared" ref="AZ103:AZ110" ca="1" si="303">+IF(OR($H$113&gt;=48,$AJ$99=144),BF117&amp;" - "&amp;BG117,"")</f>
        <v>1A - 3H</v>
      </c>
      <c r="BA103" s="166"/>
      <c r="BF103" t="str">
        <f t="shared" ref="BF103:BF110" ca="1" si="304">IFERROR(INDEX($BC$6:$BC$53,MATCH(AL102,$BD$6:$BD$53,0)),"")</f>
        <v>D</v>
      </c>
      <c r="BG103">
        <f t="shared" ref="BG103:BG110" ca="1" si="305">COUNTIF($BF$103:$BF$110,"&lt;="&amp;BF103)</f>
        <v>4</v>
      </c>
      <c r="BI103">
        <v>1</v>
      </c>
      <c r="BJ103" t="str">
        <f t="shared" ref="BJ103:BJ110" ca="1" si="306">IFERROR(INDEX($BF$103:$BF$110,MATCH(BI103,$BG$103:$BG$110,0)),"Grupo")</f>
        <v>A</v>
      </c>
    </row>
    <row r="104" spans="1:62" ht="16"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Países Bajos</v>
      </c>
      <c r="O104" s="16"/>
      <c r="P104" s="16"/>
      <c r="Q104" s="16"/>
      <c r="R104" s="16"/>
      <c r="S104" s="16"/>
      <c r="T104" s="16"/>
      <c r="U104" s="16"/>
      <c r="V104" s="17"/>
      <c r="W104" s="645"/>
      <c r="X104" s="24">
        <f ca="1">Horarios!C104</f>
        <v>46203.125</v>
      </c>
      <c r="Y104" s="25">
        <f ca="1">Horarios!C104</f>
        <v>46203.125</v>
      </c>
      <c r="Z104" s="264">
        <f t="shared" si="296"/>
        <v>75</v>
      </c>
      <c r="AA104" s="86" t="str">
        <f t="shared" ca="1" si="292"/>
        <v>Japón</v>
      </c>
      <c r="AB104" s="87"/>
      <c r="AC104" s="50">
        <v>1</v>
      </c>
      <c r="AD104" s="51">
        <v>2</v>
      </c>
      <c r="AE104" s="87"/>
      <c r="AF104" s="89" t="str">
        <f t="shared" ca="1" si="293"/>
        <v>Marruecos</v>
      </c>
      <c r="AG104" s="310">
        <f t="shared" ca="1" si="294"/>
        <v>1</v>
      </c>
      <c r="AH104" s="185">
        <v>75</v>
      </c>
      <c r="AI104" s="172">
        <v>3</v>
      </c>
      <c r="AJ104" s="42">
        <v>3</v>
      </c>
      <c r="AK104" s="578" t="e" cm="1" vm="48">
        <f t="array" aca="1" ref="AK104" ca="1">Ver_flag_visit</f>
        <v>#VALUE!</v>
      </c>
      <c r="AL104" s="83" t="str">
        <f t="shared" ca="1" si="297"/>
        <v>Ghana</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3</v>
      </c>
      <c r="AT104" s="85">
        <f t="shared" ca="1" si="307"/>
        <v>0</v>
      </c>
      <c r="AU104" s="313">
        <f t="shared" ca="1" si="299"/>
        <v>1</v>
      </c>
      <c r="AV104" s="172" t="str">
        <f t="shared" ca="1" si="300"/>
        <v>Ghana</v>
      </c>
      <c r="AW104" s="205"/>
      <c r="AX104" s="160"/>
      <c r="AY104" s="261"/>
      <c r="AZ104" s="263" t="str">
        <f t="shared" ca="1" si="303"/>
        <v>1B - 3J</v>
      </c>
      <c r="BA104" s="166"/>
      <c r="BF104" t="str">
        <f t="shared" ca="1" si="304"/>
        <v>B</v>
      </c>
      <c r="BG104">
        <f t="shared" ca="1" si="305"/>
        <v>2</v>
      </c>
      <c r="BI104">
        <v>2</v>
      </c>
      <c r="BJ104" t="str">
        <f t="shared" ca="1" si="306"/>
        <v>B</v>
      </c>
    </row>
    <row r="105" spans="1:62" ht="16"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Estados Unidos</v>
      </c>
      <c r="O105" s="16"/>
      <c r="P105" s="16"/>
      <c r="Q105" s="16"/>
      <c r="R105" s="16"/>
      <c r="S105" s="16"/>
      <c r="T105" s="16"/>
      <c r="U105" s="16"/>
      <c r="V105" s="17"/>
      <c r="W105" s="645"/>
      <c r="X105" s="24">
        <f ca="1">Horarios!C105</f>
        <v>46203.791666666664</v>
      </c>
      <c r="Y105" s="25">
        <f ca="1">Horarios!C105</f>
        <v>46203.791666666664</v>
      </c>
      <c r="Z105" s="264">
        <f t="shared" si="296"/>
        <v>78</v>
      </c>
      <c r="AA105" s="86" t="str">
        <f t="shared" ca="1" si="292"/>
        <v>Ecuador</v>
      </c>
      <c r="AB105" s="87">
        <v>4</v>
      </c>
      <c r="AC105" s="50">
        <v>1</v>
      </c>
      <c r="AD105" s="51">
        <v>1</v>
      </c>
      <c r="AE105" s="87">
        <v>3</v>
      </c>
      <c r="AF105" s="89" t="str">
        <f t="shared" ca="1" si="293"/>
        <v>Senegal</v>
      </c>
      <c r="AG105" s="310">
        <f t="shared" ca="1" si="294"/>
        <v>1</v>
      </c>
      <c r="AH105" s="185">
        <v>78</v>
      </c>
      <c r="AI105" s="172">
        <v>4</v>
      </c>
      <c r="AJ105" s="42">
        <v>4</v>
      </c>
      <c r="AK105" s="578" t="e" cm="1" vm="12">
        <f t="array" aca="1" ref="AK105" ca="1">Ver_flag_visit</f>
        <v>#VALUE!</v>
      </c>
      <c r="AL105" s="83" t="str">
        <f t="shared" ca="1" si="297"/>
        <v>Escocia</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4</v>
      </c>
      <c r="AS105" s="84">
        <f t="shared" ca="1" si="308"/>
        <v>4</v>
      </c>
      <c r="AT105" s="85">
        <f t="shared" ca="1" si="308"/>
        <v>0</v>
      </c>
      <c r="AU105" s="313">
        <f t="shared" ca="1" si="299"/>
        <v>1</v>
      </c>
      <c r="AV105" s="172" t="str">
        <f t="shared" ca="1" si="300"/>
        <v>Escocia</v>
      </c>
      <c r="AW105" s="205"/>
      <c r="AX105" s="160"/>
      <c r="AY105" s="261"/>
      <c r="AZ105" s="263" t="str">
        <f t="shared" ca="1" si="303"/>
        <v>1D - 3B</v>
      </c>
      <c r="BA105" s="166"/>
      <c r="BF105" t="str">
        <f t="shared" ca="1" si="304"/>
        <v>L</v>
      </c>
      <c r="BG105">
        <f t="shared" ca="1" si="305"/>
        <v>8</v>
      </c>
      <c r="BI105">
        <v>3</v>
      </c>
      <c r="BJ105" t="str">
        <f t="shared" ca="1" si="306"/>
        <v>C</v>
      </c>
    </row>
    <row r="106" spans="1:62" ht="16"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45"/>
      <c r="X106" s="24">
        <f ca="1">Horarios!C106</f>
        <v>46203.958333333336</v>
      </c>
      <c r="Y106" s="25">
        <f ca="1">Horarios!C106</f>
        <v>46203.958333333336</v>
      </c>
      <c r="Z106" s="264">
        <f t="shared" si="296"/>
        <v>77</v>
      </c>
      <c r="AA106" s="86" t="str">
        <f t="shared" ca="1" si="292"/>
        <v>Francia</v>
      </c>
      <c r="AB106" s="87"/>
      <c r="AC106" s="50">
        <v>3</v>
      </c>
      <c r="AD106" s="51">
        <v>1</v>
      </c>
      <c r="AE106" s="87"/>
      <c r="AF106" s="89" t="str">
        <f t="shared" ca="1" si="293"/>
        <v>Estados Unidos</v>
      </c>
      <c r="AG106" s="310">
        <f t="shared" ca="1" si="294"/>
        <v>1</v>
      </c>
      <c r="AH106" s="185">
        <v>77</v>
      </c>
      <c r="AI106" s="172">
        <v>5</v>
      </c>
      <c r="AJ106" s="42">
        <v>5</v>
      </c>
      <c r="AK106" s="578" t="e" cm="1" vm="19">
        <f t="array" aca="1" ref="AK106" ca="1">Ver_flag_visit</f>
        <v>#VALUE!</v>
      </c>
      <c r="AL106" s="83" t="str">
        <f t="shared" ca="1" si="297"/>
        <v>Costa de Marfil</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4</v>
      </c>
      <c r="AS106" s="84">
        <f t="shared" ca="1" si="309"/>
        <v>5</v>
      </c>
      <c r="AT106" s="85">
        <f t="shared" ca="1" si="309"/>
        <v>-1</v>
      </c>
      <c r="AU106" s="313">
        <f t="shared" ca="1" si="299"/>
        <v>1</v>
      </c>
      <c r="AV106" s="172" t="str">
        <f t="shared" ca="1" si="300"/>
        <v>Costa de Marfil</v>
      </c>
      <c r="AW106" s="205"/>
      <c r="AX106" s="160"/>
      <c r="AY106" s="261"/>
      <c r="AZ106" s="263" t="str">
        <f t="shared" ca="1" si="303"/>
        <v>1E - 3C</v>
      </c>
      <c r="BA106" s="166"/>
      <c r="BF106" t="str">
        <f t="shared" ca="1" si="304"/>
        <v>C</v>
      </c>
      <c r="BG106">
        <f t="shared" ca="1" si="305"/>
        <v>3</v>
      </c>
      <c r="BI106">
        <v>4</v>
      </c>
      <c r="BJ106" t="str">
        <f t="shared" ca="1" si="306"/>
        <v>D</v>
      </c>
    </row>
    <row r="107" spans="1:62" ht="16"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Cabo Verde</v>
      </c>
      <c r="O107" s="16"/>
      <c r="P107" s="16"/>
      <c r="Q107" s="16"/>
      <c r="R107" s="16"/>
      <c r="S107" s="16"/>
      <c r="T107" s="16"/>
      <c r="U107" s="16"/>
      <c r="V107" s="17"/>
      <c r="W107" s="645"/>
      <c r="X107" s="24">
        <f ca="1">Horarios!C107</f>
        <v>46204.125</v>
      </c>
      <c r="Y107" s="25">
        <f ca="1">Horarios!C107</f>
        <v>46204.125</v>
      </c>
      <c r="Z107" s="264">
        <f t="shared" si="296"/>
        <v>79</v>
      </c>
      <c r="AA107" s="86" t="str">
        <f t="shared" ca="1" si="292"/>
        <v>México</v>
      </c>
      <c r="AB107" s="87"/>
      <c r="AC107" s="50">
        <v>2</v>
      </c>
      <c r="AD107" s="51">
        <v>1</v>
      </c>
      <c r="AE107" s="87"/>
      <c r="AF107" s="89" t="str">
        <f t="shared" ca="1" si="293"/>
        <v>Cabo Verde</v>
      </c>
      <c r="AG107" s="310">
        <f t="shared" ca="1" si="294"/>
        <v>1</v>
      </c>
      <c r="AH107" s="185">
        <v>79</v>
      </c>
      <c r="AI107" s="172">
        <v>6</v>
      </c>
      <c r="AJ107" s="42">
        <v>6</v>
      </c>
      <c r="AK107" s="578" t="e" cm="1" vm="39">
        <f t="array" aca="1" ref="AK107" ca="1">Ver_flag_visit</f>
        <v>#VALUE!</v>
      </c>
      <c r="AL107" s="83" t="str">
        <f t="shared" ca="1" si="297"/>
        <v>Argelia</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3</v>
      </c>
      <c r="AS107" s="84">
        <f t="shared" ca="1" si="310"/>
        <v>5</v>
      </c>
      <c r="AT107" s="85">
        <f t="shared" ca="1" si="310"/>
        <v>-2</v>
      </c>
      <c r="AU107" s="313">
        <f t="shared" ca="1" si="299"/>
        <v>3</v>
      </c>
      <c r="AV107" s="172" t="str">
        <f ca="1">INDEX($BD$58:$BD$69,MATCH(AI107,$BM$58:$BM$69,0))</f>
        <v>Argelia</v>
      </c>
      <c r="AW107" s="205">
        <v>6</v>
      </c>
      <c r="AX107" s="160"/>
      <c r="AY107" s="261"/>
      <c r="AZ107" s="263" t="str">
        <f t="shared" ca="1" si="303"/>
        <v>1G - 3A</v>
      </c>
      <c r="BA107" s="166"/>
      <c r="BF107" t="str">
        <f t="shared" ca="1" si="304"/>
        <v>E</v>
      </c>
      <c r="BG107">
        <f t="shared" ca="1" si="305"/>
        <v>5</v>
      </c>
      <c r="BI107">
        <v>5</v>
      </c>
      <c r="BJ107" t="str">
        <f t="shared" ca="1" si="306"/>
        <v>E</v>
      </c>
    </row>
    <row r="108" spans="1:62" ht="16"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45"/>
      <c r="X108" s="24">
        <f ca="1">Horarios!C108</f>
        <v>46204.75</v>
      </c>
      <c r="Y108" s="25">
        <f ca="1">Horarios!C108</f>
        <v>46204.75</v>
      </c>
      <c r="Z108" s="264">
        <f t="shared" si="296"/>
        <v>80</v>
      </c>
      <c r="AA108" s="86" t="str">
        <f t="shared" ca="1" si="292"/>
        <v>Inglaterra</v>
      </c>
      <c r="AB108" s="87"/>
      <c r="AC108" s="50">
        <v>1</v>
      </c>
      <c r="AD108" s="51">
        <v>0</v>
      </c>
      <c r="AE108" s="87"/>
      <c r="AF108" s="89" t="str">
        <f t="shared" ca="1" si="293"/>
        <v>Costa de Marfil</v>
      </c>
      <c r="AG108" s="310">
        <f t="shared" ca="1" si="294"/>
        <v>1</v>
      </c>
      <c r="AH108" s="185">
        <v>80</v>
      </c>
      <c r="AI108" s="172">
        <v>7</v>
      </c>
      <c r="AJ108" s="42">
        <v>7</v>
      </c>
      <c r="AK108" s="578" t="e" cm="1" vm="30">
        <f t="array" aca="1" ref="AK108" ca="1">Ver_flag_visit</f>
        <v>#VALUE!</v>
      </c>
      <c r="AL108" s="83" t="str">
        <f t="shared" ca="1" si="297"/>
        <v>Cabo Verde</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5</v>
      </c>
      <c r="AT108" s="85">
        <f t="shared" ca="1" si="311"/>
        <v>-2</v>
      </c>
      <c r="AU108" s="313">
        <f t="shared" ca="1" si="299"/>
        <v>3</v>
      </c>
      <c r="AV108" s="172" t="str">
        <f t="shared" ca="1" si="300"/>
        <v>Cabo Verde</v>
      </c>
      <c r="AW108" s="205">
        <v>7</v>
      </c>
      <c r="AX108" s="160"/>
      <c r="AY108" s="261"/>
      <c r="AZ108" s="263" t="str">
        <f t="shared" ca="1" si="303"/>
        <v>1I - 3D</v>
      </c>
      <c r="BA108" s="166"/>
      <c r="BF108" t="str">
        <f t="shared" ca="1" si="304"/>
        <v>J</v>
      </c>
      <c r="BG108">
        <f t="shared" ca="1" si="305"/>
        <v>7</v>
      </c>
      <c r="BI108">
        <v>6</v>
      </c>
      <c r="BJ108" t="str">
        <f t="shared" ca="1" si="306"/>
        <v>H</v>
      </c>
    </row>
    <row r="109" spans="1:62" ht="16"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45"/>
      <c r="X109" s="24">
        <f ca="1">Horarios!C109</f>
        <v>46204.916666666664</v>
      </c>
      <c r="Y109" s="25">
        <f ca="1">Horarios!C109</f>
        <v>46204.916666666664</v>
      </c>
      <c r="Z109" s="264">
        <f t="shared" si="296"/>
        <v>82</v>
      </c>
      <c r="AA109" s="86" t="str">
        <f t="shared" ca="1" si="292"/>
        <v>Bélgica</v>
      </c>
      <c r="AB109" s="87"/>
      <c r="AC109" s="50">
        <v>3</v>
      </c>
      <c r="AD109" s="51">
        <v>0</v>
      </c>
      <c r="AE109" s="87"/>
      <c r="AF109" s="89" t="str">
        <f t="shared" ca="1" si="293"/>
        <v>Sudáfrica</v>
      </c>
      <c r="AG109" s="310">
        <f t="shared" ca="1" si="294"/>
        <v>1</v>
      </c>
      <c r="AH109" s="185">
        <v>82</v>
      </c>
      <c r="AI109" s="172">
        <v>8</v>
      </c>
      <c r="AJ109" s="42">
        <v>8</v>
      </c>
      <c r="AK109" s="578" t="e" cm="1" vm="2">
        <f t="array" aca="1" ref="AK109" ca="1">Ver_flag_visit</f>
        <v>#VALUE!</v>
      </c>
      <c r="AL109" s="83" t="str">
        <f t="shared" ca="1" si="297"/>
        <v>Sudáfrica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3</v>
      </c>
      <c r="AS109" s="84">
        <f t="shared" ca="1" si="312"/>
        <v>5</v>
      </c>
      <c r="AT109" s="85">
        <f t="shared" ca="1" si="312"/>
        <v>-2</v>
      </c>
      <c r="AU109" s="313">
        <f t="shared" ca="1" si="299"/>
        <v>3</v>
      </c>
      <c r="AV109" s="172" t="str">
        <f t="shared" ca="1" si="300"/>
        <v>Sudáfrica</v>
      </c>
      <c r="AW109" s="205">
        <v>8</v>
      </c>
      <c r="AX109" s="160"/>
      <c r="AY109" s="261"/>
      <c r="AZ109" s="263" t="str">
        <f t="shared" ca="1" si="303"/>
        <v>1K - 3L</v>
      </c>
      <c r="BA109" s="166"/>
      <c r="BF109" t="str">
        <f t="shared" ca="1" si="304"/>
        <v>H</v>
      </c>
      <c r="BG109">
        <f t="shared" ca="1" si="305"/>
        <v>6</v>
      </c>
      <c r="BI109">
        <v>7</v>
      </c>
      <c r="BJ109" t="str">
        <f t="shared" ca="1" si="306"/>
        <v>J</v>
      </c>
    </row>
    <row r="110" spans="1:62" ht="16"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6"/>
      <c r="P110" s="16"/>
      <c r="Q110" s="16"/>
      <c r="R110" s="16"/>
      <c r="S110" s="16"/>
      <c r="T110" s="16"/>
      <c r="U110" s="16"/>
      <c r="V110" s="17"/>
      <c r="W110" s="645"/>
      <c r="X110" s="24">
        <f ca="1">Horarios!C110</f>
        <v>46205.083333333336</v>
      </c>
      <c r="Y110" s="25">
        <f ca="1">Horarios!C110</f>
        <v>46205.083333333336</v>
      </c>
      <c r="Z110" s="264">
        <f t="shared" si="296"/>
        <v>81</v>
      </c>
      <c r="AA110" s="86" t="str">
        <f t="shared" ca="1" si="292"/>
        <v>Turquía</v>
      </c>
      <c r="AB110" s="87"/>
      <c r="AC110" s="50">
        <v>2</v>
      </c>
      <c r="AD110" s="51">
        <v>0</v>
      </c>
      <c r="AE110" s="87"/>
      <c r="AF110" s="89" t="str">
        <f t="shared" ca="1" si="293"/>
        <v>Bosnia y Herzegovina</v>
      </c>
      <c r="AG110" s="310">
        <f t="shared" ca="1" si="294"/>
        <v>1</v>
      </c>
      <c r="AH110" s="185">
        <v>81</v>
      </c>
      <c r="AI110" s="172">
        <v>9</v>
      </c>
      <c r="AJ110" s="42">
        <v>9</v>
      </c>
      <c r="AK110" s="578" t="e" cm="1" vm="37">
        <f t="array" aca="1" ref="AK110" ca="1">Ver_flag_visit</f>
        <v>#VALUE!</v>
      </c>
      <c r="AL110" s="83" t="str">
        <f t="shared" ca="1" si="297"/>
        <v>Noruega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2</v>
      </c>
      <c r="AS110" s="84">
        <f t="shared" ca="1" si="313"/>
        <v>4</v>
      </c>
      <c r="AT110" s="85">
        <f t="shared" ca="1" si="313"/>
        <v>-2</v>
      </c>
      <c r="AU110" s="313">
        <f t="shared" ca="1" si="299"/>
        <v>1</v>
      </c>
      <c r="AV110" s="172" t="str">
        <f t="shared" ca="1" si="300"/>
        <v>Noruega</v>
      </c>
      <c r="AW110" s="205"/>
      <c r="AX110" s="160"/>
      <c r="AY110" s="261"/>
      <c r="AZ110" s="263" t="str">
        <f t="shared" ca="1" si="303"/>
        <v>1L - 3E</v>
      </c>
      <c r="BA110" s="166"/>
      <c r="BF110" t="str">
        <f t="shared" ca="1" si="304"/>
        <v>A</v>
      </c>
      <c r="BG110">
        <f t="shared" ca="1" si="305"/>
        <v>1</v>
      </c>
      <c r="BI110">
        <v>8</v>
      </c>
      <c r="BJ110" t="str">
        <f t="shared" ca="1" si="306"/>
        <v>L</v>
      </c>
    </row>
    <row r="111" spans="1:62" ht="16" customHeight="1">
      <c r="A111" s="16" t="s">
        <v>692</v>
      </c>
      <c r="B111" s="16" t="s">
        <v>695</v>
      </c>
      <c r="C111" s="16"/>
      <c r="D111" s="16" t="str">
        <f t="shared" ca="1" si="289"/>
        <v>Uruguay</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45"/>
      <c r="X111" s="24">
        <f ca="1">Horarios!C111</f>
        <v>46205.875</v>
      </c>
      <c r="Y111" s="25">
        <f ca="1">Horarios!C111</f>
        <v>46205.875</v>
      </c>
      <c r="Z111" s="264">
        <f t="shared" si="296"/>
        <v>84</v>
      </c>
      <c r="AA111" s="86" t="str">
        <f t="shared" ca="1" si="292"/>
        <v>Uruguay</v>
      </c>
      <c r="AB111" s="87"/>
      <c r="AC111" s="50">
        <v>2</v>
      </c>
      <c r="AD111" s="51">
        <v>1</v>
      </c>
      <c r="AE111" s="87"/>
      <c r="AF111" s="89" t="str">
        <f t="shared" ca="1" si="293"/>
        <v>Austria</v>
      </c>
      <c r="AG111" s="310">
        <f t="shared" ca="1" si="294"/>
        <v>1</v>
      </c>
      <c r="AH111" s="185">
        <v>84</v>
      </c>
      <c r="AI111" s="172">
        <v>10</v>
      </c>
      <c r="AJ111" s="42">
        <v>10</v>
      </c>
      <c r="AK111" s="578" t="e" cm="1" vm="27">
        <f t="array" aca="1" ref="AK111" ca="1">Ver_flag_visit</f>
        <v>#VALUE!</v>
      </c>
      <c r="AL111" s="83" t="str">
        <f t="shared" ca="1" si="297"/>
        <v>Irán</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1</v>
      </c>
      <c r="AS111" s="84">
        <f t="shared" ca="1" si="314"/>
        <v>3</v>
      </c>
      <c r="AT111" s="85">
        <f t="shared" ca="1" si="314"/>
        <v>-2</v>
      </c>
      <c r="AU111" s="313">
        <f t="shared" ca="1" si="299"/>
        <v>1</v>
      </c>
      <c r="AV111" s="172" t="str">
        <f t="shared" ca="1" si="300"/>
        <v>Irán</v>
      </c>
      <c r="AW111" s="205"/>
      <c r="AX111" s="160"/>
      <c r="AY111" s="260"/>
      <c r="AZ111" s="260"/>
      <c r="BA111" s="166"/>
      <c r="BI111" t="s">
        <v>87</v>
      </c>
    </row>
    <row r="112" spans="1:62" ht="16"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Uruguay</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45"/>
      <c r="X112" s="24">
        <f ca="1">Horarios!C112</f>
        <v>46206.041666666664</v>
      </c>
      <c r="Y112" s="25">
        <f ca="1">Horarios!C112</f>
        <v>46206.041666666664</v>
      </c>
      <c r="Z112" s="264">
        <f t="shared" si="296"/>
        <v>83</v>
      </c>
      <c r="AA112" s="86" t="str">
        <f t="shared" ca="1" si="292"/>
        <v>Colombia</v>
      </c>
      <c r="AB112" s="87"/>
      <c r="AC112" s="50">
        <v>1</v>
      </c>
      <c r="AD112" s="51">
        <v>0</v>
      </c>
      <c r="AE112" s="87"/>
      <c r="AF112" s="89" t="str">
        <f t="shared" ca="1" si="293"/>
        <v>Croacia</v>
      </c>
      <c r="AG112" s="310">
        <f t="shared" ca="1" si="294"/>
        <v>1</v>
      </c>
      <c r="AH112" s="185">
        <v>83</v>
      </c>
      <c r="AI112" s="172">
        <v>11</v>
      </c>
      <c r="AJ112" s="42">
        <v>11</v>
      </c>
      <c r="AK112" s="578" t="e" cm="1" vm="24">
        <f t="array" aca="1" ref="AK112" ca="1">Ver_flag_visit</f>
        <v>#VALUE!</v>
      </c>
      <c r="AL112" s="83" t="str">
        <f t="shared" ca="1" si="297"/>
        <v>Túnez</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3</v>
      </c>
      <c r="AS112" s="84">
        <f t="shared" ca="1" si="315"/>
        <v>6</v>
      </c>
      <c r="AT112" s="85">
        <f t="shared" ca="1" si="315"/>
        <v>-3</v>
      </c>
      <c r="AU112" s="313">
        <f t="shared" ca="1" si="299"/>
        <v>1</v>
      </c>
      <c r="AV112" s="172" t="str">
        <f t="shared" ca="1" si="300"/>
        <v>Túnez</v>
      </c>
      <c r="AW112" s="205"/>
      <c r="AX112" s="160"/>
      <c r="AY112" s="260"/>
      <c r="AZ112" s="260"/>
      <c r="BA112" s="166"/>
      <c r="BI112" t="str">
        <f ca="1">IFERROR(CONCATENATE(BJ103,BJ104,BJ105,BJ106,BJ107,BJ108,BJ109,BJ110),"¿A/B/C/D/E/F/G/H/I/J/K/L?")</f>
        <v>ABCDEHJL</v>
      </c>
    </row>
    <row r="113" spans="1:59" ht="16"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45"/>
      <c r="X113" s="24">
        <f ca="1">Horarios!C113</f>
        <v>46206.208333333336</v>
      </c>
      <c r="Y113" s="25">
        <f ca="1">Horarios!C113</f>
        <v>46206.208333333336</v>
      </c>
      <c r="Z113" s="264">
        <f t="shared" si="296"/>
        <v>85</v>
      </c>
      <c r="AA113" s="86" t="str">
        <f t="shared" ca="1" si="292"/>
        <v>Suiza</v>
      </c>
      <c r="AB113" s="87"/>
      <c r="AC113" s="50">
        <v>1</v>
      </c>
      <c r="AD113" s="51">
        <v>0</v>
      </c>
      <c r="AE113" s="88"/>
      <c r="AF113" s="89" t="str">
        <f t="shared" ca="1" si="293"/>
        <v>Argelia</v>
      </c>
      <c r="AG113" s="310">
        <f t="shared" ca="1" si="294"/>
        <v>1</v>
      </c>
      <c r="AH113" s="185">
        <v>85</v>
      </c>
      <c r="AI113" s="172">
        <v>12</v>
      </c>
      <c r="AJ113" s="44">
        <v>12</v>
      </c>
      <c r="AK113" s="580" t="e" cm="1" vm="43">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5</v>
      </c>
      <c r="AT113" s="48">
        <f t="shared" ca="1" si="316"/>
        <v>-3</v>
      </c>
      <c r="AU113" s="313">
        <f t="shared" ca="1" si="299"/>
        <v>1</v>
      </c>
      <c r="AV113" s="172" t="str">
        <f t="shared" ca="1" si="300"/>
        <v>RD Congo</v>
      </c>
      <c r="AW113" s="205"/>
      <c r="AX113" s="160"/>
      <c r="AY113" s="144"/>
      <c r="AZ113" s="145"/>
      <c r="BA113" s="166"/>
    </row>
    <row r="114" spans="1:59" ht="16"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España</v>
      </c>
      <c r="O114" s="16"/>
      <c r="P114" s="16"/>
      <c r="Q114" s="16"/>
      <c r="R114" s="16"/>
      <c r="S114" s="16"/>
      <c r="T114" s="16"/>
      <c r="U114" s="16"/>
      <c r="V114" s="17"/>
      <c r="W114" s="645"/>
      <c r="X114" s="24">
        <f ca="1">Horarios!C114</f>
        <v>46206.833333333336</v>
      </c>
      <c r="Y114" s="25">
        <f ca="1">Horarios!C114</f>
        <v>46206.833333333336</v>
      </c>
      <c r="Z114" s="264">
        <f t="shared" si="296"/>
        <v>88</v>
      </c>
      <c r="AA114" s="86" t="str">
        <f t="shared" ca="1" si="292"/>
        <v>Australia</v>
      </c>
      <c r="AB114" s="87"/>
      <c r="AC114" s="50">
        <v>0</v>
      </c>
      <c r="AD114" s="51">
        <v>2</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 customHeight="1">
      <c r="A115" s="16" t="s">
        <v>691</v>
      </c>
      <c r="B115" s="16" t="s">
        <v>741</v>
      </c>
      <c r="C115" s="16"/>
      <c r="D115" s="16" t="str">
        <f t="shared" ca="1" si="289"/>
        <v>España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45"/>
      <c r="X115" s="24">
        <f ca="1">Horarios!C115</f>
        <v>46207</v>
      </c>
      <c r="Y115" s="25">
        <f ca="1">Horarios!C115</f>
        <v>46207</v>
      </c>
      <c r="Z115" s="264">
        <f t="shared" si="296"/>
        <v>86</v>
      </c>
      <c r="AA115" s="86" t="str">
        <f t="shared" ca="1" si="292"/>
        <v>Argentina</v>
      </c>
      <c r="AB115" s="87"/>
      <c r="AC115" s="50">
        <v>1</v>
      </c>
      <c r="AD115" s="51">
        <v>2</v>
      </c>
      <c r="AE115" s="87"/>
      <c r="AF115" s="89" t="str">
        <f t="shared" ca="1" si="293"/>
        <v>España</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46"/>
      <c r="X116" s="28">
        <f ca="1">Horarios!C116</f>
        <v>46207.145833333336</v>
      </c>
      <c r="Y116" s="29">
        <f ca="1">Horarios!C116</f>
        <v>46207.145833333336</v>
      </c>
      <c r="Z116" s="265">
        <f t="shared" si="296"/>
        <v>87</v>
      </c>
      <c r="AA116" s="90" t="str">
        <f t="shared" ca="1" si="292"/>
        <v>Portugal</v>
      </c>
      <c r="AB116" s="91"/>
      <c r="AC116" s="50">
        <v>3</v>
      </c>
      <c r="AD116" s="51">
        <v>1</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3H</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47" t="s">
        <v>89</v>
      </c>
      <c r="X120" s="24">
        <f ca="1">Horarios!C120</f>
        <v>46207.791666666664</v>
      </c>
      <c r="Y120" s="25">
        <f ca="1">Horarios!C120</f>
        <v>46207.791666666664</v>
      </c>
      <c r="Z120" s="264">
        <f t="shared" ref="Z120:Z127" si="319">AH120</f>
        <v>90</v>
      </c>
      <c r="AA120" s="86" t="str">
        <f t="shared" ref="AA120:AA127" ca="1" si="320">+INDEX($M$101:$M$147,MATCH(AH120,$J$101:$J$147,0))</f>
        <v>Canadá</v>
      </c>
      <c r="AB120" s="87"/>
      <c r="AC120" s="50">
        <v>1</v>
      </c>
      <c r="AD120" s="51">
        <v>3</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3C</v>
      </c>
    </row>
    <row r="121" spans="1:59" ht="16" customHeight="1">
      <c r="A121" s="16" t="s">
        <v>744</v>
      </c>
      <c r="B121" s="16" t="s">
        <v>745</v>
      </c>
      <c r="C121" s="16"/>
      <c r="D121" s="16" t="str">
        <f t="shared" ca="1" si="317"/>
        <v>Alemania</v>
      </c>
      <c r="E121" s="16">
        <v>73</v>
      </c>
      <c r="F121" s="16">
        <v>75</v>
      </c>
      <c r="G121" s="16"/>
      <c r="H121" s="16"/>
      <c r="I121" s="16"/>
      <c r="J121" s="16">
        <v>90</v>
      </c>
      <c r="K121" s="16">
        <v>46207.875</v>
      </c>
      <c r="L121" s="16" t="s">
        <v>714</v>
      </c>
      <c r="M121" s="16" t="str">
        <f t="shared" ca="1" si="318"/>
        <v>Canadá</v>
      </c>
      <c r="N121" s="16" t="str">
        <f t="shared" ca="1" si="318"/>
        <v>Marruecos</v>
      </c>
      <c r="O121" s="16"/>
      <c r="P121" s="16"/>
      <c r="Q121" s="16"/>
      <c r="R121" s="16"/>
      <c r="S121" s="16"/>
      <c r="T121" s="16"/>
      <c r="U121" s="16"/>
      <c r="V121" s="17"/>
      <c r="W121" s="647"/>
      <c r="X121" s="24">
        <f ca="1">Horarios!C121</f>
        <v>46207.958333333336</v>
      </c>
      <c r="Y121" s="25">
        <f ca="1">Horarios!C121</f>
        <v>46207.958333333336</v>
      </c>
      <c r="Z121" s="264">
        <f t="shared" si="319"/>
        <v>89</v>
      </c>
      <c r="AA121" s="86" t="str">
        <f t="shared" ca="1" si="320"/>
        <v>Alemania</v>
      </c>
      <c r="AB121" s="87">
        <v>3</v>
      </c>
      <c r="AC121" s="50">
        <v>2</v>
      </c>
      <c r="AD121" s="51">
        <v>2</v>
      </c>
      <c r="AE121" s="87">
        <v>2</v>
      </c>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6"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Ecuador</v>
      </c>
      <c r="O122" s="16"/>
      <c r="P122" s="16"/>
      <c r="Q122" s="16"/>
      <c r="R122" s="16"/>
      <c r="S122" s="16"/>
      <c r="T122" s="16"/>
      <c r="U122" s="16"/>
      <c r="V122" s="17"/>
      <c r="W122" s="647"/>
      <c r="X122" s="24">
        <f ca="1">Horarios!C122</f>
        <v>46208.916666666664</v>
      </c>
      <c r="Y122" s="25">
        <f ca="1">Horarios!C122</f>
        <v>46208.916666666664</v>
      </c>
      <c r="Z122" s="264">
        <f t="shared" si="319"/>
        <v>91</v>
      </c>
      <c r="AA122" s="86" t="str">
        <f t="shared" ca="1" si="320"/>
        <v>Brasil</v>
      </c>
      <c r="AB122" s="87"/>
      <c r="AC122" s="50">
        <v>3</v>
      </c>
      <c r="AD122" s="51">
        <v>1</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3D</v>
      </c>
    </row>
    <row r="123" spans="1:59" ht="16"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47"/>
      <c r="X123" s="24">
        <f ca="1">Horarios!C123</f>
        <v>46209.083333333336</v>
      </c>
      <c r="Y123" s="25">
        <f ca="1">Horarios!C123</f>
        <v>46209.083333333336</v>
      </c>
      <c r="Z123" s="264">
        <f t="shared" si="319"/>
        <v>92</v>
      </c>
      <c r="AA123" s="86" t="str">
        <f t="shared" ca="1" si="320"/>
        <v>México</v>
      </c>
      <c r="AB123" s="87"/>
      <c r="AC123" s="50">
        <v>1</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 customHeight="1">
      <c r="A124" s="16" t="s">
        <v>750</v>
      </c>
      <c r="B124" s="16" t="s">
        <v>751</v>
      </c>
      <c r="C124" s="16"/>
      <c r="D124" s="16" t="str">
        <f t="shared" ca="1" si="317"/>
        <v>Colombia</v>
      </c>
      <c r="E124" s="16">
        <v>83</v>
      </c>
      <c r="F124" s="16">
        <v>84</v>
      </c>
      <c r="G124" s="16"/>
      <c r="H124" s="16"/>
      <c r="I124" s="16"/>
      <c r="J124" s="16">
        <v>93</v>
      </c>
      <c r="K124" s="16">
        <v>46209.75</v>
      </c>
      <c r="L124" s="16" t="s">
        <v>717</v>
      </c>
      <c r="M124" s="16" t="str">
        <f t="shared" ca="1" si="318"/>
        <v>Colombia</v>
      </c>
      <c r="N124" s="16" t="str">
        <f t="shared" ca="1" si="318"/>
        <v>Uruguay</v>
      </c>
      <c r="O124" s="16"/>
      <c r="P124" s="16"/>
      <c r="Q124" s="16"/>
      <c r="R124" s="16"/>
      <c r="S124" s="16"/>
      <c r="T124" s="16"/>
      <c r="U124" s="16"/>
      <c r="V124" s="17"/>
      <c r="W124" s="647"/>
      <c r="X124" s="24">
        <f ca="1">Horarios!C124</f>
        <v>46209.875</v>
      </c>
      <c r="Y124" s="25">
        <f ca="1">Horarios!C124</f>
        <v>46209.875</v>
      </c>
      <c r="Z124" s="264">
        <f t="shared" si="319"/>
        <v>93</v>
      </c>
      <c r="AA124" s="86" t="str">
        <f t="shared" ca="1" si="320"/>
        <v>Colombia</v>
      </c>
      <c r="AB124" s="93">
        <v>3</v>
      </c>
      <c r="AC124" s="50">
        <v>0</v>
      </c>
      <c r="AD124" s="51">
        <v>0</v>
      </c>
      <c r="AE124" s="88">
        <v>2</v>
      </c>
      <c r="AF124" s="89" t="str">
        <f t="shared" ca="1" si="321"/>
        <v>Uruguay</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3E</v>
      </c>
    </row>
    <row r="125" spans="1:59" ht="16"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47"/>
      <c r="X125" s="24">
        <f ca="1">Horarios!C125</f>
        <v>46210.083333333336</v>
      </c>
      <c r="Y125" s="25">
        <f ca="1">Horarios!C125</f>
        <v>46210.083333333336</v>
      </c>
      <c r="Z125" s="264">
        <f t="shared" si="319"/>
        <v>94</v>
      </c>
      <c r="AA125" s="86" t="str">
        <f t="shared" ca="1" si="320"/>
        <v>Turquía</v>
      </c>
      <c r="AB125" s="87"/>
      <c r="AC125" s="50">
        <v>1</v>
      </c>
      <c r="AD125" s="51">
        <v>2</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 customHeight="1">
      <c r="A126" s="16" t="s">
        <v>754</v>
      </c>
      <c r="B126" s="16" t="s">
        <v>755</v>
      </c>
      <c r="C126" s="16"/>
      <c r="D126" s="16" t="str">
        <f t="shared" ca="1" si="317"/>
        <v>España</v>
      </c>
      <c r="E126" s="16">
        <v>86</v>
      </c>
      <c r="F126" s="16">
        <v>88</v>
      </c>
      <c r="G126" s="16"/>
      <c r="H126" s="16"/>
      <c r="I126" s="16"/>
      <c r="J126" s="16">
        <v>95</v>
      </c>
      <c r="K126" s="16">
        <v>46210.75</v>
      </c>
      <c r="L126" s="16" t="s">
        <v>719</v>
      </c>
      <c r="M126" s="16" t="str">
        <f t="shared" ca="1" si="318"/>
        <v>España</v>
      </c>
      <c r="N126" s="16" t="str">
        <f t="shared" ca="1" si="318"/>
        <v>Egipto</v>
      </c>
      <c r="O126" s="16"/>
      <c r="P126" s="16"/>
      <c r="Q126" s="16"/>
      <c r="R126" s="16"/>
      <c r="S126" s="16"/>
      <c r="T126" s="16"/>
      <c r="U126" s="16"/>
      <c r="V126" s="17"/>
      <c r="W126" s="647"/>
      <c r="X126" s="24">
        <f ca="1">Horarios!C126</f>
        <v>46210.75</v>
      </c>
      <c r="Y126" s="25">
        <f ca="1">Horarios!C126</f>
        <v>46210.75</v>
      </c>
      <c r="Z126" s="264">
        <f t="shared" si="319"/>
        <v>95</v>
      </c>
      <c r="AA126" s="86" t="str">
        <f t="shared" ca="1" si="320"/>
        <v>España</v>
      </c>
      <c r="AB126" s="87"/>
      <c r="AC126" s="50">
        <v>2</v>
      </c>
      <c r="AD126" s="51">
        <v>1</v>
      </c>
      <c r="AE126" s="87"/>
      <c r="AF126" s="89" t="str">
        <f t="shared" ca="1" si="321"/>
        <v>Egipto</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48"/>
      <c r="X127" s="28">
        <f ca="1">Horarios!C127</f>
        <v>46210.916666666664</v>
      </c>
      <c r="Y127" s="29">
        <f ca="1">Horarios!C127</f>
        <v>46210.916666666664</v>
      </c>
      <c r="Z127" s="265">
        <f t="shared" si="319"/>
        <v>96</v>
      </c>
      <c r="AA127" s="90" t="str">
        <f t="shared" ca="1" si="320"/>
        <v>Suiza</v>
      </c>
      <c r="AB127" s="91"/>
      <c r="AC127" s="50">
        <v>1</v>
      </c>
      <c r="AD127" s="51">
        <v>3</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 customHeight="1">
      <c r="A131" s="16" t="s">
        <v>758</v>
      </c>
      <c r="B131" s="16" t="s">
        <v>759</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721</v>
      </c>
      <c r="M131" s="16" t="str">
        <f t="shared" ref="M131:N134" ca="1" si="323">+INDEX($D$101:$D$147,MATCH(E131,$AH$101:$AH$147,0))</f>
        <v>Alemania</v>
      </c>
      <c r="N131" s="16" t="str">
        <f t="shared" ca="1" si="323"/>
        <v>Marruecos</v>
      </c>
      <c r="O131" s="16"/>
      <c r="P131" s="16"/>
      <c r="Q131" s="16"/>
      <c r="R131" s="16"/>
      <c r="S131" s="16"/>
      <c r="T131" s="16"/>
      <c r="U131" s="16"/>
      <c r="V131" s="17"/>
      <c r="W131" s="649" t="s">
        <v>36</v>
      </c>
      <c r="X131" s="24">
        <f ca="1">Horarios!C131</f>
        <v>46212.916666666664</v>
      </c>
      <c r="Y131" s="25">
        <f ca="1">Horarios!C131</f>
        <v>46212.916666666664</v>
      </c>
      <c r="Z131" s="266">
        <f t="shared" ref="Z131:Z134" si="324">AH131</f>
        <v>97</v>
      </c>
      <c r="AA131" s="86" t="str">
        <f t="shared" ref="AA131:AA134" ca="1" si="325">+INDEX($M$101:$M$147,MATCH(AH131,$J$101:$J$147,0))</f>
        <v>Alemania</v>
      </c>
      <c r="AB131" s="93"/>
      <c r="AC131" s="50">
        <v>2</v>
      </c>
      <c r="AD131" s="51">
        <v>1</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 customHeight="1">
      <c r="A132" s="16" t="s">
        <v>760</v>
      </c>
      <c r="B132" s="16" t="s">
        <v>761</v>
      </c>
      <c r="C132" s="16"/>
      <c r="D132" s="16" t="str">
        <f ca="1">IF(AND(OR(AC132="",AD132="")),"W"&amp;AH132,IF(AC132&gt;AD132,AA132,IF(AC132&lt;AD132,AF132,IF(AND(AC132=AD132,AB132=AE132),"W"&amp;AH132,IF(AND(AC132=AD132,OR(AB132="",AE132="")),"W"&amp;AH132,IF(AND(AC132=AD132,AB132&gt;AE132),AA132,AF132))))))</f>
        <v>Colombia</v>
      </c>
      <c r="E132" s="16">
        <v>93</v>
      </c>
      <c r="F132" s="16">
        <v>94</v>
      </c>
      <c r="G132" s="16"/>
      <c r="H132" s="16"/>
      <c r="I132" s="16"/>
      <c r="J132" s="16">
        <v>98</v>
      </c>
      <c r="K132" s="16">
        <v>46213.875</v>
      </c>
      <c r="L132" s="16" t="s">
        <v>722</v>
      </c>
      <c r="M132" s="16" t="str">
        <f t="shared" ca="1" si="323"/>
        <v>Colombia</v>
      </c>
      <c r="N132" s="16" t="str">
        <f t="shared" ca="1" si="323"/>
        <v>Bélgica</v>
      </c>
      <c r="O132" s="16"/>
      <c r="P132" s="16"/>
      <c r="Q132" s="16"/>
      <c r="R132" s="16"/>
      <c r="S132" s="16"/>
      <c r="T132" s="16"/>
      <c r="U132" s="16"/>
      <c r="V132" s="17"/>
      <c r="W132" s="649"/>
      <c r="X132" s="24">
        <f ca="1">Horarios!C132</f>
        <v>46213.875</v>
      </c>
      <c r="Y132" s="25">
        <f ca="1">Horarios!C132</f>
        <v>46213.875</v>
      </c>
      <c r="Z132" s="266">
        <f t="shared" si="324"/>
        <v>98</v>
      </c>
      <c r="AA132" s="86" t="str">
        <f t="shared" ca="1" si="325"/>
        <v>Colombia</v>
      </c>
      <c r="AB132" s="87"/>
      <c r="AC132" s="50">
        <v>1</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49"/>
      <c r="X133" s="24">
        <f ca="1">Horarios!C133</f>
        <v>46214.958333333336</v>
      </c>
      <c r="Y133" s="25">
        <f ca="1">Horarios!C133</f>
        <v>46214.958333333336</v>
      </c>
      <c r="Z133" s="266">
        <f t="shared" si="324"/>
        <v>99</v>
      </c>
      <c r="AA133" s="86" t="str">
        <f t="shared" ca="1" si="325"/>
        <v>Brasil</v>
      </c>
      <c r="AB133" s="87"/>
      <c r="AC133" s="50">
        <v>1</v>
      </c>
      <c r="AD133" s="51">
        <v>2</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España</v>
      </c>
      <c r="N134" s="16" t="str">
        <f t="shared" ca="1" si="323"/>
        <v>Portugal</v>
      </c>
      <c r="O134" s="16"/>
      <c r="P134" s="16"/>
      <c r="Q134" s="16"/>
      <c r="R134" s="16"/>
      <c r="S134" s="16"/>
      <c r="T134" s="16"/>
      <c r="U134" s="16"/>
      <c r="V134" s="17"/>
      <c r="W134" s="650"/>
      <c r="X134" s="28">
        <f ca="1">Horarios!C134</f>
        <v>46215.125</v>
      </c>
      <c r="Y134" s="29">
        <f ca="1">Horarios!C134</f>
        <v>46215.125</v>
      </c>
      <c r="Z134" s="267">
        <f t="shared" si="324"/>
        <v>100</v>
      </c>
      <c r="AA134" s="90" t="str">
        <f t="shared" ca="1" si="325"/>
        <v>España</v>
      </c>
      <c r="AB134" s="91"/>
      <c r="AC134" s="50">
        <v>1</v>
      </c>
      <c r="AD134" s="51">
        <v>3</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 customHeight="1">
      <c r="A138" s="16" t="s">
        <v>766</v>
      </c>
      <c r="B138" s="16" t="s">
        <v>767</v>
      </c>
      <c r="C138" s="16"/>
      <c r="D138" s="16" t="str">
        <f ca="1">IF(AND(OR(AC138="",AD138="")),"W"&amp;AH138,IF(AC138&gt;AD138,AA138,IF(AC138&lt;AD138,AF138,IF(AND(AC138=AD138,AB138=AE138),"W"&amp;AH138,IF(AND(AC138=AD138,OR(AB138="",AE138="")),"W"&amp;AH138,IF(AND(AC138=AD138,AB138&gt;AE138),AA138,AF138))))))</f>
        <v>Alemania</v>
      </c>
      <c r="E138" s="16">
        <v>97</v>
      </c>
      <c r="F138" s="16">
        <v>98</v>
      </c>
      <c r="G138" s="16"/>
      <c r="H138" s="16" t="str">
        <f ca="1">IF(AND(OR(AC138="",AD138="")),"L101",IF(AC138&gt;AD138,AF138,IF(AC138&lt;AD138,AA138,IF(AND(AC138=AD138,AB138=AE138),"L101",IF(AND(AC138=AD138,OR(AB138="",AE138="")),"L101",IF(AND(AC138=AD138,AB138&gt;AE138),AF138,AA138))))))</f>
        <v>Colombia</v>
      </c>
      <c r="I138" s="16"/>
      <c r="J138" s="16">
        <v>101</v>
      </c>
      <c r="K138" s="16">
        <v>46217.875</v>
      </c>
      <c r="L138" s="16" t="s">
        <v>725</v>
      </c>
      <c r="M138" s="16" t="str">
        <f ca="1">+INDEX($D$101:$D$147,MATCH(E138,$AH$101:$AH$147,0))</f>
        <v>Alemania</v>
      </c>
      <c r="N138" s="16" t="str">
        <f ca="1">+INDEX($D$101:$D$147,MATCH(F138,$AH$101:$AH$147,0))</f>
        <v>Colombia</v>
      </c>
      <c r="O138" s="16"/>
      <c r="P138" s="16"/>
      <c r="Q138" s="16"/>
      <c r="R138" s="16"/>
      <c r="S138" s="16"/>
      <c r="T138" s="16"/>
      <c r="U138" s="16"/>
      <c r="V138" s="17"/>
      <c r="W138" s="651" t="s">
        <v>37</v>
      </c>
      <c r="X138" s="24">
        <f ca="1">Horarios!C138</f>
        <v>46217.875</v>
      </c>
      <c r="Y138" s="25">
        <f ca="1">Horarios!C138</f>
        <v>46217.875</v>
      </c>
      <c r="Z138" s="266">
        <f t="shared" ref="Z138:Z139" si="326">AH138</f>
        <v>101</v>
      </c>
      <c r="AA138" s="86" t="str">
        <f t="shared" ref="AA138:AA139" ca="1" si="327">+INDEX($M$101:$M$147,MATCH(AH138,$J$101:$J$147,0))</f>
        <v>Alemania</v>
      </c>
      <c r="AB138" s="87"/>
      <c r="AC138" s="50">
        <v>2</v>
      </c>
      <c r="AD138" s="51">
        <v>1</v>
      </c>
      <c r="AE138" s="87"/>
      <c r="AF138" s="106" t="str">
        <f ca="1">+INDEX($N$101:$N$147,MATCH(AH138,$J$101:$J$147,0))</f>
        <v>Colombia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52"/>
      <c r="X139" s="113">
        <f ca="1">Horarios!C139</f>
        <v>46218.875</v>
      </c>
      <c r="Y139" s="114">
        <f ca="1">Horarios!C139</f>
        <v>46218.875</v>
      </c>
      <c r="Z139" s="268">
        <f t="shared" si="326"/>
        <v>102</v>
      </c>
      <c r="AA139" s="129" t="str">
        <f t="shared" ca="1" si="327"/>
        <v>Inglaterra</v>
      </c>
      <c r="AB139" s="130">
        <v>3</v>
      </c>
      <c r="AC139" s="50">
        <v>1</v>
      </c>
      <c r="AD139" s="51">
        <v>1</v>
      </c>
      <c r="AE139" s="130">
        <v>4</v>
      </c>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 customHeight="1" thickBot="1">
      <c r="A143" s="16" t="s">
        <v>770</v>
      </c>
      <c r="B143" s="16" t="s">
        <v>771</v>
      </c>
      <c r="C143" s="16"/>
      <c r="D143" s="16" t="str">
        <f ca="1">IF(AND(OR(AC143="",AD143="")),"W"&amp;AH143,IF(AC143&gt;AD143,AA143,IF(AC143&lt;AD143,AF143,IF(AND(AC143=AD143,AB143=AE143),"W"&amp;AH143,IF(AND(AC143=AD143,OR(AB143="",AE143="")),"W"&amp;AH143,IF(AND(AC143=AD143,AB143&gt;AE143),AA143,AF143))))))</f>
        <v>Inglaterra</v>
      </c>
      <c r="E143" s="16">
        <v>101</v>
      </c>
      <c r="F143" s="16">
        <v>102</v>
      </c>
      <c r="G143" s="16"/>
      <c r="H143" s="16"/>
      <c r="I143" s="16"/>
      <c r="J143" s="16">
        <v>103</v>
      </c>
      <c r="K143" s="16">
        <v>46221.875</v>
      </c>
      <c r="L143" s="16" t="s">
        <v>727</v>
      </c>
      <c r="M143" s="16" t="str">
        <f ca="1">+INDEX($D$101:$D$147,MATCH(E143,$AH$101:$AH$147,0))</f>
        <v>Alemania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Colombia</v>
      </c>
      <c r="AB143" s="206"/>
      <c r="AC143" s="97">
        <v>0</v>
      </c>
      <c r="AD143" s="97">
        <v>1</v>
      </c>
      <c r="AE143" s="206"/>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 customHeight="1" thickBot="1">
      <c r="A147" s="16" t="s">
        <v>772</v>
      </c>
      <c r="B147" s="16" t="s">
        <v>773</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Alemania</v>
      </c>
      <c r="I147" s="16"/>
      <c r="J147" s="16">
        <v>104</v>
      </c>
      <c r="K147" s="16">
        <v>46222.875</v>
      </c>
      <c r="L147" s="16" t="s">
        <v>728</v>
      </c>
      <c r="M147" s="16" t="str">
        <f ca="1">+INDEX($D$101:$D$147,MATCH(E147,$AH$101:$AH$147,0))</f>
        <v>Alemania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Alemania</v>
      </c>
      <c r="AB147" s="206"/>
      <c r="AC147" s="97">
        <v>0</v>
      </c>
      <c r="AD147" s="97">
        <v>1</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Portugal</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Alemania</v>
      </c>
      <c r="AB151" s="103"/>
      <c r="AC151" s="103"/>
      <c r="AD151" s="103"/>
      <c r="AE151" s="103"/>
      <c r="AF151" s="99"/>
      <c r="AG151" s="310">
        <f ca="1">IF(AA151="LF",0,1)</f>
        <v>1</v>
      </c>
      <c r="AH151" s="174"/>
      <c r="AI151" s="174"/>
      <c r="AJ151" s="615" t="str">
        <f ca="1">IF(SUM(COUNTIF(AG4:AG97,0),COUNTIF(AG101:AG156,0)&gt;0),AL148,AL149)</f>
        <v>PORRA COMPLETA:</v>
      </c>
      <c r="AK151" s="616"/>
      <c r="AL151" s="616"/>
      <c r="AM151" s="616"/>
      <c r="AN151" s="616"/>
      <c r="AO151" s="616"/>
      <c r="AP151" s="616"/>
      <c r="AQ151" s="616"/>
      <c r="AR151" s="616"/>
      <c r="AS151" s="616"/>
      <c r="AT151" s="616"/>
      <c r="AU151" s="617"/>
      <c r="AV151" s="183"/>
      <c r="AW151" s="145"/>
      <c r="AX151" s="144"/>
      <c r="AY151" s="146"/>
      <c r="AZ151" s="147"/>
      <c r="BA151" s="16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Inglaterra</v>
      </c>
      <c r="AB152" s="102"/>
      <c r="AC152" s="102"/>
      <c r="AD152" s="102"/>
      <c r="AE152" s="102"/>
      <c r="AF152" s="95"/>
      <c r="AG152" s="310">
        <f ca="1">IF(AA152="W34",0,1)</f>
        <v>1</v>
      </c>
      <c r="AH152" s="174"/>
      <c r="AI152" s="174"/>
      <c r="AJ152" s="618"/>
      <c r="AK152" s="619"/>
      <c r="AL152" s="619"/>
      <c r="AM152" s="619"/>
      <c r="AN152" s="619"/>
      <c r="AO152" s="619"/>
      <c r="AP152" s="619"/>
      <c r="AQ152" s="619"/>
      <c r="AR152" s="619"/>
      <c r="AS152" s="619"/>
      <c r="AT152" s="619"/>
      <c r="AU152" s="620"/>
      <c r="AV152" s="183"/>
      <c r="AW152" s="145"/>
      <c r="AX152" s="144"/>
      <c r="AY152" s="146"/>
      <c r="AZ152" s="147"/>
      <c r="BA152" s="16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18"/>
      <c r="AK153" s="619"/>
      <c r="AL153" s="619"/>
      <c r="AM153" s="619"/>
      <c r="AN153" s="619"/>
      <c r="AO153" s="619"/>
      <c r="AP153" s="619"/>
      <c r="AQ153" s="619"/>
      <c r="AR153" s="619"/>
      <c r="AS153" s="619"/>
      <c r="AT153" s="619"/>
      <c r="AU153" s="620"/>
      <c r="AV153" s="183"/>
      <c r="AW153" s="145"/>
      <c r="AX153" s="144"/>
      <c r="AY153" s="146"/>
      <c r="AZ153" s="147"/>
      <c r="BA153" s="16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1535</v>
      </c>
      <c r="AB154" s="138"/>
      <c r="AC154" s="138"/>
      <c r="AD154" s="138"/>
      <c r="AE154" s="138"/>
      <c r="AF154" s="138"/>
      <c r="AG154" s="310">
        <f>IF(AA154=$AH$154,0,IF(AA154="",0,1))</f>
        <v>1</v>
      </c>
      <c r="AH154" s="188" t="str">
        <f>Idiomas!D43</f>
        <v>Escribe un jugador</v>
      </c>
      <c r="AI154" s="174"/>
      <c r="AJ154" s="618"/>
      <c r="AK154" s="619"/>
      <c r="AL154" s="619"/>
      <c r="AM154" s="619"/>
      <c r="AN154" s="619"/>
      <c r="AO154" s="619"/>
      <c r="AP154" s="619"/>
      <c r="AQ154" s="619"/>
      <c r="AR154" s="619"/>
      <c r="AS154" s="619"/>
      <c r="AT154" s="619"/>
      <c r="AU154" s="620"/>
      <c r="AV154" s="183"/>
      <c r="AW154" s="145"/>
      <c r="AX154" s="144"/>
      <c r="AY154" s="146"/>
      <c r="AZ154" s="147"/>
      <c r="BA154" s="166"/>
    </row>
    <row r="155" spans="1:53" ht="16"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27" t="str">
        <f ca="1">IF(SUM(COUNTIF(AG4:AG97,0),COUNTIF(AG101:AG156,0)&gt;0),AM148,AM149)</f>
        <v>Guarda el archivo y envialo al administrador de tu porra</v>
      </c>
      <c r="AK155" s="628"/>
      <c r="AL155" s="628"/>
      <c r="AM155" s="628"/>
      <c r="AN155" s="628"/>
      <c r="AO155" s="628"/>
      <c r="AP155" s="628"/>
      <c r="AQ155" s="628"/>
      <c r="AR155" s="628"/>
      <c r="AS155" s="628"/>
      <c r="AT155" s="628"/>
      <c r="AU155" s="629"/>
      <c r="AV155" s="183"/>
      <c r="AW155" s="145"/>
      <c r="AX155" s="144"/>
      <c r="AY155" s="146"/>
      <c r="AZ155" s="147"/>
      <c r="BA155" s="166"/>
    </row>
    <row r="156" spans="1:53" ht="16"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609" t="s">
        <v>1533</v>
      </c>
      <c r="AB156" s="141" t="s">
        <v>1534</v>
      </c>
      <c r="AC156" s="141"/>
      <c r="AD156" s="138"/>
      <c r="AE156" s="138"/>
      <c r="AF156" s="138"/>
      <c r="AG156" s="310">
        <f>IF(AA156=$AH$154,0,IF(AA156="",0,1))</f>
        <v>1</v>
      </c>
      <c r="AH156" s="174"/>
      <c r="AI156" s="174"/>
      <c r="AJ156" s="627"/>
      <c r="AK156" s="628"/>
      <c r="AL156" s="628"/>
      <c r="AM156" s="628"/>
      <c r="AN156" s="628"/>
      <c r="AO156" s="628"/>
      <c r="AP156" s="628"/>
      <c r="AQ156" s="628"/>
      <c r="AR156" s="628"/>
      <c r="AS156" s="628"/>
      <c r="AT156" s="628"/>
      <c r="AU156" s="629"/>
      <c r="AV156" s="183"/>
      <c r="AW156" s="145"/>
      <c r="AX156" s="144"/>
      <c r="AY156" s="146"/>
      <c r="AZ156" s="147"/>
      <c r="BA156" s="16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30"/>
      <c r="AK157" s="631"/>
      <c r="AL157" s="631"/>
      <c r="AM157" s="631"/>
      <c r="AN157" s="631"/>
      <c r="AO157" s="631"/>
      <c r="AP157" s="631"/>
      <c r="AQ157" s="631"/>
      <c r="AR157" s="631"/>
      <c r="AS157" s="631"/>
      <c r="AT157" s="631"/>
      <c r="AU157" s="632"/>
      <c r="AV157" s="183"/>
      <c r="AW157" s="145"/>
      <c r="AX157" s="144"/>
      <c r="AY157" s="146"/>
      <c r="AZ157" s="147"/>
      <c r="BA157" s="16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5"/>
  <cols>
    <col min="1" max="1" width="10.90625" style="7"/>
    <col min="2" max="2" width="18.54296875" bestFit="1" customWidth="1"/>
    <col min="4" max="4" width="11.90625" style="7" bestFit="1" customWidth="1"/>
    <col min="5" max="5" width="15.1796875" style="7" bestFit="1" customWidth="1"/>
    <col min="8" max="8" width="10.9062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3</v>
      </c>
      <c r="E2" s="7">
        <f>WORLDCUP!AD4</f>
        <v>1</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1</v>
      </c>
      <c r="E4" s="7">
        <f>WORLDCUP!AD6</f>
        <v>0</v>
      </c>
    </row>
    <row r="5" spans="1:6">
      <c r="A5" s="7">
        <v>4</v>
      </c>
      <c r="B5" s="608" t="str">
        <f ca="1">WORLDCUP!AA7</f>
        <v>México</v>
      </c>
      <c r="C5" t="str">
        <f ca="1">WORLDCUP!AF7</f>
        <v>Corea del Sur</v>
      </c>
      <c r="D5" s="7">
        <f>WORLDCUP!AC7</f>
        <v>0</v>
      </c>
      <c r="E5" s="7">
        <f>WORLDCUP!AD7</f>
        <v>0</v>
      </c>
    </row>
    <row r="6" spans="1:6">
      <c r="A6" s="7">
        <v>5</v>
      </c>
      <c r="B6" s="608" t="str">
        <f ca="1">WORLDCUP!AA8</f>
        <v>República Checa</v>
      </c>
      <c r="C6" t="str">
        <f ca="1">WORLDCUP!AF8</f>
        <v>México</v>
      </c>
      <c r="D6" s="7">
        <f>WORLDCUP!AC8</f>
        <v>0</v>
      </c>
      <c r="E6" s="7">
        <f>WORLDCUP!AD8</f>
        <v>1</v>
      </c>
    </row>
    <row r="7" spans="1:6">
      <c r="A7" s="7">
        <v>6</v>
      </c>
      <c r="B7" s="608" t="str">
        <f ca="1">WORLDCUP!AA9</f>
        <v>Sudáfrica</v>
      </c>
      <c r="C7" t="str">
        <f ca="1">WORLDCUP!AF9</f>
        <v>Corea del Sur</v>
      </c>
      <c r="D7" s="7">
        <f>WORLDCUP!AC9</f>
        <v>2</v>
      </c>
      <c r="E7" s="7">
        <f>WORLDCUP!AD9</f>
        <v>1</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2</v>
      </c>
      <c r="E10" s="7">
        <f>WORLDCUP!AD14</f>
        <v>1</v>
      </c>
    </row>
    <row r="11" spans="1:6">
      <c r="A11" s="7">
        <v>10</v>
      </c>
      <c r="B11" s="608" t="str">
        <f ca="1">WORLDCUP!AA15</f>
        <v>Canadá</v>
      </c>
      <c r="C11" t="str">
        <f ca="1">WORLDCUP!AF15</f>
        <v>Catar</v>
      </c>
      <c r="D11" s="7">
        <f>WORLDCUP!AC15</f>
        <v>1</v>
      </c>
      <c r="E11" s="7">
        <f>WORLDCUP!AD15</f>
        <v>0</v>
      </c>
    </row>
    <row r="12" spans="1:6">
      <c r="A12" s="7">
        <v>11</v>
      </c>
      <c r="B12" s="608" t="str">
        <f ca="1">WORLDCUP!AA16</f>
        <v>Suiza</v>
      </c>
      <c r="C12" t="str">
        <f ca="1">WORLDCUP!AF16</f>
        <v>Canadá</v>
      </c>
      <c r="D12" s="7">
        <f>WORLDCUP!AC16</f>
        <v>0</v>
      </c>
      <c r="E12" s="7">
        <f>WORLDCUP!AD16</f>
        <v>0</v>
      </c>
    </row>
    <row r="13" spans="1:6">
      <c r="A13" s="7">
        <v>12</v>
      </c>
      <c r="B13" s="608" t="str">
        <f ca="1">WORLDCUP!AA17</f>
        <v>Bosnia y Herzegovina</v>
      </c>
      <c r="C13" t="str">
        <f ca="1">WORLDCUP!AF17</f>
        <v>Catar</v>
      </c>
      <c r="D13" s="7">
        <f>WORLDCUP!AC17</f>
        <v>2</v>
      </c>
      <c r="E13" s="7">
        <f>WORLDCUP!AD17</f>
        <v>0</v>
      </c>
    </row>
    <row r="14" spans="1:6">
      <c r="A14" s="7">
        <v>13</v>
      </c>
      <c r="B14" s="608" t="str">
        <f ca="1">WORLDCUP!AA20</f>
        <v>Brasil</v>
      </c>
      <c r="C14" t="str">
        <f ca="1">WORLDCUP!AF20</f>
        <v>Marruecos</v>
      </c>
      <c r="D14" s="7">
        <f>WORLDCUP!AC20</f>
        <v>3</v>
      </c>
      <c r="E14" s="7">
        <f>WORLDCUP!AD20</f>
        <v>2</v>
      </c>
    </row>
    <row r="15" spans="1:6">
      <c r="A15" s="7">
        <v>14</v>
      </c>
      <c r="B15" s="608" t="str">
        <f ca="1">WORLDCUP!AA21</f>
        <v>Haití</v>
      </c>
      <c r="C15" t="str">
        <f ca="1">WORLDCUP!AF21</f>
        <v>Escocia</v>
      </c>
      <c r="D15" s="7">
        <f>WORLDCUP!AC21</f>
        <v>0</v>
      </c>
      <c r="E15" s="7">
        <f>WORLDCUP!AD21</f>
        <v>3</v>
      </c>
    </row>
    <row r="16" spans="1:6">
      <c r="A16" s="7">
        <v>15</v>
      </c>
      <c r="B16" s="608" t="str">
        <f ca="1">WORLDCUP!AA22</f>
        <v>Escocia</v>
      </c>
      <c r="C16" t="str">
        <f ca="1">WORLDCUP!AF22</f>
        <v>Marruecos</v>
      </c>
      <c r="D16" s="7">
        <f>WORLDCUP!AC22</f>
        <v>1</v>
      </c>
      <c r="E16" s="7">
        <f>WORLDCUP!AD22</f>
        <v>2</v>
      </c>
    </row>
    <row r="17" spans="1:5">
      <c r="A17" s="7">
        <v>16</v>
      </c>
      <c r="B17" s="608" t="str">
        <f ca="1">WORLDCUP!AA23</f>
        <v>Brasil</v>
      </c>
      <c r="C17" t="str">
        <f ca="1">WORLDCUP!AF23</f>
        <v>Haití</v>
      </c>
      <c r="D17" s="7">
        <f>WORLDCUP!AC23</f>
        <v>5</v>
      </c>
      <c r="E17" s="7">
        <f>WORLDCUP!AD23</f>
        <v>1</v>
      </c>
    </row>
    <row r="18" spans="1:5">
      <c r="A18" s="7">
        <v>17</v>
      </c>
      <c r="B18" s="608" t="str">
        <f ca="1">WORLDCUP!AA24</f>
        <v>Escocia</v>
      </c>
      <c r="C18" t="str">
        <f ca="1">WORLDCUP!AF24</f>
        <v>Brasil</v>
      </c>
      <c r="D18" s="7">
        <f>WORLDCUP!AC24</f>
        <v>0</v>
      </c>
      <c r="E18" s="7">
        <f>WORLDCUP!AD24</f>
        <v>2</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2</v>
      </c>
      <c r="E20" s="7">
        <f>WORLDCUP!AD28</f>
        <v>1</v>
      </c>
    </row>
    <row r="21" spans="1:5">
      <c r="A21" s="7">
        <v>20</v>
      </c>
      <c r="B21" s="608" t="str">
        <f ca="1">WORLDCUP!AA29</f>
        <v>Australia</v>
      </c>
      <c r="C21" t="str">
        <f ca="1">WORLDCUP!AF29</f>
        <v>Turquía</v>
      </c>
      <c r="D21" s="7">
        <f>WORLDCUP!AC29</f>
        <v>1</v>
      </c>
      <c r="E21" s="7">
        <f>WORLDCUP!AD29</f>
        <v>1</v>
      </c>
    </row>
    <row r="22" spans="1:5">
      <c r="A22" s="7">
        <v>21</v>
      </c>
      <c r="B22" s="608" t="str">
        <f ca="1">WORLDCUP!AA30</f>
        <v>Estados Unidos</v>
      </c>
      <c r="C22" t="str">
        <f ca="1">WORLDCUP!AF30</f>
        <v>Australia</v>
      </c>
      <c r="D22" s="7">
        <f>WORLDCUP!AC30</f>
        <v>0</v>
      </c>
      <c r="E22" s="7">
        <f>WORLDCUP!AD30</f>
        <v>0</v>
      </c>
    </row>
    <row r="23" spans="1:5">
      <c r="A23" s="7">
        <v>22</v>
      </c>
      <c r="B23" s="608" t="str">
        <f ca="1">WORLDCUP!AA31</f>
        <v>Turquía</v>
      </c>
      <c r="C23" t="str">
        <f ca="1">WORLDCUP!AF31</f>
        <v>Paraguay</v>
      </c>
      <c r="D23" s="7">
        <f>WORLDCUP!AC31</f>
        <v>2</v>
      </c>
      <c r="E23" s="7">
        <f>WORLDCUP!AD31</f>
        <v>1</v>
      </c>
    </row>
    <row r="24" spans="1:5">
      <c r="A24" s="7">
        <v>23</v>
      </c>
      <c r="B24" s="608" t="str">
        <f ca="1">WORLDCUP!AA32</f>
        <v>Turquía</v>
      </c>
      <c r="C24" t="str">
        <f ca="1">WORLDCUP!AF32</f>
        <v>Estados Unidos</v>
      </c>
      <c r="D24" s="7">
        <f>WORLDCUP!AC32</f>
        <v>1</v>
      </c>
      <c r="E24" s="7">
        <f>WORLDCUP!AD32</f>
        <v>1</v>
      </c>
    </row>
    <row r="25" spans="1:5">
      <c r="A25" s="7">
        <v>24</v>
      </c>
      <c r="B25" s="608" t="str">
        <f ca="1">WORLDCUP!AA33</f>
        <v>Paraguay</v>
      </c>
      <c r="C25" t="str">
        <f ca="1">WORLDCUP!AF33</f>
        <v>Australia</v>
      </c>
      <c r="D25" s="7">
        <f>WORLDCUP!AC33</f>
        <v>1</v>
      </c>
      <c r="E25" s="7">
        <f>WORLDCUP!AD33</f>
        <v>3</v>
      </c>
    </row>
    <row r="26" spans="1:5">
      <c r="A26" s="7">
        <v>25</v>
      </c>
      <c r="B26" s="608" t="str">
        <f ca="1">WORLDCUP!AA36</f>
        <v>Alemania</v>
      </c>
      <c r="C26" t="str">
        <f ca="1">WORLDCUP!AF36</f>
        <v>Curazao</v>
      </c>
      <c r="D26" s="7">
        <f>WORLDCUP!AC36</f>
        <v>4</v>
      </c>
      <c r="E26" s="7">
        <f>WORLDCUP!AD36</f>
        <v>1</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2</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1</v>
      </c>
      <c r="E30" s="7">
        <f>WORLDCUP!AD40</f>
        <v>3</v>
      </c>
    </row>
    <row r="31" spans="1:5">
      <c r="A31" s="7">
        <v>30</v>
      </c>
      <c r="B31" s="608" t="str">
        <f ca="1">WORLDCUP!AA41</f>
        <v>Ecuador</v>
      </c>
      <c r="C31" t="str">
        <f ca="1">WORLDCUP!AF41</f>
        <v>Alemania</v>
      </c>
      <c r="D31" s="7">
        <f>WORLDCUP!AC41</f>
        <v>1</v>
      </c>
      <c r="E31" s="7">
        <f>WORLDCUP!AD41</f>
        <v>1</v>
      </c>
    </row>
    <row r="32" spans="1:5">
      <c r="A32" s="7">
        <v>31</v>
      </c>
      <c r="B32" s="608" t="str">
        <f ca="1">WORLDCUP!AA44</f>
        <v>Países Bajos</v>
      </c>
      <c r="C32" t="str">
        <f ca="1">WORLDCUP!AF44</f>
        <v>Japón</v>
      </c>
      <c r="D32" s="7">
        <f>WORLDCUP!AC44</f>
        <v>1</v>
      </c>
      <c r="E32" s="7">
        <f>WORLDCUP!AD44</f>
        <v>2</v>
      </c>
    </row>
    <row r="33" spans="1:5">
      <c r="A33" s="7">
        <v>32</v>
      </c>
      <c r="B33" s="608" t="str">
        <f ca="1">WORLDCUP!AA45</f>
        <v>Suecia</v>
      </c>
      <c r="C33" t="str">
        <f ca="1">WORLDCUP!AF45</f>
        <v>Túnez</v>
      </c>
      <c r="D33" s="7">
        <f>WORLDCUP!AC45</f>
        <v>1</v>
      </c>
      <c r="E33" s="7">
        <f>WORLDCUP!AD45</f>
        <v>1</v>
      </c>
    </row>
    <row r="34" spans="1:5">
      <c r="A34" s="7">
        <v>33</v>
      </c>
      <c r="B34" s="608" t="str">
        <f ca="1">WORLDCUP!AA46</f>
        <v>Países Bajos</v>
      </c>
      <c r="C34" t="str">
        <f ca="1">WORLDCUP!AF46</f>
        <v>Suecia</v>
      </c>
      <c r="D34" s="7">
        <f>WORLDCUP!AC46</f>
        <v>2</v>
      </c>
      <c r="E34" s="7">
        <f>WORLDCUP!AD46</f>
        <v>0</v>
      </c>
    </row>
    <row r="35" spans="1:5">
      <c r="A35" s="7">
        <v>34</v>
      </c>
      <c r="B35" s="608" t="str">
        <f ca="1">WORLDCUP!AA47</f>
        <v>Túnez</v>
      </c>
      <c r="C35" t="str">
        <f ca="1">WORLDCUP!AF47</f>
        <v>Japón</v>
      </c>
      <c r="D35" s="7">
        <f>WORLDCUP!AC47</f>
        <v>1</v>
      </c>
      <c r="E35" s="7">
        <f>WORLDCUP!AD47</f>
        <v>3</v>
      </c>
    </row>
    <row r="36" spans="1:5">
      <c r="A36" s="7">
        <v>35</v>
      </c>
      <c r="B36" s="608" t="str">
        <f ca="1">WORLDCUP!AA48</f>
        <v>Japón</v>
      </c>
      <c r="C36" t="str">
        <f ca="1">WORLDCUP!AF48</f>
        <v>Suecia</v>
      </c>
      <c r="D36" s="7">
        <f>WORLDCUP!AC48</f>
        <v>2</v>
      </c>
      <c r="E36" s="7">
        <f>WORLDCUP!AD48</f>
        <v>1</v>
      </c>
    </row>
    <row r="37" spans="1:5">
      <c r="A37" s="7">
        <v>36</v>
      </c>
      <c r="B37" s="608" t="str">
        <f ca="1">WORLDCUP!AA49</f>
        <v>Túnez</v>
      </c>
      <c r="C37" t="str">
        <f ca="1">WORLDCUP!AF49</f>
        <v>Países Bajos</v>
      </c>
      <c r="D37" s="7">
        <f>WORLDCUP!AC49</f>
        <v>1</v>
      </c>
      <c r="E37" s="7">
        <f>WORLDCUP!AD49</f>
        <v>2</v>
      </c>
    </row>
    <row r="38" spans="1:5">
      <c r="A38" s="7">
        <v>37</v>
      </c>
      <c r="B38" s="608" t="str">
        <f ca="1">WORLDCUP!AA52</f>
        <v>Bélgica</v>
      </c>
      <c r="C38" t="str">
        <f ca="1">WORLDCUP!AF52</f>
        <v>Egipto</v>
      </c>
      <c r="D38" s="7">
        <f>WORLDCUP!AC52</f>
        <v>3</v>
      </c>
      <c r="E38" s="7">
        <f>WORLDCUP!AD52</f>
        <v>0</v>
      </c>
    </row>
    <row r="39" spans="1:5">
      <c r="A39" s="7">
        <v>38</v>
      </c>
      <c r="B39" s="608" t="str">
        <f ca="1">WORLDCUP!AA53</f>
        <v>Irán</v>
      </c>
      <c r="C39" t="str">
        <f ca="1">WORLDCUP!AF53</f>
        <v>Nueva Zelanda</v>
      </c>
      <c r="D39" s="7">
        <f>WORLDCUP!AC53</f>
        <v>1</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0</v>
      </c>
      <c r="E41" s="7">
        <f>WORLDCUP!AD55</f>
        <v>1</v>
      </c>
    </row>
    <row r="42" spans="1:5">
      <c r="A42" s="7">
        <v>41</v>
      </c>
      <c r="B42" s="608" t="str">
        <f ca="1">WORLDCUP!AA56</f>
        <v>Egipto</v>
      </c>
      <c r="C42" t="str">
        <f ca="1">WORLDCUP!AF56</f>
        <v>Irán</v>
      </c>
      <c r="D42" s="7">
        <f>WORLDCUP!AC56</f>
        <v>1</v>
      </c>
      <c r="E42" s="7">
        <f>WORLDCUP!AD56</f>
        <v>0</v>
      </c>
    </row>
    <row r="43" spans="1:5">
      <c r="A43" s="7">
        <v>42</v>
      </c>
      <c r="B43" s="608" t="str">
        <f ca="1">WORLDCUP!AA57</f>
        <v>Nueva Zelanda</v>
      </c>
      <c r="C43" t="str">
        <f ca="1">WORLDCUP!AF57</f>
        <v>Bélgica</v>
      </c>
      <c r="D43" s="7">
        <f>WORLDCUP!AC57</f>
        <v>0</v>
      </c>
      <c r="E43" s="7">
        <f>WORLDCUP!AD57</f>
        <v>2</v>
      </c>
    </row>
    <row r="44" spans="1:5">
      <c r="A44" s="7">
        <v>43</v>
      </c>
      <c r="B44" s="608" t="str">
        <f ca="1">WORLDCUP!AA60</f>
        <v>España</v>
      </c>
      <c r="C44" t="str">
        <f ca="1">WORLDCUP!AF60</f>
        <v>Cabo Verde</v>
      </c>
      <c r="D44" s="7">
        <f>WORLDCUP!AC60</f>
        <v>2</v>
      </c>
      <c r="E44" s="7">
        <f>WORLDCUP!AD60</f>
        <v>0</v>
      </c>
    </row>
    <row r="45" spans="1:5">
      <c r="A45" s="7">
        <v>44</v>
      </c>
      <c r="B45" s="608" t="str">
        <f ca="1">WORLDCUP!AA61</f>
        <v>Arabia Saudita</v>
      </c>
      <c r="C45" t="str">
        <f ca="1">WORLDCUP!AF61</f>
        <v>Uruguay</v>
      </c>
      <c r="D45" s="7">
        <f>WORLDCUP!AC61</f>
        <v>0</v>
      </c>
      <c r="E45" s="7">
        <f>WORLDCUP!AD61</f>
        <v>3</v>
      </c>
    </row>
    <row r="46" spans="1:5">
      <c r="A46" s="7">
        <v>45</v>
      </c>
      <c r="B46" s="608" t="str">
        <f ca="1">WORLDCUP!AA62</f>
        <v>España</v>
      </c>
      <c r="C46" t="str">
        <f ca="1">WORLDCUP!AF62</f>
        <v>Arabia Saudita</v>
      </c>
      <c r="D46" s="7">
        <f>WORLDCUP!AC62</f>
        <v>3</v>
      </c>
      <c r="E46" s="7">
        <f>WORLDCUP!AD62</f>
        <v>0</v>
      </c>
    </row>
    <row r="47" spans="1:5">
      <c r="A47" s="7">
        <v>46</v>
      </c>
      <c r="B47" s="608" t="str">
        <f ca="1">WORLDCUP!AA63</f>
        <v>Uruguay</v>
      </c>
      <c r="C47" t="str">
        <f ca="1">WORLDCUP!AF63</f>
        <v>Cabo Verde</v>
      </c>
      <c r="D47" s="7">
        <f>WORLDCUP!AC63</f>
        <v>2</v>
      </c>
      <c r="E47" s="7">
        <f>WORLDCUP!AD63</f>
        <v>1</v>
      </c>
    </row>
    <row r="48" spans="1:5">
      <c r="A48" s="7">
        <v>47</v>
      </c>
      <c r="B48" s="608" t="str">
        <f ca="1">WORLDCUP!AA64</f>
        <v>Cabo Verde</v>
      </c>
      <c r="C48" t="str">
        <f ca="1">WORLDCUP!AF64</f>
        <v>Arabia Saudita</v>
      </c>
      <c r="D48" s="7">
        <f>WORLDCUP!AC64</f>
        <v>2</v>
      </c>
      <c r="E48" s="7">
        <f>WORLDCUP!AD64</f>
        <v>1</v>
      </c>
    </row>
    <row r="49" spans="1:5">
      <c r="A49" s="7">
        <v>48</v>
      </c>
      <c r="B49" s="608" t="str">
        <f ca="1">WORLDCUP!AA65</f>
        <v>Uruguay</v>
      </c>
      <c r="C49" t="str">
        <f ca="1">WORLDCUP!AF65</f>
        <v>España</v>
      </c>
      <c r="D49" s="7">
        <f>WORLDCUP!AC65</f>
        <v>2</v>
      </c>
      <c r="E49" s="7">
        <f>WORLDCUP!AD65</f>
        <v>1</v>
      </c>
    </row>
    <row r="50" spans="1:5">
      <c r="A50" s="7">
        <v>49</v>
      </c>
      <c r="B50" s="608" t="str">
        <f ca="1">WORLDCUP!AA68</f>
        <v>Francia</v>
      </c>
      <c r="C50" t="str">
        <f ca="1">WORLDCUP!AF68</f>
        <v>Senegal</v>
      </c>
      <c r="D50" s="7">
        <f>WORLDCUP!AC68</f>
        <v>3</v>
      </c>
      <c r="E50" s="7">
        <f>WORLDCUP!AD68</f>
        <v>1</v>
      </c>
    </row>
    <row r="51" spans="1:5">
      <c r="A51" s="7">
        <v>50</v>
      </c>
      <c r="B51" s="608" t="str">
        <f ca="1">WORLDCUP!AA69</f>
        <v>Irak</v>
      </c>
      <c r="C51" t="str">
        <f ca="1">WORLDCUP!AF69</f>
        <v>Noruega</v>
      </c>
      <c r="D51" s="7">
        <f>WORLDCUP!AC69</f>
        <v>1</v>
      </c>
      <c r="E51" s="7">
        <f>WORLDCUP!AD69</f>
        <v>2</v>
      </c>
    </row>
    <row r="52" spans="1:5">
      <c r="A52" s="7">
        <v>51</v>
      </c>
      <c r="B52" s="608" t="str">
        <f ca="1">WORLDCUP!AA70</f>
        <v>Francia</v>
      </c>
      <c r="C52" t="str">
        <f ca="1">WORLDCUP!AF70</f>
        <v>Irak</v>
      </c>
      <c r="D52" s="7">
        <f>WORLDCUP!AC70</f>
        <v>2</v>
      </c>
      <c r="E52" s="7">
        <f>WORLDCUP!AD70</f>
        <v>0</v>
      </c>
    </row>
    <row r="53" spans="1:5">
      <c r="A53" s="7">
        <v>52</v>
      </c>
      <c r="B53" s="608" t="str">
        <f ca="1">WORLDCUP!AA71</f>
        <v>Noruega</v>
      </c>
      <c r="C53" t="str">
        <f ca="1">WORLDCUP!AF71</f>
        <v>Senegal</v>
      </c>
      <c r="D53" s="7">
        <f>WORLDCUP!AC71</f>
        <v>0</v>
      </c>
      <c r="E53" s="7">
        <f>WORLDCUP!AD71</f>
        <v>1</v>
      </c>
    </row>
    <row r="54" spans="1:5">
      <c r="A54" s="7">
        <v>53</v>
      </c>
      <c r="B54" s="608" t="str">
        <f ca="1">WORLDCUP!AA72</f>
        <v>Noruega</v>
      </c>
      <c r="C54" t="str">
        <f ca="1">WORLDCUP!AF72</f>
        <v>Francia</v>
      </c>
      <c r="D54" s="7">
        <f>WORLDCUP!AC72</f>
        <v>0</v>
      </c>
      <c r="E54" s="7">
        <f>WORLDCUP!AD72</f>
        <v>2</v>
      </c>
    </row>
    <row r="55" spans="1:5">
      <c r="A55" s="7">
        <v>54</v>
      </c>
      <c r="B55" s="608" t="str">
        <f ca="1">WORLDCUP!AA73</f>
        <v>Senegal</v>
      </c>
      <c r="C55" t="str">
        <f ca="1">WORLDCUP!AF73</f>
        <v>Irak</v>
      </c>
      <c r="D55" s="7">
        <f>WORLDCUP!AC73</f>
        <v>1</v>
      </c>
      <c r="E55" s="7">
        <f>WORLDCUP!AD73</f>
        <v>0</v>
      </c>
    </row>
    <row r="56" spans="1:5">
      <c r="A56" s="7">
        <v>55</v>
      </c>
      <c r="B56" s="608" t="str">
        <f ca="1">WORLDCUP!AA76</f>
        <v>Argentina</v>
      </c>
      <c r="C56" t="str">
        <f ca="1">WORLDCUP!AF76</f>
        <v>Argelia</v>
      </c>
      <c r="D56" s="7">
        <f>WORLDCUP!AC76</f>
        <v>3</v>
      </c>
      <c r="E56" s="7">
        <f>WORLDCUP!AD76</f>
        <v>1</v>
      </c>
    </row>
    <row r="57" spans="1:5">
      <c r="A57" s="7">
        <v>56</v>
      </c>
      <c r="B57" s="608" t="str">
        <f ca="1">WORLDCUP!AA77</f>
        <v>Austria</v>
      </c>
      <c r="C57" t="str">
        <f ca="1">WORLDCUP!AF77</f>
        <v>Jordania</v>
      </c>
      <c r="D57" s="7">
        <f>WORLDCUP!AC77</f>
        <v>1</v>
      </c>
      <c r="E57" s="7">
        <f>WORLDCUP!AD77</f>
        <v>0</v>
      </c>
    </row>
    <row r="58" spans="1:5">
      <c r="A58" s="7">
        <v>57</v>
      </c>
      <c r="B58" s="608" t="str">
        <f ca="1">WORLDCUP!AA78</f>
        <v>Argentina</v>
      </c>
      <c r="C58" t="str">
        <f ca="1">WORLDCUP!AF78</f>
        <v>Austria</v>
      </c>
      <c r="D58" s="7">
        <f>WORLDCUP!AC78</f>
        <v>1</v>
      </c>
      <c r="E58" s="7">
        <f>WORLDCUP!AD78</f>
        <v>1</v>
      </c>
    </row>
    <row r="59" spans="1:5">
      <c r="A59" s="7">
        <v>58</v>
      </c>
      <c r="B59" s="608" t="str">
        <f ca="1">WORLDCUP!AA79</f>
        <v>Jordania</v>
      </c>
      <c r="C59" t="str">
        <f ca="1">WORLDCUP!AF79</f>
        <v>Argelia</v>
      </c>
      <c r="D59" s="7">
        <f>WORLDCUP!AC79</f>
        <v>1</v>
      </c>
      <c r="E59" s="7">
        <f>WORLDCUP!AD79</f>
        <v>2</v>
      </c>
    </row>
    <row r="60" spans="1:5">
      <c r="A60" s="7">
        <v>59</v>
      </c>
      <c r="B60" s="608" t="str">
        <f ca="1">WORLDCUP!AA80</f>
        <v>Argelia</v>
      </c>
      <c r="C60" t="str">
        <f ca="1">WORLDCUP!AF80</f>
        <v>Austria</v>
      </c>
      <c r="D60" s="7">
        <f>WORLDCUP!AC80</f>
        <v>0</v>
      </c>
      <c r="E60" s="7">
        <f>WORLDCUP!AD80</f>
        <v>1</v>
      </c>
    </row>
    <row r="61" spans="1:5">
      <c r="A61" s="7">
        <v>60</v>
      </c>
      <c r="B61" s="608" t="str">
        <f ca="1">WORLDCUP!AA81</f>
        <v>Jordania</v>
      </c>
      <c r="C61" t="str">
        <f ca="1">WORLDCUP!AF81</f>
        <v>Argentina</v>
      </c>
      <c r="D61" s="7">
        <f>WORLDCUP!AC81</f>
        <v>1</v>
      </c>
      <c r="E61" s="7">
        <f>WORLDCUP!AD81</f>
        <v>2</v>
      </c>
    </row>
    <row r="62" spans="1:5">
      <c r="A62" s="7">
        <v>61</v>
      </c>
      <c r="B62" s="608" t="str">
        <f ca="1">WORLDCUP!AA84</f>
        <v>Portugal</v>
      </c>
      <c r="C62" t="str">
        <f ca="1">WORLDCUP!AF84</f>
        <v>RD Congo</v>
      </c>
      <c r="D62" s="7">
        <f>WORLDCUP!AC84</f>
        <v>2</v>
      </c>
      <c r="E62" s="7">
        <f>WORLDCUP!AD84</f>
        <v>0</v>
      </c>
    </row>
    <row r="63" spans="1:5">
      <c r="A63" s="7">
        <v>62</v>
      </c>
      <c r="B63" s="608" t="str">
        <f ca="1">WORLDCUP!AA85</f>
        <v>Uzbekistán</v>
      </c>
      <c r="C63" t="str">
        <f ca="1">WORLDCUP!AF85</f>
        <v>Colombia</v>
      </c>
      <c r="D63" s="7">
        <f>WORLDCUP!AC85</f>
        <v>0</v>
      </c>
      <c r="E63" s="7">
        <f>WORLDCUP!AD85</f>
        <v>3</v>
      </c>
    </row>
    <row r="64" spans="1:5">
      <c r="A64" s="7">
        <v>63</v>
      </c>
      <c r="B64" s="608" t="str">
        <f ca="1">WORLDCUP!AA86</f>
        <v>Portugal</v>
      </c>
      <c r="C64" t="str">
        <f ca="1">WORLDCUP!AF86</f>
        <v>Uzbekistán</v>
      </c>
      <c r="D64" s="7">
        <f>WORLDCUP!AC86</f>
        <v>3</v>
      </c>
      <c r="E64" s="7">
        <f>WORLDCUP!AD86</f>
        <v>0</v>
      </c>
    </row>
    <row r="65" spans="1:5">
      <c r="A65" s="7">
        <v>64</v>
      </c>
      <c r="B65" s="608" t="str">
        <f ca="1">WORLDCUP!AA87</f>
        <v>Colombia</v>
      </c>
      <c r="C65" t="str">
        <f ca="1">WORLDCUP!AF87</f>
        <v>RD Congo</v>
      </c>
      <c r="D65" s="7">
        <f>WORLDCUP!AC87</f>
        <v>2</v>
      </c>
      <c r="E65" s="7">
        <f>WORLDCUP!AD87</f>
        <v>1</v>
      </c>
    </row>
    <row r="66" spans="1:5">
      <c r="A66" s="7">
        <v>65</v>
      </c>
      <c r="B66" s="608" t="str">
        <f ca="1">WORLDCUP!AA88</f>
        <v>Colombia</v>
      </c>
      <c r="C66" t="str">
        <f ca="1">WORLDCUP!AF88</f>
        <v>Portugal</v>
      </c>
      <c r="D66" s="7">
        <f>WORLDCUP!AC88</f>
        <v>0</v>
      </c>
      <c r="E66" s="7">
        <f>WORLDCUP!AD88</f>
        <v>1</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3</v>
      </c>
      <c r="E68" s="7">
        <f>WORLDCUP!AD92</f>
        <v>2</v>
      </c>
    </row>
    <row r="69" spans="1:5">
      <c r="A69" s="7">
        <v>68</v>
      </c>
      <c r="B69" s="608" t="str">
        <f ca="1">WORLDCUP!AA93</f>
        <v>Ghana</v>
      </c>
      <c r="C69" t="str">
        <f ca="1">WORLDCUP!AF93</f>
        <v>Panamá</v>
      </c>
      <c r="D69" s="7">
        <f>WORLDCUP!AC93</f>
        <v>1</v>
      </c>
      <c r="E69" s="7">
        <f>WORLDCUP!AD93</f>
        <v>0</v>
      </c>
    </row>
    <row r="70" spans="1:5">
      <c r="A70" s="7">
        <v>69</v>
      </c>
      <c r="B70" s="608" t="str">
        <f ca="1">WORLDCUP!AA94</f>
        <v>Inglaterra</v>
      </c>
      <c r="C70" t="str">
        <f ca="1">WORLDCUP!AF94</f>
        <v>Ghana</v>
      </c>
      <c r="D70" s="7">
        <f>WORLDCUP!AC94</f>
        <v>2</v>
      </c>
      <c r="E70" s="7">
        <f>WORLDCUP!AD94</f>
        <v>1</v>
      </c>
    </row>
    <row r="71" spans="1:5">
      <c r="A71" s="7">
        <v>70</v>
      </c>
      <c r="B71" s="608" t="str">
        <f ca="1">WORLDCUP!AA95</f>
        <v>Panamá</v>
      </c>
      <c r="C71" t="str">
        <f ca="1">WORLDCUP!AF95</f>
        <v>Croacia</v>
      </c>
      <c r="D71" s="7">
        <f>WORLDCUP!AC95</f>
        <v>1</v>
      </c>
      <c r="E71" s="7">
        <f>WORLDCUP!AD95</f>
        <v>2</v>
      </c>
    </row>
    <row r="72" spans="1:5">
      <c r="A72" s="7">
        <v>71</v>
      </c>
      <c r="B72" s="608" t="str">
        <f ca="1">WORLDCUP!AA96</f>
        <v>Panamá</v>
      </c>
      <c r="C72" t="str">
        <f ca="1">WORLDCUP!AF96</f>
        <v>Inglaterra</v>
      </c>
      <c r="D72" s="7">
        <f>WORLDCUP!AC96</f>
        <v>1</v>
      </c>
      <c r="E72" s="7">
        <f>WORLDCUP!AD96</f>
        <v>2</v>
      </c>
    </row>
    <row r="73" spans="1:5">
      <c r="A73" s="7">
        <v>72</v>
      </c>
      <c r="B73" s="608" t="str">
        <f ca="1">WORLDCUP!AA97</f>
        <v>Croacia</v>
      </c>
      <c r="C73" t="str">
        <f ca="1">WORLDCUP!AF97</f>
        <v>Ghana</v>
      </c>
      <c r="D73" s="7">
        <f>WORLDCUP!AC97</f>
        <v>1</v>
      </c>
      <c r="E73" s="7">
        <f>WORLDCUP!AD97</f>
        <v>1</v>
      </c>
    </row>
    <row r="74" spans="1:5">
      <c r="A74" s="7">
        <v>73</v>
      </c>
      <c r="B74" s="608" t="str">
        <f ca="1">WORLDCUP!AA101</f>
        <v>República Checa</v>
      </c>
      <c r="C74" t="str">
        <f ca="1">WORLDCUP!AF101</f>
        <v>Canadá</v>
      </c>
      <c r="D74" s="7">
        <f>WORLDCUP!AC101</f>
        <v>1</v>
      </c>
      <c r="E74" s="7">
        <f>WORLDCUP!AD101</f>
        <v>2</v>
      </c>
    </row>
    <row r="75" spans="1:5">
      <c r="A75" s="7">
        <v>74</v>
      </c>
      <c r="B75" s="608" t="str">
        <f ca="1">WORLDCUP!AA102</f>
        <v>Brasil</v>
      </c>
      <c r="C75" t="str">
        <f ca="1">WORLDCUP!AF102</f>
        <v>Países Bajos</v>
      </c>
      <c r="D75" s="7">
        <f>WORLDCUP!AC102</f>
        <v>1</v>
      </c>
      <c r="E75" s="7">
        <f>WORLDCUP!AD102</f>
        <v>0</v>
      </c>
    </row>
    <row r="76" spans="1:5">
      <c r="A76" s="7">
        <v>75</v>
      </c>
      <c r="B76" s="608" t="str">
        <f ca="1">WORLDCUP!AA103</f>
        <v>Alemania</v>
      </c>
      <c r="C76" t="str">
        <f ca="1">WORLDCUP!AF103</f>
        <v>Escocia</v>
      </c>
      <c r="D76" s="7">
        <f>WORLDCUP!AC103</f>
        <v>3</v>
      </c>
      <c r="E76" s="7">
        <f>WORLDCUP!AD103</f>
        <v>1</v>
      </c>
    </row>
    <row r="77" spans="1:5">
      <c r="A77" s="7">
        <v>76</v>
      </c>
      <c r="B77" s="608" t="str">
        <f ca="1">WORLDCUP!AA104</f>
        <v>Japón</v>
      </c>
      <c r="C77" t="str">
        <f ca="1">WORLDCUP!AF104</f>
        <v>Marruecos</v>
      </c>
      <c r="D77" s="7">
        <f>WORLDCUP!AC104</f>
        <v>1</v>
      </c>
      <c r="E77" s="7">
        <f>WORLDCUP!AD104</f>
        <v>2</v>
      </c>
    </row>
    <row r="78" spans="1:5">
      <c r="A78" s="7">
        <v>77</v>
      </c>
      <c r="B78" s="608" t="str">
        <f ca="1">WORLDCUP!AA105</f>
        <v>Ecuador</v>
      </c>
      <c r="C78" t="str">
        <f ca="1">WORLDCUP!AF105</f>
        <v>Senegal</v>
      </c>
      <c r="D78" s="7">
        <f>WORLDCUP!AC105</f>
        <v>1</v>
      </c>
      <c r="E78" s="7">
        <f>WORLDCUP!AD105</f>
        <v>1</v>
      </c>
    </row>
    <row r="79" spans="1:5">
      <c r="A79" s="7">
        <v>78</v>
      </c>
      <c r="B79" s="608" t="str">
        <f ca="1">WORLDCUP!AA106</f>
        <v>Francia</v>
      </c>
      <c r="C79" t="str">
        <f ca="1">WORLDCUP!AF106</f>
        <v>Estados Unidos</v>
      </c>
      <c r="D79" s="7">
        <f>WORLDCUP!AC106</f>
        <v>3</v>
      </c>
      <c r="E79" s="7">
        <f>WORLDCUP!AD106</f>
        <v>1</v>
      </c>
    </row>
    <row r="80" spans="1:5">
      <c r="A80" s="7">
        <v>79</v>
      </c>
      <c r="B80" s="608" t="str">
        <f ca="1">WORLDCUP!AA107</f>
        <v>México</v>
      </c>
      <c r="C80" t="str">
        <f ca="1">WORLDCUP!AF107</f>
        <v>Cabo Verde</v>
      </c>
      <c r="D80" s="7">
        <f>WORLDCUP!AC107</f>
        <v>2</v>
      </c>
      <c r="E80" s="7">
        <f>WORLDCUP!AD107</f>
        <v>1</v>
      </c>
    </row>
    <row r="81" spans="1:5">
      <c r="A81" s="7">
        <v>80</v>
      </c>
      <c r="B81" s="608" t="str">
        <f ca="1">WORLDCUP!AA108</f>
        <v>Inglaterra</v>
      </c>
      <c r="C81" t="str">
        <f ca="1">WORLDCUP!AF108</f>
        <v>Costa de Marfil</v>
      </c>
      <c r="D81" s="7">
        <f>WORLDCUP!AC108</f>
        <v>1</v>
      </c>
      <c r="E81" s="7">
        <f>WORLDCUP!AD108</f>
        <v>0</v>
      </c>
    </row>
    <row r="82" spans="1:5">
      <c r="A82" s="7">
        <v>81</v>
      </c>
      <c r="B82" s="608" t="str">
        <f ca="1">WORLDCUP!AA109</f>
        <v>Bélgica</v>
      </c>
      <c r="C82" t="str">
        <f ca="1">WORLDCUP!AF109</f>
        <v>Sudáfrica</v>
      </c>
      <c r="D82" s="7">
        <f>WORLDCUP!AC109</f>
        <v>3</v>
      </c>
      <c r="E82" s="7">
        <f>WORLDCUP!AD109</f>
        <v>0</v>
      </c>
    </row>
    <row r="83" spans="1:5">
      <c r="A83" s="7">
        <v>82</v>
      </c>
      <c r="B83" s="608" t="str">
        <f ca="1">WORLDCUP!AA110</f>
        <v>Turquía</v>
      </c>
      <c r="C83" t="str">
        <f ca="1">WORLDCUP!AF110</f>
        <v>Bosnia y Herzegovina</v>
      </c>
      <c r="D83" s="7">
        <f>WORLDCUP!AC110</f>
        <v>2</v>
      </c>
      <c r="E83" s="7">
        <f>WORLDCUP!AD110</f>
        <v>0</v>
      </c>
    </row>
    <row r="84" spans="1:5">
      <c r="A84" s="7">
        <v>83</v>
      </c>
      <c r="B84" s="608" t="str">
        <f ca="1">WORLDCUP!AA111</f>
        <v>Uruguay</v>
      </c>
      <c r="C84" t="str">
        <f ca="1">WORLDCUP!AF111</f>
        <v>Austria</v>
      </c>
      <c r="D84" s="7">
        <f>WORLDCUP!AC111</f>
        <v>2</v>
      </c>
      <c r="E84" s="7">
        <f>WORLDCUP!AD111</f>
        <v>1</v>
      </c>
    </row>
    <row r="85" spans="1:5">
      <c r="A85" s="7">
        <v>84</v>
      </c>
      <c r="B85" s="608" t="str">
        <f ca="1">WORLDCUP!AA112</f>
        <v>Colombia</v>
      </c>
      <c r="C85" t="str">
        <f ca="1">WORLDCUP!AF112</f>
        <v>Croacia</v>
      </c>
      <c r="D85" s="7">
        <f>WORLDCUP!AC112</f>
        <v>1</v>
      </c>
      <c r="E85" s="7">
        <f>WORLDCUP!AD112</f>
        <v>0</v>
      </c>
    </row>
    <row r="86" spans="1:5">
      <c r="A86" s="7">
        <v>85</v>
      </c>
      <c r="B86" s="608" t="str">
        <f ca="1">WORLDCUP!AA113</f>
        <v>Suiza</v>
      </c>
      <c r="C86" t="str">
        <f ca="1">WORLDCUP!AF113</f>
        <v>Argelia</v>
      </c>
      <c r="D86" s="7">
        <f>WORLDCUP!AC113</f>
        <v>1</v>
      </c>
      <c r="E86" s="7">
        <f>WORLDCUP!AD113</f>
        <v>0</v>
      </c>
    </row>
    <row r="87" spans="1:5">
      <c r="A87" s="7">
        <v>86</v>
      </c>
      <c r="B87" s="608" t="str">
        <f ca="1">WORLDCUP!AA114</f>
        <v>Australia</v>
      </c>
      <c r="C87" t="str">
        <f ca="1">WORLDCUP!AF114</f>
        <v>Egipto</v>
      </c>
      <c r="D87" s="7">
        <f>WORLDCUP!AC114</f>
        <v>0</v>
      </c>
      <c r="E87" s="7">
        <f>WORLDCUP!AD114</f>
        <v>2</v>
      </c>
    </row>
    <row r="88" spans="1:5">
      <c r="A88" s="7">
        <v>87</v>
      </c>
      <c r="B88" s="608" t="str">
        <f ca="1">WORLDCUP!AA115</f>
        <v>Argentina</v>
      </c>
      <c r="C88" t="str">
        <f ca="1">WORLDCUP!AF115</f>
        <v>España</v>
      </c>
      <c r="D88" s="7">
        <f>WORLDCUP!AC115</f>
        <v>1</v>
      </c>
      <c r="E88" s="7">
        <f>WORLDCUP!AD115</f>
        <v>2</v>
      </c>
    </row>
    <row r="89" spans="1:5">
      <c r="A89" s="7">
        <v>88</v>
      </c>
      <c r="B89" s="608" t="str">
        <f ca="1">WORLDCUP!AA116</f>
        <v>Portugal</v>
      </c>
      <c r="C89" t="str">
        <f ca="1">WORLDCUP!AF116</f>
        <v>Ghana</v>
      </c>
      <c r="D89" s="7">
        <f>WORLDCUP!AC116</f>
        <v>3</v>
      </c>
      <c r="E89" s="7">
        <f>WORLDCUP!AD116</f>
        <v>1</v>
      </c>
    </row>
    <row r="90" spans="1:5">
      <c r="A90" s="7">
        <v>89</v>
      </c>
      <c r="B90" s="608" t="str">
        <f ca="1">WORLDCUP!AA120</f>
        <v>Canadá</v>
      </c>
      <c r="C90" t="str">
        <f ca="1">WORLDCUP!AF120</f>
        <v>Marruecos</v>
      </c>
      <c r="D90" s="7">
        <f>WORLDCUP!AC120</f>
        <v>1</v>
      </c>
      <c r="E90" s="7">
        <f>WORLDCUP!AD120</f>
        <v>3</v>
      </c>
    </row>
    <row r="91" spans="1:5">
      <c r="A91" s="7">
        <v>90</v>
      </c>
      <c r="B91" s="608" t="str">
        <f ca="1">WORLDCUP!AA121</f>
        <v>Alemania</v>
      </c>
      <c r="C91" t="str">
        <f ca="1">WORLDCUP!AF121</f>
        <v>Francia</v>
      </c>
      <c r="D91" s="7">
        <f>WORLDCUP!AC121</f>
        <v>2</v>
      </c>
      <c r="E91" s="7">
        <f>WORLDCUP!AD121</f>
        <v>2</v>
      </c>
    </row>
    <row r="92" spans="1:5">
      <c r="A92" s="7">
        <v>91</v>
      </c>
      <c r="B92" s="608" t="str">
        <f ca="1">WORLDCUP!AA122</f>
        <v>Brasil</v>
      </c>
      <c r="C92" t="str">
        <f ca="1">WORLDCUP!AF122</f>
        <v>Ecuador</v>
      </c>
      <c r="D92" s="7">
        <f>WORLDCUP!AC122</f>
        <v>3</v>
      </c>
      <c r="E92" s="7">
        <f>WORLDCUP!AD122</f>
        <v>1</v>
      </c>
    </row>
    <row r="93" spans="1:5">
      <c r="A93" s="7">
        <v>92</v>
      </c>
      <c r="B93" s="608" t="str">
        <f ca="1">WORLDCUP!AA123</f>
        <v>México</v>
      </c>
      <c r="C93" t="str">
        <f ca="1">WORLDCUP!AF123</f>
        <v>Inglaterra</v>
      </c>
      <c r="D93" s="7">
        <f>WORLDCUP!AC123</f>
        <v>1</v>
      </c>
      <c r="E93" s="7">
        <f>WORLDCUP!AD123</f>
        <v>2</v>
      </c>
    </row>
    <row r="94" spans="1:5">
      <c r="A94" s="7">
        <v>93</v>
      </c>
      <c r="B94" s="608" t="str">
        <f ca="1">WORLDCUP!AA124</f>
        <v>Colombia</v>
      </c>
      <c r="C94" t="str">
        <f ca="1">WORLDCUP!AF124</f>
        <v>Uruguay</v>
      </c>
      <c r="D94" s="7">
        <f>WORLDCUP!AC124</f>
        <v>0</v>
      </c>
      <c r="E94" s="7">
        <f>WORLDCUP!AD124</f>
        <v>0</v>
      </c>
    </row>
    <row r="95" spans="1:5">
      <c r="A95" s="7">
        <v>94</v>
      </c>
      <c r="B95" s="608" t="str">
        <f ca="1">WORLDCUP!AA125</f>
        <v>Turquía</v>
      </c>
      <c r="C95" t="str">
        <f ca="1">WORLDCUP!AF125</f>
        <v>Bélgica</v>
      </c>
      <c r="D95" s="7">
        <f>WORLDCUP!AC125</f>
        <v>1</v>
      </c>
      <c r="E95" s="7">
        <f>WORLDCUP!AD125</f>
        <v>2</v>
      </c>
    </row>
    <row r="96" spans="1:5">
      <c r="A96" s="7">
        <v>95</v>
      </c>
      <c r="B96" s="608" t="str">
        <f ca="1">WORLDCUP!AA126</f>
        <v>España</v>
      </c>
      <c r="C96" t="str">
        <f ca="1">WORLDCUP!AF126</f>
        <v>Egipto</v>
      </c>
      <c r="D96" s="7">
        <f>WORLDCUP!AC126</f>
        <v>2</v>
      </c>
      <c r="E96" s="7">
        <f>WORLDCUP!AD126</f>
        <v>1</v>
      </c>
    </row>
    <row r="97" spans="1:7">
      <c r="A97" s="7">
        <v>96</v>
      </c>
      <c r="B97" s="608" t="str">
        <f ca="1">WORLDCUP!AA127</f>
        <v>Suiza</v>
      </c>
      <c r="C97" t="str">
        <f ca="1">WORLDCUP!AF127</f>
        <v>Portugal</v>
      </c>
      <c r="D97" s="7">
        <f>WORLDCUP!AC127</f>
        <v>1</v>
      </c>
      <c r="E97" s="7">
        <f>WORLDCUP!AD127</f>
        <v>3</v>
      </c>
    </row>
    <row r="98" spans="1:7">
      <c r="A98" s="7">
        <v>97</v>
      </c>
      <c r="B98" s="608" t="str">
        <f ca="1">WORLDCUP!AA131</f>
        <v>Alemania</v>
      </c>
      <c r="C98" t="str">
        <f ca="1">WORLDCUP!AF131</f>
        <v>Marruecos</v>
      </c>
      <c r="D98" s="7">
        <f>WORLDCUP!AC131</f>
        <v>2</v>
      </c>
      <c r="E98" s="7">
        <f>WORLDCUP!AD131</f>
        <v>1</v>
      </c>
    </row>
    <row r="99" spans="1:7">
      <c r="A99" s="7">
        <v>98</v>
      </c>
      <c r="B99" s="608" t="str">
        <f ca="1">WORLDCUP!AA132</f>
        <v>Colombia</v>
      </c>
      <c r="C99" t="str">
        <f ca="1">WORLDCUP!AF132</f>
        <v>Bélgica</v>
      </c>
      <c r="D99" s="7">
        <f>WORLDCUP!AC132</f>
        <v>1</v>
      </c>
      <c r="E99" s="7">
        <f>WORLDCUP!AD132</f>
        <v>0</v>
      </c>
    </row>
    <row r="100" spans="1:7">
      <c r="A100" s="7">
        <v>99</v>
      </c>
      <c r="B100" s="608" t="str">
        <f ca="1">WORLDCUP!AA133</f>
        <v>Brasil</v>
      </c>
      <c r="C100" t="str">
        <f ca="1">WORLDCUP!AF133</f>
        <v>Inglaterra</v>
      </c>
      <c r="D100" s="7">
        <f>WORLDCUP!AC133</f>
        <v>1</v>
      </c>
      <c r="E100" s="7">
        <f>WORLDCUP!AD133</f>
        <v>2</v>
      </c>
    </row>
    <row r="101" spans="1:7">
      <c r="A101" s="7">
        <v>100</v>
      </c>
      <c r="B101" s="608" t="str">
        <f ca="1">WORLDCUP!AA134</f>
        <v>España</v>
      </c>
      <c r="C101" t="str">
        <f ca="1">WORLDCUP!AF134</f>
        <v>Portugal</v>
      </c>
      <c r="D101" s="7">
        <f>WORLDCUP!AC134</f>
        <v>1</v>
      </c>
      <c r="E101" s="7">
        <f>WORLDCUP!AD134</f>
        <v>3</v>
      </c>
    </row>
    <row r="102" spans="1:7">
      <c r="A102" s="7">
        <v>101</v>
      </c>
      <c r="B102" s="608" t="str">
        <f ca="1">WORLDCUP!AA138</f>
        <v>Alemania</v>
      </c>
      <c r="C102" t="str">
        <f ca="1">WORLDCUP!AF138</f>
        <v>Colombia</v>
      </c>
      <c r="D102" s="7">
        <f>WORLDCUP!AC138</f>
        <v>2</v>
      </c>
      <c r="E102" s="7">
        <f>WORLDCUP!AD138</f>
        <v>1</v>
      </c>
    </row>
    <row r="103" spans="1:7">
      <c r="A103" s="7">
        <v>102</v>
      </c>
      <c r="B103" s="608" t="str">
        <f ca="1">WORLDCUP!AA139</f>
        <v>Inglaterra</v>
      </c>
      <c r="C103" t="str">
        <f ca="1">WORLDCUP!AF139</f>
        <v>Portugal</v>
      </c>
      <c r="D103" s="7">
        <f>WORLDCUP!AC139</f>
        <v>1</v>
      </c>
      <c r="E103" s="7">
        <f>WORLDCUP!AD139</f>
        <v>1</v>
      </c>
    </row>
    <row r="104" spans="1:7">
      <c r="A104" s="7">
        <v>103</v>
      </c>
      <c r="B104" s="608" t="str">
        <f ca="1">WORLDCUP!AA143</f>
        <v>Colombia</v>
      </c>
      <c r="C104" t="str">
        <f ca="1">WORLDCUP!AF143</f>
        <v>Inglaterra</v>
      </c>
      <c r="D104" s="7">
        <f>WORLDCUP!AC143</f>
        <v>0</v>
      </c>
      <c r="E104" s="7">
        <f>WORLDCUP!AD143</f>
        <v>1</v>
      </c>
    </row>
    <row r="105" spans="1:7">
      <c r="A105" s="7">
        <v>104</v>
      </c>
      <c r="B105" s="608" t="str">
        <f ca="1">WORLDCUP!AA147</f>
        <v>Alemania</v>
      </c>
      <c r="C105" t="str">
        <f ca="1">WORLDCUP!AF147</f>
        <v>Portugal</v>
      </c>
      <c r="D105" s="7">
        <f>WORLDCUP!AC147</f>
        <v>0</v>
      </c>
      <c r="E105" s="7">
        <f>WORLDCUP!AD147</f>
        <v>1</v>
      </c>
    </row>
    <row r="106" spans="1:7">
      <c r="B106" s="608"/>
    </row>
    <row r="107" spans="1:7">
      <c r="B107" s="608"/>
    </row>
    <row r="108" spans="1:7">
      <c r="B108" s="608"/>
    </row>
    <row r="109" spans="1:7">
      <c r="A109" s="7">
        <v>988</v>
      </c>
      <c r="B109" s="608"/>
      <c r="F109" t="s">
        <v>1518</v>
      </c>
      <c r="G109" t="str">
        <f>WORLDCUP!AA154</f>
        <v>Havertz</v>
      </c>
    </row>
    <row r="110" spans="1:7">
      <c r="A110" s="7">
        <v>999</v>
      </c>
      <c r="F110" t="s">
        <v>1519</v>
      </c>
      <c r="G110" t="str">
        <f>WORLDCUP!AA156</f>
        <v>Vitinha</v>
      </c>
    </row>
    <row r="114" spans="1:4">
      <c r="A114" s="7">
        <v>1000</v>
      </c>
      <c r="B114" t="s">
        <v>1521</v>
      </c>
      <c r="C114" s="7">
        <v>1</v>
      </c>
      <c r="D114" t="str">
        <f ca="1">WORLDCUP!AL6</f>
        <v>México</v>
      </c>
    </row>
    <row r="115" spans="1:4">
      <c r="A115" s="7">
        <v>1001</v>
      </c>
      <c r="B115" t="s">
        <v>1521</v>
      </c>
      <c r="C115" s="7">
        <v>2</v>
      </c>
      <c r="D115" t="str">
        <f ca="1">WORLDCUP!AL7</f>
        <v>República Checa</v>
      </c>
    </row>
    <row r="116" spans="1:4">
      <c r="A116" s="7">
        <v>1002</v>
      </c>
      <c r="B116" t="s">
        <v>1521</v>
      </c>
      <c r="C116" s="7">
        <v>3</v>
      </c>
      <c r="D116" t="str">
        <f ca="1">WORLDCUP!AL8</f>
        <v>Sudáfrica</v>
      </c>
    </row>
    <row r="117" spans="1:4">
      <c r="A117" s="7">
        <v>1003</v>
      </c>
      <c r="B117" t="s">
        <v>1521</v>
      </c>
      <c r="C117" s="7">
        <v>4</v>
      </c>
      <c r="D117" t="str">
        <f ca="1">WORLDCUP!AL9</f>
        <v>Corea del Sur</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Australia</v>
      </c>
    </row>
    <row r="128" spans="1:4">
      <c r="A128" s="7">
        <v>1014</v>
      </c>
      <c r="B128" t="s">
        <v>1524</v>
      </c>
      <c r="C128" s="7">
        <v>3</v>
      </c>
      <c r="D128" t="str">
        <f ca="1">WORLDCUP!AL32</f>
        <v>Estados Unidos</v>
      </c>
    </row>
    <row r="129" spans="1:4">
      <c r="A129" s="7">
        <v>1015</v>
      </c>
      <c r="B129" t="s">
        <v>1524</v>
      </c>
      <c r="C129" s="7">
        <v>4</v>
      </c>
      <c r="D129" t="str">
        <f ca="1">WORLDCUP!AL33</f>
        <v>Paraguay</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Japón</v>
      </c>
    </row>
    <row r="135" spans="1:4">
      <c r="A135" s="7">
        <v>1021</v>
      </c>
      <c r="B135" t="s">
        <v>1526</v>
      </c>
      <c r="C135" s="7">
        <v>2</v>
      </c>
      <c r="D135" t="str">
        <f ca="1">WORLDCUP!AL47</f>
        <v>Países Bajos</v>
      </c>
    </row>
    <row r="136" spans="1:4">
      <c r="A136" s="7">
        <v>1022</v>
      </c>
      <c r="B136" t="s">
        <v>1526</v>
      </c>
      <c r="C136" s="7">
        <v>3</v>
      </c>
      <c r="D136" t="str">
        <f ca="1">WORLDCUP!AL48</f>
        <v>Túnez</v>
      </c>
    </row>
    <row r="137" spans="1:4">
      <c r="A137" s="7">
        <v>1023</v>
      </c>
      <c r="B137" t="s">
        <v>1526</v>
      </c>
      <c r="C137" s="7">
        <v>4</v>
      </c>
      <c r="D137" t="str">
        <f ca="1">WORLDCUP!AL49</f>
        <v>Suecia</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Uruguay</v>
      </c>
    </row>
    <row r="143" spans="1:4">
      <c r="A143" s="7">
        <v>1029</v>
      </c>
      <c r="B143" t="s">
        <v>1528</v>
      </c>
      <c r="C143" s="7">
        <v>2</v>
      </c>
      <c r="D143" t="str">
        <f ca="1">WORLDCUP!AL63</f>
        <v>España</v>
      </c>
    </row>
    <row r="144" spans="1:4">
      <c r="A144" s="7">
        <v>1030</v>
      </c>
      <c r="B144" t="s">
        <v>1528</v>
      </c>
      <c r="C144" s="7">
        <v>3</v>
      </c>
      <c r="D144" t="str">
        <f ca="1">WORLDCUP!AL64</f>
        <v>Cabo Verde</v>
      </c>
    </row>
    <row r="145" spans="1:4">
      <c r="A145" s="7">
        <v>1031</v>
      </c>
      <c r="B145" t="s">
        <v>1528</v>
      </c>
      <c r="C145" s="7">
        <v>4</v>
      </c>
      <c r="D145" t="str">
        <f ca="1">WORLDCUP!AL65</f>
        <v>Arabia Saudita</v>
      </c>
    </row>
    <row r="146" spans="1:4">
      <c r="A146" s="7">
        <v>1032</v>
      </c>
      <c r="B146" t="s">
        <v>1529</v>
      </c>
      <c r="C146" s="7">
        <v>1</v>
      </c>
      <c r="D146" t="str">
        <f ca="1">WORLDCUP!AL70</f>
        <v>Francia</v>
      </c>
    </row>
    <row r="147" spans="1:4">
      <c r="A147" s="7">
        <v>1033</v>
      </c>
      <c r="B147" t="s">
        <v>1529</v>
      </c>
      <c r="C147" s="7">
        <v>2</v>
      </c>
      <c r="D147" t="str">
        <f ca="1">WORLDCUP!AL71</f>
        <v>Senegal</v>
      </c>
    </row>
    <row r="148" spans="1:4">
      <c r="A148" s="7">
        <v>1034</v>
      </c>
      <c r="B148" t="s">
        <v>1529</v>
      </c>
      <c r="C148" s="7">
        <v>3</v>
      </c>
      <c r="D148" t="str">
        <f ca="1">WORLDCUP!AL72</f>
        <v>Noruega</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5"/>
  <cols>
    <col min="1" max="1" width="10.81640625" style="13" customWidth="1"/>
    <col min="2" max="2" width="29.453125" customWidth="1"/>
    <col min="3" max="3" width="35" customWidth="1"/>
    <col min="4" max="4" width="12.6328125" style="352" customWidth="1"/>
    <col min="5" max="8" width="10.81640625" style="352" customWidth="1"/>
    <col min="9" max="9" width="3.08984375" style="352" customWidth="1"/>
    <col min="10" max="12" width="10.81640625" style="352" customWidth="1"/>
    <col min="13" max="13" width="3.6328125" style="352" customWidth="1"/>
    <col min="14" max="14" width="4.6328125" style="352" customWidth="1"/>
    <col min="15" max="15" width="4" customWidth="1"/>
    <col min="16" max="16" width="4.81640625" customWidth="1"/>
    <col min="17" max="16384" width="10.81640625" style="1" hidden="1"/>
  </cols>
  <sheetData>
    <row r="1" spans="1:14" ht="20" customHeight="1">
      <c r="A1" s="276"/>
      <c r="B1" s="277"/>
      <c r="C1" s="305" t="str">
        <f>Idiomas!D102</f>
        <v>Para el administrador de la porra</v>
      </c>
      <c r="D1" s="350"/>
      <c r="E1" s="676" t="str">
        <f>Idiomas!D106</f>
        <v>EL ADMINISTRADOR DE LA PORRA SEGUIRÁ LAS INSTRUCCIONES DE AQUÍ ABAJO</v>
      </c>
      <c r="F1" s="676"/>
      <c r="G1" s="676"/>
      <c r="H1" s="676"/>
      <c r="I1" s="676"/>
      <c r="J1" s="676"/>
      <c r="K1" s="676"/>
      <c r="L1" s="676"/>
      <c r="M1" s="676"/>
      <c r="N1" s="676"/>
    </row>
    <row r="2" spans="1:14" ht="20" customHeight="1" thickBot="1">
      <c r="A2" s="274"/>
      <c r="B2" s="275"/>
      <c r="C2" s="275"/>
      <c r="D2" s="351"/>
      <c r="E2" s="676"/>
      <c r="F2" s="676"/>
      <c r="G2" s="676"/>
      <c r="H2" s="676"/>
      <c r="I2" s="676"/>
      <c r="J2" s="676"/>
      <c r="K2" s="676"/>
      <c r="L2" s="676"/>
      <c r="M2" s="676"/>
      <c r="N2" s="676"/>
    </row>
    <row r="3" spans="1:14" ht="35" customHeight="1" thickBot="1">
      <c r="A3" s="274"/>
      <c r="B3" s="278" t="str">
        <f>HYPERLINK(Idiomas!D10,Idiomas!D9)</f>
        <v>▼ Descargar Excel Administrador Porra ▼</v>
      </c>
      <c r="C3" s="275"/>
      <c r="D3" s="351"/>
      <c r="E3" s="679" t="str">
        <f>Idiomas!D107</f>
        <v>·Si haceis todo el Mundial de golpe, incluido el predictor, copiar de la C5 a la C258 y pegar valores en la plantilla de Administrador.</v>
      </c>
      <c r="F3" s="679"/>
      <c r="G3" s="679"/>
      <c r="H3" s="679"/>
      <c r="I3" s="679"/>
      <c r="J3" s="679"/>
      <c r="K3" s="679"/>
      <c r="L3" s="679"/>
      <c r="M3" s="679"/>
      <c r="N3" s="680"/>
    </row>
    <row r="4" spans="1:14" ht="45" customHeight="1">
      <c r="A4" s="274"/>
      <c r="B4" s="275"/>
      <c r="C4" s="556" t="str">
        <f>Idiomas!D105</f>
        <v>¡No tocar nada, se rellena solo!</v>
      </c>
      <c r="D4" s="351"/>
      <c r="E4" s="678"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78"/>
      <c r="G4" s="678"/>
      <c r="H4" s="678"/>
      <c r="I4" s="678"/>
      <c r="J4" s="678"/>
      <c r="K4" s="678"/>
      <c r="L4" s="678"/>
      <c r="M4" s="678"/>
      <c r="N4" s="360"/>
    </row>
    <row r="5" spans="1:14" ht="19" customHeight="1">
      <c r="A5" s="336"/>
      <c r="B5" s="337" t="str">
        <f>Idiomas!D125</f>
        <v>FASE DE GRUPOS</v>
      </c>
      <c r="C5" s="329" t="str">
        <f>Home!C10</f>
        <v>Nombre</v>
      </c>
      <c r="E5" s="667" t="str">
        <f>Idiomas!D109</f>
        <v>·Si haceis jornada a jornada seguir las instrucciones de cada jornada</v>
      </c>
      <c r="F5" s="667"/>
      <c r="G5" s="667"/>
      <c r="H5" s="667"/>
      <c r="I5" s="667"/>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1|3-1</v>
      </c>
      <c r="D6" s="671" t="str">
        <f>Idiomas!D122</f>
        <v>J1</v>
      </c>
      <c r="E6" s="677" t="str">
        <f>Idiomas!D110</f>
        <v>·Para la primera jornada copiar de la C5 a la C29 y pega valores en la plantilla de administrador. ¡OJO! COPIAR TAMBIÉN de la C253 a la C258.</v>
      </c>
      <c r="F6" s="677"/>
      <c r="G6" s="677"/>
      <c r="H6" s="677"/>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1"/>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1"/>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1"/>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1|3-2</v>
      </c>
      <c r="D10" s="671"/>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2|0-3</v>
      </c>
      <c r="D11" s="671"/>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1|2-1</v>
      </c>
      <c r="D12" s="671"/>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X|1-1</v>
      </c>
      <c r="D13" s="671"/>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1|4-1</v>
      </c>
      <c r="D14" s="671"/>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1"/>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2|1-2</v>
      </c>
      <c r="D16" s="671"/>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X|1-1</v>
      </c>
      <c r="D17" s="671"/>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1|3-0</v>
      </c>
      <c r="D18" s="671"/>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1"/>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1|2-0</v>
      </c>
      <c r="D20" s="671"/>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2|0-3</v>
      </c>
      <c r="D21" s="671"/>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1|3-1</v>
      </c>
      <c r="D22" s="671"/>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2|1-2</v>
      </c>
      <c r="D23" s="671"/>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1|3-1</v>
      </c>
      <c r="D24" s="671"/>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1|1-0</v>
      </c>
      <c r="D25" s="671"/>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1"/>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2|0-3</v>
      </c>
      <c r="D27" s="671"/>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1|3-2</v>
      </c>
      <c r="D28" s="671"/>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1|1-0</v>
      </c>
      <c r="D29" s="672"/>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1|1-0</v>
      </c>
      <c r="D30" s="673" t="str">
        <f>Idiomas!D123</f>
        <v>J2</v>
      </c>
      <c r="E30" s="677" t="str">
        <f>Idiomas!D111</f>
        <v>·Para la segunda jornada copiar de la C30 a la C53 y pega valores en la plantilla de administrador.</v>
      </c>
      <c r="F30" s="677"/>
      <c r="G30" s="677"/>
      <c r="H30" s="677"/>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X|0-0</v>
      </c>
      <c r="D31" s="673"/>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1|2-1</v>
      </c>
      <c r="D32" s="673"/>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1|1-0</v>
      </c>
      <c r="D33" s="673"/>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2|1-2</v>
      </c>
      <c r="D34" s="673"/>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1|5-1</v>
      </c>
      <c r="D35" s="673"/>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X|0-0</v>
      </c>
      <c r="D36" s="673"/>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1|2-1</v>
      </c>
      <c r="D37" s="673"/>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1|2-0</v>
      </c>
      <c r="D38" s="673"/>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3"/>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1|2-0</v>
      </c>
      <c r="D40" s="673"/>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2|1-3</v>
      </c>
      <c r="D41" s="673"/>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3"/>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2|0-1</v>
      </c>
      <c r="D43" s="673"/>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1|3-0</v>
      </c>
      <c r="D44" s="673"/>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1|2-1</v>
      </c>
      <c r="D45" s="673"/>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1|2-0</v>
      </c>
      <c r="D46" s="673"/>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2|0-1</v>
      </c>
      <c r="D47" s="673"/>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X|1-1</v>
      </c>
      <c r="D48" s="673"/>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2|1-2</v>
      </c>
      <c r="D49" s="673"/>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1|3-0</v>
      </c>
      <c r="D50" s="673"/>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1|2-1</v>
      </c>
      <c r="D51" s="673"/>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1|2-1</v>
      </c>
      <c r="D52" s="673"/>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2|1-2</v>
      </c>
      <c r="D53" s="674"/>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2|0-1</v>
      </c>
      <c r="D54" s="682" t="str">
        <f>Idiomas!D124</f>
        <v>J3</v>
      </c>
      <c r="E54" s="677" t="str">
        <f>Idiomas!D112</f>
        <v>·Para la tercera jornada copiar de la C54 a la C161 y pega valores en la plantilla de administrador.</v>
      </c>
      <c r="F54" s="677"/>
      <c r="G54" s="677"/>
      <c r="H54" s="677"/>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1|2-1</v>
      </c>
      <c r="D55" s="682"/>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X|0-0</v>
      </c>
      <c r="D56" s="682"/>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82"/>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2|0-2</v>
      </c>
      <c r="D58" s="682"/>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82"/>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X|1-1</v>
      </c>
      <c r="D60" s="682"/>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2|1-3</v>
      </c>
      <c r="D61" s="682"/>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2|1-3</v>
      </c>
      <c r="D62" s="682"/>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X|1-1</v>
      </c>
      <c r="D63" s="682"/>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1|2-1</v>
      </c>
      <c r="D64" s="682"/>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2|1-2</v>
      </c>
      <c r="D65" s="682"/>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1|1-0</v>
      </c>
      <c r="D66" s="682"/>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2|0-2</v>
      </c>
      <c r="D67" s="682"/>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1|2-1</v>
      </c>
      <c r="D68" s="682"/>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1|2-1</v>
      </c>
      <c r="D69" s="682"/>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2|0-2</v>
      </c>
      <c r="D70" s="682"/>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1|1-0</v>
      </c>
      <c r="D71" s="682"/>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2|0-1</v>
      </c>
      <c r="D72" s="682"/>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2|1-2</v>
      </c>
      <c r="D73" s="682"/>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2|0-1</v>
      </c>
      <c r="D74" s="682"/>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82"/>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2|1-2</v>
      </c>
      <c r="D76" s="682"/>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X|1-1</v>
      </c>
      <c r="D77" s="682"/>
      <c r="E77" s="353"/>
      <c r="F77" s="353"/>
      <c r="G77" s="353"/>
      <c r="H77" s="353"/>
      <c r="I77" s="364"/>
      <c r="J77" s="353"/>
      <c r="K77" s="353"/>
      <c r="L77" s="353"/>
      <c r="M77" s="362"/>
      <c r="N77" s="360"/>
    </row>
    <row r="78" spans="1:14" ht="15" customHeight="1">
      <c r="A78" s="336"/>
      <c r="B78" s="336"/>
      <c r="C78" s="333"/>
      <c r="D78" s="682"/>
      <c r="E78" s="353"/>
      <c r="F78" s="353"/>
      <c r="G78" s="353"/>
      <c r="H78" s="353"/>
      <c r="I78" s="364"/>
      <c r="J78" s="353"/>
      <c r="K78" s="353"/>
      <c r="L78" s="353"/>
      <c r="M78" s="362"/>
      <c r="N78" s="360"/>
    </row>
    <row r="79" spans="1:14" ht="19" customHeight="1">
      <c r="A79" s="336"/>
      <c r="B79" s="341" t="str">
        <f>Idiomas!D126</f>
        <v>POSICIÓN GRUPOS</v>
      </c>
      <c r="C79" s="333"/>
      <c r="D79" s="682"/>
      <c r="E79" s="353"/>
      <c r="F79" s="353"/>
      <c r="G79" s="353"/>
      <c r="H79" s="353"/>
      <c r="I79" s="364"/>
      <c r="J79" s="353"/>
      <c r="K79" s="353"/>
      <c r="L79" s="353"/>
      <c r="M79" s="362"/>
      <c r="N79" s="360"/>
    </row>
    <row r="80" spans="1:14" ht="15" customHeight="1">
      <c r="A80" s="675" t="s">
        <v>0</v>
      </c>
      <c r="B80" s="342" t="str">
        <f>Idiomas!D140</f>
        <v>1º GRUPO A</v>
      </c>
      <c r="C80" s="332" t="str">
        <f ca="1">IF(OR(SUM(WORLDCUP!$AN$6:$AN$9)=12,WORLDCUP!$AJ$99=144),WORLDCUP!AL6,B80)</f>
        <v>México</v>
      </c>
      <c r="D80" s="682"/>
      <c r="E80" s="353"/>
      <c r="F80" s="353"/>
      <c r="G80" s="353"/>
      <c r="H80" s="353"/>
      <c r="I80" s="364"/>
      <c r="J80" s="353"/>
      <c r="K80" s="353"/>
      <c r="L80" s="353"/>
      <c r="M80" s="362"/>
      <c r="N80" s="360"/>
    </row>
    <row r="81" spans="1:14" ht="15" customHeight="1">
      <c r="A81" s="675"/>
      <c r="B81" s="342" t="str">
        <f>Idiomas!D141</f>
        <v>2º GRUPO A</v>
      </c>
      <c r="C81" s="332" t="str">
        <f ca="1">IF(OR(SUM(WORLDCUP!$AN$6:$AN$9)=12,WORLDCUP!$AJ$99=144),WORLDCUP!AL7,B81)</f>
        <v>República Checa</v>
      </c>
      <c r="D81" s="682"/>
      <c r="E81" s="353"/>
      <c r="F81" s="353"/>
      <c r="G81" s="353"/>
      <c r="H81" s="353"/>
      <c r="I81" s="364"/>
      <c r="J81" s="353"/>
      <c r="K81" s="353"/>
      <c r="L81" s="353"/>
      <c r="M81" s="362"/>
      <c r="N81" s="360"/>
    </row>
    <row r="82" spans="1:14" ht="15" customHeight="1">
      <c r="A82" s="675"/>
      <c r="B82" s="342" t="str">
        <f>Idiomas!D142</f>
        <v>3º GRUPO A</v>
      </c>
      <c r="C82" s="332" t="str">
        <f ca="1">IF(OR(SUM(WORLDCUP!$AN$6:$AN$9)=12,WORLDCUP!$AJ$99=144),WORLDCUP!AL8,B82)</f>
        <v>Sudáfrica</v>
      </c>
      <c r="D82" s="682"/>
      <c r="E82" s="353"/>
      <c r="F82" s="353"/>
      <c r="G82" s="353"/>
      <c r="H82" s="353"/>
      <c r="I82" s="364"/>
      <c r="J82" s="353"/>
      <c r="K82" s="353"/>
      <c r="L82" s="353"/>
      <c r="M82" s="362"/>
      <c r="N82" s="360"/>
    </row>
    <row r="83" spans="1:14" ht="15" customHeight="1">
      <c r="A83" s="675"/>
      <c r="B83" s="342" t="str">
        <f>Idiomas!D143</f>
        <v>4º GRUPO A</v>
      </c>
      <c r="C83" s="332" t="str">
        <f ca="1">IF(OR(SUM(WORLDCUP!$AN$6:$AN$9)=12,WORLDCUP!$AJ$99=144),WORLDCUP!AL9,B83)</f>
        <v>Corea del Sur</v>
      </c>
      <c r="D83" s="682"/>
      <c r="E83" s="353"/>
      <c r="F83" s="353"/>
      <c r="G83" s="353"/>
      <c r="H83" s="353"/>
      <c r="I83" s="364"/>
      <c r="J83" s="353"/>
      <c r="K83" s="353"/>
      <c r="L83" s="353"/>
      <c r="M83" s="362"/>
      <c r="N83" s="360"/>
    </row>
    <row r="84" spans="1:14" ht="15" customHeight="1">
      <c r="A84" s="685" t="s">
        <v>1</v>
      </c>
      <c r="B84" s="340" t="str">
        <f>Idiomas!D144</f>
        <v>1º GRUPO B</v>
      </c>
      <c r="C84" s="332" t="str">
        <f ca="1">IF(OR(SUM(WORLDCUP!$AN$14:$AN$17)=12,WORLDCUP!$AJ$99=144),WORLDCUP!AL14,B84)</f>
        <v>Suiza</v>
      </c>
      <c r="D84" s="682"/>
      <c r="E84" s="353"/>
      <c r="F84" s="353"/>
      <c r="G84" s="353"/>
      <c r="H84" s="353"/>
      <c r="I84" s="364"/>
      <c r="J84" s="353"/>
      <c r="K84" s="353"/>
      <c r="L84" s="353"/>
      <c r="M84" s="362"/>
      <c r="N84" s="360"/>
    </row>
    <row r="85" spans="1:14" ht="15" customHeight="1">
      <c r="A85" s="685"/>
      <c r="B85" s="340" t="str">
        <f>Idiomas!D145</f>
        <v>2º GRUPO B</v>
      </c>
      <c r="C85" s="332" t="str">
        <f ca="1">IF(OR(SUM(WORLDCUP!$AN$14:$AN$17)=12,WORLDCUP!$AJ$99=144),WORLDCUP!AL15,B85)</f>
        <v>Canadá</v>
      </c>
      <c r="D85" s="682"/>
      <c r="E85" s="353"/>
      <c r="F85" s="353"/>
      <c r="G85" s="353"/>
      <c r="H85" s="353"/>
      <c r="I85" s="364"/>
      <c r="J85" s="353"/>
      <c r="K85" s="353"/>
      <c r="L85" s="353"/>
      <c r="M85" s="362"/>
      <c r="N85" s="360"/>
    </row>
    <row r="86" spans="1:14" ht="15" customHeight="1">
      <c r="A86" s="685"/>
      <c r="B86" s="340" t="str">
        <f>Idiomas!D146</f>
        <v>3º GRUPO B</v>
      </c>
      <c r="C86" s="332" t="str">
        <f ca="1">IF(OR(SUM(WORLDCUP!$AN$14:$AN$17)=12,WORLDCUP!$AJ$99=144),WORLDCUP!AL16,B86)</f>
        <v>Bosnia y Herzegovina</v>
      </c>
      <c r="D86" s="682"/>
      <c r="E86" s="353"/>
      <c r="F86" s="353"/>
      <c r="G86" s="353"/>
      <c r="H86" s="353"/>
      <c r="I86" s="364"/>
      <c r="J86" s="353"/>
      <c r="K86" s="353"/>
      <c r="L86" s="353"/>
      <c r="M86" s="362"/>
      <c r="N86" s="360"/>
    </row>
    <row r="87" spans="1:14" ht="15" customHeight="1">
      <c r="A87" s="685"/>
      <c r="B87" s="340" t="str">
        <f>Idiomas!D147</f>
        <v>4º GRUPO B</v>
      </c>
      <c r="C87" s="332" t="str">
        <f ca="1">IF(OR(SUM(WORLDCUP!$AN$14:$AN$17)=12,WORLDCUP!$AJ$99=144),WORLDCUP!AL17,B87)</f>
        <v>Catar</v>
      </c>
      <c r="D87" s="682"/>
      <c r="E87" s="353"/>
      <c r="F87" s="353"/>
      <c r="G87" s="353"/>
      <c r="H87" s="353"/>
      <c r="I87" s="364"/>
      <c r="J87" s="353"/>
      <c r="K87" s="353"/>
      <c r="L87" s="353"/>
      <c r="M87" s="362"/>
      <c r="N87" s="360"/>
    </row>
    <row r="88" spans="1:14" ht="15" customHeight="1">
      <c r="A88" s="675" t="s">
        <v>2</v>
      </c>
      <c r="B88" s="342" t="str">
        <f>Idiomas!D148</f>
        <v>1º GRUPO C</v>
      </c>
      <c r="C88" s="332" t="str">
        <f ca="1">IF(OR(SUM(WORLDCUP!$AN$22:$AN$25)=12,WORLDCUP!$AJ$99=144),WORLDCUP!AL22,B88)</f>
        <v>Brasil</v>
      </c>
      <c r="D88" s="682"/>
      <c r="E88" s="353"/>
      <c r="F88" s="353"/>
      <c r="G88" s="353"/>
      <c r="H88" s="353"/>
      <c r="I88" s="364"/>
      <c r="J88" s="353"/>
      <c r="K88" s="353"/>
      <c r="L88" s="353"/>
      <c r="M88" s="362"/>
      <c r="N88" s="360"/>
    </row>
    <row r="89" spans="1:14" ht="15" customHeight="1">
      <c r="A89" s="675"/>
      <c r="B89" s="342" t="str">
        <f>Idiomas!D149</f>
        <v>2º GRUPO C</v>
      </c>
      <c r="C89" s="332" t="str">
        <f ca="1">IF(OR(SUM(WORLDCUP!$AN$22:$AN$25)=12,WORLDCUP!$AJ$99=144),WORLDCUP!AL23,B89)</f>
        <v>Marruecos</v>
      </c>
      <c r="D89" s="682"/>
      <c r="E89" s="353"/>
      <c r="F89" s="353"/>
      <c r="G89" s="353"/>
      <c r="H89" s="353"/>
      <c r="I89" s="364"/>
      <c r="J89" s="353"/>
      <c r="K89" s="353"/>
      <c r="L89" s="353"/>
      <c r="M89" s="362"/>
      <c r="N89" s="360"/>
    </row>
    <row r="90" spans="1:14" ht="15" customHeight="1">
      <c r="A90" s="675"/>
      <c r="B90" s="342" t="str">
        <f>Idiomas!D150</f>
        <v>3º GRUPO C</v>
      </c>
      <c r="C90" s="332" t="str">
        <f ca="1">IF(OR(SUM(WORLDCUP!$AN$22:$AN$25)=12,WORLDCUP!$AJ$99=144),WORLDCUP!AL24,B90)</f>
        <v>Escocia</v>
      </c>
      <c r="D90" s="682"/>
      <c r="E90" s="353"/>
      <c r="F90" s="353"/>
      <c r="G90" s="353"/>
      <c r="H90" s="353"/>
      <c r="I90" s="364"/>
      <c r="J90" s="353"/>
      <c r="K90" s="353"/>
      <c r="L90" s="353"/>
      <c r="M90" s="362"/>
      <c r="N90" s="360"/>
    </row>
    <row r="91" spans="1:14" ht="15" customHeight="1">
      <c r="A91" s="675"/>
      <c r="B91" s="342" t="str">
        <f>Idiomas!D151</f>
        <v>4º GRUPO C</v>
      </c>
      <c r="C91" s="332" t="str">
        <f ca="1">IF(OR(SUM(WORLDCUP!$AN$22:$AN$25)=12,WORLDCUP!$AJ$99=144),WORLDCUP!AL25,B91)</f>
        <v>Haití</v>
      </c>
      <c r="D91" s="682"/>
      <c r="E91" s="353"/>
      <c r="F91" s="353"/>
      <c r="G91" s="353"/>
      <c r="H91" s="353"/>
      <c r="I91" s="364"/>
      <c r="J91" s="353"/>
      <c r="K91" s="353"/>
      <c r="L91" s="353"/>
      <c r="M91" s="362"/>
      <c r="N91" s="360"/>
    </row>
    <row r="92" spans="1:14" ht="15" customHeight="1">
      <c r="A92" s="685" t="s">
        <v>74</v>
      </c>
      <c r="B92" s="340" t="str">
        <f>Idiomas!D152</f>
        <v>1º GRUPO D</v>
      </c>
      <c r="C92" s="332" t="str">
        <f ca="1">IF(OR(SUM(WORLDCUP!$AN$30:$AN$33)=12,WORLDCUP!$AJ$99=144),WORLDCUP!AL30,B92)</f>
        <v>Turquía</v>
      </c>
      <c r="D92" s="682"/>
      <c r="E92" s="353"/>
      <c r="F92" s="353"/>
      <c r="G92" s="353"/>
      <c r="H92" s="353"/>
      <c r="I92" s="364"/>
      <c r="J92" s="353"/>
      <c r="K92" s="353"/>
      <c r="L92" s="353"/>
      <c r="M92" s="362"/>
      <c r="N92" s="360"/>
    </row>
    <row r="93" spans="1:14" ht="15" customHeight="1">
      <c r="A93" s="685"/>
      <c r="B93" s="340" t="str">
        <f>Idiomas!D153</f>
        <v>2º GRUPO D</v>
      </c>
      <c r="C93" s="332" t="str">
        <f ca="1">IF(OR(SUM(WORLDCUP!$AN$30:$AN$33)=12,WORLDCUP!$AJ$99=144),WORLDCUP!AL31,B93)</f>
        <v>Australia</v>
      </c>
      <c r="D93" s="682"/>
      <c r="E93" s="353"/>
      <c r="F93" s="353"/>
      <c r="G93" s="353"/>
      <c r="H93" s="353"/>
      <c r="I93" s="364"/>
      <c r="J93" s="353"/>
      <c r="K93" s="353"/>
      <c r="L93" s="353"/>
      <c r="M93" s="362"/>
      <c r="N93" s="360"/>
    </row>
    <row r="94" spans="1:14" ht="15" customHeight="1">
      <c r="A94" s="685"/>
      <c r="B94" s="340" t="str">
        <f>Idiomas!D154</f>
        <v>3º GRUPO D</v>
      </c>
      <c r="C94" s="332" t="str">
        <f ca="1">IF(OR(SUM(WORLDCUP!$AN$30:$AN$33)=12,WORLDCUP!$AJ$99=144),WORLDCUP!AL32,B94)</f>
        <v>Estados Unidos</v>
      </c>
      <c r="D94" s="682"/>
      <c r="E94" s="353"/>
      <c r="F94" s="353"/>
      <c r="G94" s="353"/>
      <c r="H94" s="353"/>
      <c r="I94" s="364"/>
      <c r="J94" s="353"/>
      <c r="K94" s="353"/>
      <c r="L94" s="353"/>
      <c r="M94" s="362"/>
      <c r="N94" s="360"/>
    </row>
    <row r="95" spans="1:14" ht="15" customHeight="1">
      <c r="A95" s="685"/>
      <c r="B95" s="340" t="str">
        <f>Idiomas!D155</f>
        <v>4º GRUPO D</v>
      </c>
      <c r="C95" s="332" t="str">
        <f ca="1">IF(OR(SUM(WORLDCUP!$AN$30:$AN$33)=12,WORLDCUP!$AJ$99=144),WORLDCUP!AL33,B95)</f>
        <v>Paraguay</v>
      </c>
      <c r="D95" s="682"/>
      <c r="E95" s="353"/>
      <c r="F95" s="353"/>
      <c r="G95" s="353"/>
      <c r="H95" s="353"/>
      <c r="I95" s="364"/>
      <c r="J95" s="353"/>
      <c r="K95" s="353"/>
      <c r="L95" s="353"/>
      <c r="M95" s="362"/>
      <c r="N95" s="360"/>
    </row>
    <row r="96" spans="1:14" ht="15" customHeight="1">
      <c r="A96" s="675" t="s">
        <v>3</v>
      </c>
      <c r="B96" s="342" t="str">
        <f>Idiomas!D156</f>
        <v>1º GRUPO E</v>
      </c>
      <c r="C96" s="332" t="str">
        <f ca="1">IF(OR(SUM(WORLDCUP!$AN$38:$AN$41)=12,WORLDCUP!$AJ$99=144),WORLDCUP!AL38,B96)</f>
        <v>Alemania</v>
      </c>
      <c r="D96" s="682"/>
      <c r="E96" s="353"/>
      <c r="F96" s="353"/>
      <c r="G96" s="353"/>
      <c r="H96" s="353"/>
      <c r="I96" s="364"/>
      <c r="J96" s="353"/>
      <c r="K96" s="353"/>
      <c r="L96" s="353"/>
      <c r="M96" s="362"/>
      <c r="N96" s="360"/>
    </row>
    <row r="97" spans="1:14" ht="15" customHeight="1">
      <c r="A97" s="675"/>
      <c r="B97" s="342" t="str">
        <f>Idiomas!D157</f>
        <v>2º GRUPO E</v>
      </c>
      <c r="C97" s="332" t="str">
        <f ca="1">IF(OR(SUM(WORLDCUP!$AN$38:$AN$41)=12,WORLDCUP!$AJ$99=144),WORLDCUP!AL39,B97)</f>
        <v>Ecuador</v>
      </c>
      <c r="D97" s="682"/>
      <c r="E97" s="353"/>
      <c r="F97" s="353"/>
      <c r="G97" s="353"/>
      <c r="H97" s="353"/>
      <c r="I97" s="364"/>
      <c r="J97" s="353"/>
      <c r="K97" s="353"/>
      <c r="L97" s="353"/>
      <c r="M97" s="362"/>
      <c r="N97" s="360"/>
    </row>
    <row r="98" spans="1:14" ht="15" customHeight="1">
      <c r="A98" s="675"/>
      <c r="B98" s="342" t="str">
        <f>Idiomas!D158</f>
        <v>3º GRUPO E</v>
      </c>
      <c r="C98" s="332" t="str">
        <f ca="1">IF(OR(SUM(WORLDCUP!$AN$38:$AN$41)=12,WORLDCUP!$AJ$99=144),WORLDCUP!AL40,B98)</f>
        <v>Costa de Marfil</v>
      </c>
      <c r="D98" s="682"/>
      <c r="E98" s="353"/>
      <c r="F98" s="353"/>
      <c r="G98" s="353"/>
      <c r="H98" s="353"/>
      <c r="I98" s="364"/>
      <c r="J98" s="353"/>
      <c r="K98" s="353"/>
      <c r="L98" s="353"/>
      <c r="M98" s="362"/>
      <c r="N98" s="360"/>
    </row>
    <row r="99" spans="1:14" ht="15" customHeight="1">
      <c r="A99" s="675"/>
      <c r="B99" s="342" t="str">
        <f>Idiomas!D159</f>
        <v>4º GRUPO E</v>
      </c>
      <c r="C99" s="332" t="str">
        <f ca="1">IF(OR(SUM(WORLDCUP!$AN$38:$AN$41)=12,WORLDCUP!$AJ$99=144),WORLDCUP!AL41,B99)</f>
        <v>Curazao</v>
      </c>
      <c r="D99" s="682"/>
      <c r="E99" s="353"/>
      <c r="F99" s="353"/>
      <c r="G99" s="353"/>
      <c r="H99" s="353"/>
      <c r="I99" s="364"/>
      <c r="J99" s="353"/>
      <c r="K99" s="353"/>
      <c r="L99" s="353"/>
      <c r="M99" s="362"/>
      <c r="N99" s="360"/>
    </row>
    <row r="100" spans="1:14" ht="15" customHeight="1">
      <c r="A100" s="685" t="s">
        <v>4</v>
      </c>
      <c r="B100" s="340" t="str">
        <f>Idiomas!D160</f>
        <v>1º GRUPO F</v>
      </c>
      <c r="C100" s="332" t="str">
        <f ca="1">IF(OR(SUM(WORLDCUP!$AN$46:$AN$49)=12,WORLDCUP!$AJ$99=144),WORLDCUP!AL46,B100)</f>
        <v>Japón</v>
      </c>
      <c r="D100" s="682"/>
      <c r="E100" s="353"/>
      <c r="F100" s="353"/>
      <c r="G100" s="353"/>
      <c r="H100" s="353"/>
      <c r="I100" s="364"/>
      <c r="J100" s="353"/>
      <c r="K100" s="353"/>
      <c r="L100" s="353"/>
      <c r="M100" s="362"/>
      <c r="N100" s="360"/>
    </row>
    <row r="101" spans="1:14" ht="15" customHeight="1">
      <c r="A101" s="685"/>
      <c r="B101" s="340" t="str">
        <f>Idiomas!D161</f>
        <v>2º GRUPO F</v>
      </c>
      <c r="C101" s="332" t="str">
        <f ca="1">IF(OR(SUM(WORLDCUP!$AN$46:$AN$49)=12,WORLDCUP!$AJ$99=144),WORLDCUP!AL47,B101)</f>
        <v>Países Bajos</v>
      </c>
      <c r="D101" s="682"/>
      <c r="E101" s="353"/>
      <c r="F101" s="353"/>
      <c r="G101" s="353"/>
      <c r="H101" s="353"/>
      <c r="I101" s="364"/>
      <c r="J101" s="353"/>
      <c r="K101" s="353"/>
      <c r="L101" s="353"/>
      <c r="M101" s="362"/>
      <c r="N101" s="360"/>
    </row>
    <row r="102" spans="1:14" ht="15" customHeight="1">
      <c r="A102" s="685"/>
      <c r="B102" s="340" t="str">
        <f>Idiomas!D162</f>
        <v>3º GRUPO F</v>
      </c>
      <c r="C102" s="332" t="str">
        <f ca="1">IF(OR(SUM(WORLDCUP!$AN$46:$AN$49)=12,WORLDCUP!$AJ$99=144),WORLDCUP!AL48,B102)</f>
        <v>Túnez</v>
      </c>
      <c r="D102" s="682"/>
      <c r="E102" s="353"/>
      <c r="F102" s="353"/>
      <c r="G102" s="353"/>
      <c r="H102" s="353"/>
      <c r="I102" s="364"/>
      <c r="J102" s="353"/>
      <c r="K102" s="353"/>
      <c r="L102" s="353"/>
      <c r="M102" s="362"/>
      <c r="N102" s="360"/>
    </row>
    <row r="103" spans="1:14" ht="15" customHeight="1">
      <c r="A103" s="685"/>
      <c r="B103" s="340" t="str">
        <f>Idiomas!D163</f>
        <v>4º GRUPO F</v>
      </c>
      <c r="C103" s="332" t="str">
        <f ca="1">IF(OR(SUM(WORLDCUP!$AN$46:$AN$49)=12,WORLDCUP!$AJ$99=144),WORLDCUP!AL49,B103)</f>
        <v>Suecia</v>
      </c>
      <c r="D103" s="682"/>
      <c r="E103" s="353"/>
      <c r="F103" s="353"/>
      <c r="G103" s="353"/>
      <c r="H103" s="353"/>
      <c r="I103" s="364"/>
      <c r="J103" s="353"/>
      <c r="K103" s="353"/>
      <c r="L103" s="353"/>
      <c r="M103" s="362"/>
      <c r="N103" s="360"/>
    </row>
    <row r="104" spans="1:14" ht="15" customHeight="1">
      <c r="A104" s="675" t="s">
        <v>6</v>
      </c>
      <c r="B104" s="342" t="str">
        <f>Idiomas!D164</f>
        <v>1º GRUPO G</v>
      </c>
      <c r="C104" s="332" t="str">
        <f ca="1">IF(OR(SUM(WORLDCUP!$AN$54:$AN$57)=12,WORLDCUP!$AJ$99=144),WORLDCUP!AL54,B104)</f>
        <v>Bélgica</v>
      </c>
      <c r="D104" s="682"/>
      <c r="E104" s="353"/>
      <c r="F104" s="353"/>
      <c r="G104" s="353"/>
      <c r="H104" s="353"/>
      <c r="I104" s="364"/>
      <c r="J104" s="353"/>
      <c r="K104" s="353"/>
      <c r="L104" s="353"/>
      <c r="M104" s="362"/>
      <c r="N104" s="360"/>
    </row>
    <row r="105" spans="1:14" ht="15" customHeight="1">
      <c r="A105" s="675"/>
      <c r="B105" s="342" t="str">
        <f>Idiomas!D165</f>
        <v>2º GRUPO G</v>
      </c>
      <c r="C105" s="332" t="str">
        <f ca="1">IF(OR(SUM(WORLDCUP!$AN$54:$AN$57)=12,WORLDCUP!$AJ$99=144),WORLDCUP!AL55,B105)</f>
        <v>Egipto</v>
      </c>
      <c r="D105" s="682"/>
      <c r="E105" s="353"/>
      <c r="F105" s="353"/>
      <c r="G105" s="353"/>
      <c r="H105" s="353"/>
      <c r="I105" s="364"/>
      <c r="J105" s="353"/>
      <c r="K105" s="353"/>
      <c r="L105" s="353"/>
      <c r="M105" s="362"/>
      <c r="N105" s="360"/>
    </row>
    <row r="106" spans="1:14" ht="15" customHeight="1">
      <c r="A106" s="675"/>
      <c r="B106" s="342" t="str">
        <f>Idiomas!D166</f>
        <v>3º GRUPO G</v>
      </c>
      <c r="C106" s="332" t="str">
        <f ca="1">IF(OR(SUM(WORLDCUP!$AN$54:$AN$57)=12,WORLDCUP!$AJ$99=144),WORLDCUP!AL56,B106)</f>
        <v>Irán</v>
      </c>
      <c r="D106" s="682"/>
      <c r="E106" s="353"/>
      <c r="F106" s="353"/>
      <c r="G106" s="353"/>
      <c r="H106" s="353"/>
      <c r="I106" s="364"/>
      <c r="J106" s="353"/>
      <c r="K106" s="353"/>
      <c r="L106" s="353"/>
      <c r="M106" s="362"/>
      <c r="N106" s="360"/>
    </row>
    <row r="107" spans="1:14" ht="15" customHeight="1">
      <c r="A107" s="675"/>
      <c r="B107" s="342" t="str">
        <f>Idiomas!D167</f>
        <v>4º GRUPO G</v>
      </c>
      <c r="C107" s="332" t="str">
        <f ca="1">IF(OR(SUM(WORLDCUP!$AN$54:$AN$57)=12,WORLDCUP!$AJ$99=144),WORLDCUP!AL57,B107)</f>
        <v>Nueva Zelanda</v>
      </c>
      <c r="D107" s="682"/>
      <c r="E107" s="353"/>
      <c r="F107" s="353"/>
      <c r="G107" s="353"/>
      <c r="H107" s="353"/>
      <c r="I107" s="364"/>
      <c r="J107" s="353"/>
      <c r="K107" s="353"/>
      <c r="L107" s="353"/>
      <c r="M107" s="362"/>
      <c r="N107" s="360"/>
    </row>
    <row r="108" spans="1:14" ht="15" customHeight="1">
      <c r="A108" s="685" t="s">
        <v>447</v>
      </c>
      <c r="B108" s="340" t="str">
        <f>Idiomas!D168</f>
        <v>1º GRUPO H</v>
      </c>
      <c r="C108" s="332" t="str">
        <f ca="1">IF(OR(SUM(WORLDCUP!$AN$62:$AN$65)=12,WORLDCUP!$AJ$99=144),WORLDCUP!AL62,B108)</f>
        <v>Uruguay</v>
      </c>
      <c r="D108" s="682"/>
      <c r="E108" s="353"/>
      <c r="F108" s="353"/>
      <c r="G108" s="353"/>
      <c r="H108" s="353"/>
      <c r="I108" s="364"/>
      <c r="J108" s="353"/>
      <c r="K108" s="353"/>
      <c r="L108" s="353"/>
      <c r="M108" s="362"/>
      <c r="N108" s="360"/>
    </row>
    <row r="109" spans="1:14" ht="15" customHeight="1">
      <c r="A109" s="685"/>
      <c r="B109" s="340" t="str">
        <f>Idiomas!D169</f>
        <v>2º GRUPO H</v>
      </c>
      <c r="C109" s="332" t="str">
        <f ca="1">IF(OR(SUM(WORLDCUP!$AN$62:$AN$65)=12,WORLDCUP!$AJ$99=144),WORLDCUP!AL63,B109)</f>
        <v>España</v>
      </c>
      <c r="D109" s="682"/>
      <c r="E109" s="353"/>
      <c r="F109" s="353"/>
      <c r="G109" s="353"/>
      <c r="H109" s="353"/>
      <c r="I109" s="364"/>
      <c r="J109" s="353"/>
      <c r="K109" s="353"/>
      <c r="L109" s="353"/>
      <c r="M109" s="362"/>
      <c r="N109" s="360"/>
    </row>
    <row r="110" spans="1:14" ht="15" customHeight="1">
      <c r="A110" s="685"/>
      <c r="B110" s="340" t="str">
        <f>Idiomas!D170</f>
        <v>3º GRUPO H</v>
      </c>
      <c r="C110" s="332" t="str">
        <f ca="1">IF(OR(SUM(WORLDCUP!$AN$62:$AN$65)=12,WORLDCUP!$AJ$99=144),WORLDCUP!AL64,B110)</f>
        <v>Cabo Verde</v>
      </c>
      <c r="D110" s="682"/>
      <c r="E110" s="353"/>
      <c r="F110" s="353"/>
      <c r="G110" s="353"/>
      <c r="H110" s="353"/>
      <c r="I110" s="364"/>
      <c r="J110" s="353"/>
      <c r="K110" s="353"/>
      <c r="L110" s="353"/>
      <c r="M110" s="362"/>
      <c r="N110" s="360"/>
    </row>
    <row r="111" spans="1:14" ht="15" customHeight="1">
      <c r="A111" s="685"/>
      <c r="B111" s="340" t="str">
        <f>Idiomas!D171</f>
        <v>4º GRUPO H</v>
      </c>
      <c r="C111" s="332" t="str">
        <f ca="1">IF(OR(SUM(WORLDCUP!$AN$62:$AN$65)=12,WORLDCUP!$AJ$99=144),WORLDCUP!AL65,B111)</f>
        <v>Arabia Saudita</v>
      </c>
      <c r="D111" s="682"/>
      <c r="E111" s="353"/>
      <c r="F111" s="353"/>
      <c r="G111" s="353"/>
      <c r="H111" s="353"/>
      <c r="I111" s="364"/>
      <c r="J111" s="353"/>
      <c r="K111" s="353"/>
      <c r="L111" s="353"/>
      <c r="M111" s="362"/>
      <c r="N111" s="360"/>
    </row>
    <row r="112" spans="1:14" ht="15" customHeight="1">
      <c r="A112" s="675" t="s">
        <v>448</v>
      </c>
      <c r="B112" s="342" t="str">
        <f>Idiomas!D172</f>
        <v>1º GRUPO I</v>
      </c>
      <c r="C112" s="332" t="str">
        <f ca="1">IF(OR(SUM(WORLDCUP!$AN$70:$AN$73)=12,WORLDCUP!$AJ$99=144),WORLDCUP!AL70,B112)</f>
        <v>Francia</v>
      </c>
      <c r="D112" s="682"/>
      <c r="E112" s="353"/>
      <c r="F112" s="353"/>
      <c r="G112" s="353"/>
      <c r="H112" s="353"/>
      <c r="I112" s="364"/>
      <c r="J112" s="353"/>
      <c r="K112" s="353"/>
      <c r="L112" s="353"/>
      <c r="M112" s="362"/>
      <c r="N112" s="360"/>
    </row>
    <row r="113" spans="1:14" ht="15" customHeight="1">
      <c r="A113" s="675"/>
      <c r="B113" s="342" t="str">
        <f>Idiomas!D173</f>
        <v>2º GRUPO I</v>
      </c>
      <c r="C113" s="332" t="str">
        <f ca="1">IF(OR(SUM(WORLDCUP!$AN$70:$AN$73)=12,WORLDCUP!$AJ$99=144),WORLDCUP!AL71,B113)</f>
        <v>Senegal</v>
      </c>
      <c r="D113" s="682"/>
      <c r="E113" s="353"/>
      <c r="F113" s="353"/>
      <c r="G113" s="353"/>
      <c r="H113" s="353"/>
      <c r="I113" s="364"/>
      <c r="J113" s="353"/>
      <c r="K113" s="353"/>
      <c r="L113" s="353"/>
      <c r="M113" s="362"/>
      <c r="N113" s="360"/>
    </row>
    <row r="114" spans="1:14" ht="15" customHeight="1">
      <c r="A114" s="675"/>
      <c r="B114" s="342" t="str">
        <f>Idiomas!D174</f>
        <v>3º GRUPO I</v>
      </c>
      <c r="C114" s="332" t="str">
        <f ca="1">IF(OR(SUM(WORLDCUP!$AN$70:$AN$73)=12,WORLDCUP!$AJ$99=144),WORLDCUP!AL72,B114)</f>
        <v>Noruega</v>
      </c>
      <c r="D114" s="682"/>
      <c r="E114" s="353"/>
      <c r="F114" s="353"/>
      <c r="G114" s="353"/>
      <c r="H114" s="353"/>
      <c r="I114" s="364"/>
      <c r="J114" s="353"/>
      <c r="K114" s="353"/>
      <c r="L114" s="353"/>
      <c r="M114" s="362"/>
      <c r="N114" s="360"/>
    </row>
    <row r="115" spans="1:14" ht="15" customHeight="1">
      <c r="A115" s="675"/>
      <c r="B115" s="342" t="str">
        <f>Idiomas!D175</f>
        <v>4º GRUPO I</v>
      </c>
      <c r="C115" s="332" t="str">
        <f ca="1">IF(OR(SUM(WORLDCUP!$AN$70:$AN$73)=12,WORLDCUP!$AJ$99=144),WORLDCUP!AL73,B115)</f>
        <v>Irak</v>
      </c>
      <c r="D115" s="682"/>
      <c r="E115" s="353"/>
      <c r="F115" s="353"/>
      <c r="G115" s="353"/>
      <c r="H115" s="353"/>
      <c r="I115" s="364"/>
      <c r="J115" s="353"/>
      <c r="K115" s="353"/>
      <c r="L115" s="353"/>
      <c r="M115" s="362"/>
      <c r="N115" s="360"/>
    </row>
    <row r="116" spans="1:14" ht="15" customHeight="1">
      <c r="A116" s="685" t="s">
        <v>5</v>
      </c>
      <c r="B116" s="340" t="str">
        <f>Idiomas!D176</f>
        <v>1º GRUPO J</v>
      </c>
      <c r="C116" s="332" t="str">
        <f ca="1">IF(OR(SUM(WORLDCUP!$AN$78:$AN$81)=12,WORLDCUP!$AJ$99=144),WORLDCUP!AL78,B116)</f>
        <v>Argentina</v>
      </c>
      <c r="D116" s="682"/>
      <c r="E116" s="353"/>
      <c r="F116" s="353"/>
      <c r="G116" s="353"/>
      <c r="H116" s="353"/>
      <c r="I116" s="364"/>
      <c r="J116" s="353"/>
      <c r="K116" s="353"/>
      <c r="L116" s="353"/>
      <c r="M116" s="362"/>
      <c r="N116" s="360"/>
    </row>
    <row r="117" spans="1:14" ht="15" customHeight="1">
      <c r="A117" s="685"/>
      <c r="B117" s="340" t="str">
        <f>Idiomas!D177</f>
        <v>2º GRUPO J</v>
      </c>
      <c r="C117" s="332" t="str">
        <f ca="1">IF(OR(SUM(WORLDCUP!$AN$78:$AN$81)=12,WORLDCUP!$AJ$99=144),WORLDCUP!AL79,B117)</f>
        <v>Austria</v>
      </c>
      <c r="D117" s="682"/>
      <c r="E117" s="353"/>
      <c r="F117" s="353"/>
      <c r="G117" s="353"/>
      <c r="H117" s="353"/>
      <c r="I117" s="364"/>
      <c r="J117" s="353"/>
      <c r="K117" s="353"/>
      <c r="L117" s="353"/>
      <c r="M117" s="362"/>
      <c r="N117" s="360"/>
    </row>
    <row r="118" spans="1:14" ht="15" customHeight="1">
      <c r="A118" s="685"/>
      <c r="B118" s="340" t="str">
        <f>Idiomas!D178</f>
        <v>3º GRUPO J</v>
      </c>
      <c r="C118" s="332" t="str">
        <f ca="1">IF(OR(SUM(WORLDCUP!$AN$78:$AN$81)=12,WORLDCUP!$AJ$99=144),WORLDCUP!AL80,B118)</f>
        <v>Argelia</v>
      </c>
      <c r="D118" s="682"/>
      <c r="E118" s="353"/>
      <c r="F118" s="353"/>
      <c r="G118" s="353"/>
      <c r="H118" s="353"/>
      <c r="I118" s="364"/>
      <c r="J118" s="353"/>
      <c r="K118" s="353"/>
      <c r="L118" s="353"/>
      <c r="M118" s="362"/>
      <c r="N118" s="360"/>
    </row>
    <row r="119" spans="1:14" ht="15" customHeight="1">
      <c r="A119" s="685"/>
      <c r="B119" s="340" t="str">
        <f>Idiomas!D179</f>
        <v>4º GRUPO J</v>
      </c>
      <c r="C119" s="332" t="str">
        <f ca="1">IF(OR(SUM(WORLDCUP!$AN$78:$AN$81)=12,WORLDCUP!$AJ$99=144),WORLDCUP!AL81,B119)</f>
        <v>Jordania</v>
      </c>
      <c r="D119" s="682"/>
      <c r="E119" s="353"/>
      <c r="F119" s="353"/>
      <c r="G119" s="353"/>
      <c r="H119" s="353"/>
      <c r="I119" s="364"/>
      <c r="J119" s="353"/>
      <c r="K119" s="353"/>
      <c r="L119" s="353"/>
      <c r="M119" s="362"/>
      <c r="N119" s="360"/>
    </row>
    <row r="120" spans="1:14" ht="15" customHeight="1">
      <c r="A120" s="675" t="s">
        <v>449</v>
      </c>
      <c r="B120" s="342" t="str">
        <f>Idiomas!D180</f>
        <v>1º GRUPO K</v>
      </c>
      <c r="C120" s="332" t="str">
        <f ca="1">IF(OR(SUM(WORLDCUP!$AN$86:$AN$89)=12,WORLDCUP!$AJ$99=144),WORLDCUP!AL86,B120)</f>
        <v>Portugal</v>
      </c>
      <c r="D120" s="682"/>
      <c r="E120" s="353"/>
      <c r="F120" s="353"/>
      <c r="G120" s="353"/>
      <c r="H120" s="353"/>
      <c r="I120" s="364"/>
      <c r="J120" s="353"/>
      <c r="K120" s="353"/>
      <c r="L120" s="353"/>
      <c r="M120" s="362"/>
      <c r="N120" s="360"/>
    </row>
    <row r="121" spans="1:14" ht="15" customHeight="1">
      <c r="A121" s="675"/>
      <c r="B121" s="342" t="str">
        <f>Idiomas!D181</f>
        <v>2º GRUPO K</v>
      </c>
      <c r="C121" s="332" t="str">
        <f ca="1">IF(OR(SUM(WORLDCUP!$AN$86:$AN$89)=12,WORLDCUP!$AJ$99=144),WORLDCUP!AL87,B121)</f>
        <v>Colombia</v>
      </c>
      <c r="D121" s="682"/>
      <c r="E121" s="353"/>
      <c r="F121" s="353"/>
      <c r="G121" s="353"/>
      <c r="H121" s="353"/>
      <c r="I121" s="364"/>
      <c r="J121" s="353"/>
      <c r="K121" s="353"/>
      <c r="L121" s="353"/>
      <c r="M121" s="362"/>
      <c r="N121" s="360"/>
    </row>
    <row r="122" spans="1:14" ht="15" customHeight="1">
      <c r="A122" s="675"/>
      <c r="B122" s="342" t="str">
        <f>Idiomas!D182</f>
        <v>3º GRUPO K</v>
      </c>
      <c r="C122" s="332" t="str">
        <f ca="1">IF(OR(SUM(WORLDCUP!$AN$86:$AN$89)=12,WORLDCUP!$AJ$99=144),WORLDCUP!AL88,B122)</f>
        <v>RD Congo</v>
      </c>
      <c r="D122" s="682"/>
      <c r="E122" s="353"/>
      <c r="F122" s="353"/>
      <c r="G122" s="353"/>
      <c r="H122" s="353"/>
      <c r="I122" s="364"/>
      <c r="J122" s="353"/>
      <c r="K122" s="353"/>
      <c r="L122" s="353"/>
      <c r="M122" s="362"/>
      <c r="N122" s="360"/>
    </row>
    <row r="123" spans="1:14" ht="15" customHeight="1">
      <c r="A123" s="675"/>
      <c r="B123" s="342" t="str">
        <f>Idiomas!D183</f>
        <v>4º GRUPO K</v>
      </c>
      <c r="C123" s="332" t="str">
        <f ca="1">IF(OR(SUM(WORLDCUP!$AN$86:$AN$89)=12,WORLDCUP!$AJ$99=144),WORLDCUP!AL89,B123)</f>
        <v>Uzbekistán</v>
      </c>
      <c r="D123" s="682"/>
      <c r="E123" s="353"/>
      <c r="F123" s="353"/>
      <c r="G123" s="353"/>
      <c r="H123" s="353"/>
      <c r="I123" s="364"/>
      <c r="J123" s="353"/>
      <c r="K123" s="353"/>
      <c r="L123" s="353"/>
      <c r="M123" s="362"/>
      <c r="N123" s="360"/>
    </row>
    <row r="124" spans="1:14" ht="15" customHeight="1">
      <c r="A124" s="685" t="s">
        <v>247</v>
      </c>
      <c r="B124" s="340" t="str">
        <f>Idiomas!D184</f>
        <v>1º GRUPO L</v>
      </c>
      <c r="C124" s="332" t="str">
        <f ca="1">IF(OR(SUM(WORLDCUP!$AN$94:$AN$97)=12,WORLDCUP!$AJ$99=144),WORLDCUP!AL94,B124)</f>
        <v>Inglaterra</v>
      </c>
      <c r="D124" s="682"/>
      <c r="E124" s="353"/>
      <c r="F124" s="353"/>
      <c r="G124" s="353"/>
      <c r="H124" s="353"/>
      <c r="I124" s="364"/>
      <c r="J124" s="353"/>
      <c r="K124" s="353"/>
      <c r="L124" s="353"/>
      <c r="M124" s="362"/>
      <c r="N124" s="360"/>
    </row>
    <row r="125" spans="1:14" ht="15" customHeight="1">
      <c r="A125" s="685"/>
      <c r="B125" s="340" t="str">
        <f>Idiomas!D185</f>
        <v>2º GRUPO L</v>
      </c>
      <c r="C125" s="332" t="str">
        <f ca="1">IF(OR(SUM(WORLDCUP!$AN$94:$AN$97)=12,WORLDCUP!$AJ$99=144),WORLDCUP!AL95,B125)</f>
        <v>Croacia</v>
      </c>
      <c r="D125" s="682"/>
      <c r="E125" s="353"/>
      <c r="F125" s="353"/>
      <c r="G125" s="353"/>
      <c r="H125" s="353"/>
      <c r="I125" s="364"/>
      <c r="J125" s="353"/>
      <c r="K125" s="353"/>
      <c r="L125" s="353"/>
      <c r="M125" s="362"/>
      <c r="N125" s="360"/>
    </row>
    <row r="126" spans="1:14" ht="15" customHeight="1">
      <c r="A126" s="685"/>
      <c r="B126" s="340" t="str">
        <f>Idiomas!D186</f>
        <v>3º GRUPO L</v>
      </c>
      <c r="C126" s="332" t="str">
        <f ca="1">IF(OR(SUM(WORLDCUP!$AN$94:$AN$97)=12,WORLDCUP!$AJ$99=144),WORLDCUP!AL96,B126)</f>
        <v>Ghana</v>
      </c>
      <c r="D126" s="682"/>
      <c r="E126" s="353"/>
      <c r="F126" s="353"/>
      <c r="G126" s="353"/>
      <c r="H126" s="353"/>
      <c r="I126" s="364"/>
      <c r="J126" s="353"/>
      <c r="K126" s="353"/>
      <c r="L126" s="353"/>
      <c r="M126" s="362"/>
      <c r="N126" s="360"/>
    </row>
    <row r="127" spans="1:14" ht="15" customHeight="1">
      <c r="A127" s="685"/>
      <c r="B127" s="340" t="str">
        <f>Idiomas!D187</f>
        <v>4º GRUPO L</v>
      </c>
      <c r="C127" s="332" t="str">
        <f ca="1">IF(OR(SUM(WORLDCUP!$AN$94:$AN$97)=12,WORLDCUP!$AJ$99=144),WORLDCUP!AL97,B127)</f>
        <v>Panamá</v>
      </c>
      <c r="D127" s="682"/>
      <c r="E127" s="353"/>
      <c r="F127" s="353"/>
      <c r="G127" s="353"/>
      <c r="H127" s="353"/>
      <c r="I127" s="364"/>
      <c r="J127" s="353"/>
      <c r="K127" s="353"/>
      <c r="L127" s="353"/>
      <c r="M127" s="362"/>
      <c r="N127" s="360"/>
    </row>
    <row r="128" spans="1:14" ht="15" customHeight="1">
      <c r="A128" s="336"/>
      <c r="B128" s="336"/>
      <c r="C128" s="333"/>
      <c r="D128" s="682"/>
      <c r="E128" s="353"/>
      <c r="F128" s="353"/>
      <c r="G128" s="353"/>
      <c r="H128" s="353"/>
      <c r="I128" s="364"/>
      <c r="J128" s="353"/>
      <c r="K128" s="353"/>
      <c r="L128" s="353"/>
      <c r="M128" s="362"/>
      <c r="N128" s="360"/>
    </row>
    <row r="129" spans="1:14" ht="19" customHeight="1">
      <c r="A129" s="336"/>
      <c r="B129" s="341" t="str">
        <f>Idiomas!D127</f>
        <v>CLASIFICADOS PARA DIECISEISAVOS</v>
      </c>
      <c r="C129" s="333"/>
      <c r="D129" s="682"/>
      <c r="E129" s="353"/>
      <c r="F129" s="353"/>
      <c r="G129" s="353"/>
      <c r="H129" s="353"/>
      <c r="I129" s="364"/>
      <c r="J129" s="353"/>
      <c r="K129" s="353"/>
      <c r="L129" s="353"/>
      <c r="M129" s="362"/>
      <c r="N129" s="360"/>
    </row>
    <row r="130" spans="1:14" ht="15" customHeight="1">
      <c r="A130" s="681" t="s">
        <v>493</v>
      </c>
      <c r="B130" s="343" t="str">
        <f>Idiomas!$D$188</f>
        <v>Dieciseisavofinalista</v>
      </c>
      <c r="C130" s="332" t="str">
        <f ca="1">WORLDCUP!AA101</f>
        <v>República Checa</v>
      </c>
      <c r="D130" s="682"/>
      <c r="E130" s="353"/>
      <c r="F130" s="353"/>
      <c r="G130" s="353"/>
      <c r="H130" s="353"/>
      <c r="I130" s="364"/>
      <c r="J130" s="353"/>
      <c r="K130" s="353"/>
      <c r="L130" s="353"/>
      <c r="M130" s="362"/>
      <c r="N130" s="360"/>
    </row>
    <row r="131" spans="1:14" ht="15" customHeight="1">
      <c r="A131" s="681"/>
      <c r="B131" s="343" t="str">
        <f>B130</f>
        <v>Dieciseisavofinalista</v>
      </c>
      <c r="C131" s="332" t="str">
        <f ca="1">WORLDCUP!AA102</f>
        <v>Brasil</v>
      </c>
      <c r="D131" s="682"/>
      <c r="E131" s="353"/>
      <c r="F131" s="353"/>
      <c r="G131" s="353"/>
      <c r="H131" s="353"/>
      <c r="I131" s="364"/>
      <c r="J131" s="353"/>
      <c r="K131" s="353"/>
      <c r="L131" s="353"/>
      <c r="M131" s="362"/>
      <c r="N131" s="360"/>
    </row>
    <row r="132" spans="1:14" ht="15" customHeight="1">
      <c r="A132" s="681"/>
      <c r="B132" s="343" t="str">
        <f t="shared" ref="B132:B145" si="0">B131</f>
        <v>Dieciseisavofinalista</v>
      </c>
      <c r="C132" s="332" t="str">
        <f ca="1">WORLDCUP!AA103</f>
        <v>Alemania</v>
      </c>
      <c r="D132" s="682"/>
      <c r="E132" s="353"/>
      <c r="F132" s="353"/>
      <c r="G132" s="353"/>
      <c r="H132" s="353"/>
      <c r="I132" s="364"/>
      <c r="J132" s="353"/>
      <c r="K132" s="353"/>
      <c r="L132" s="353"/>
      <c r="M132" s="362"/>
      <c r="N132" s="360"/>
    </row>
    <row r="133" spans="1:14" ht="15" customHeight="1">
      <c r="A133" s="681"/>
      <c r="B133" s="343" t="str">
        <f t="shared" si="0"/>
        <v>Dieciseisavofinalista</v>
      </c>
      <c r="C133" s="332" t="str">
        <f ca="1">WORLDCUP!AA104</f>
        <v>Japón</v>
      </c>
      <c r="D133" s="682"/>
      <c r="E133" s="353"/>
      <c r="F133" s="353"/>
      <c r="G133" s="353"/>
      <c r="H133" s="353"/>
      <c r="I133" s="364"/>
      <c r="J133" s="353"/>
      <c r="K133" s="353"/>
      <c r="L133" s="353"/>
      <c r="M133" s="362"/>
      <c r="N133" s="360"/>
    </row>
    <row r="134" spans="1:14" ht="15" customHeight="1">
      <c r="A134" s="681"/>
      <c r="B134" s="343" t="str">
        <f t="shared" si="0"/>
        <v>Dieciseisavofinalista</v>
      </c>
      <c r="C134" s="332" t="str">
        <f ca="1">WORLDCUP!AA105</f>
        <v>Ecuador</v>
      </c>
      <c r="D134" s="682"/>
      <c r="E134" s="353"/>
      <c r="F134" s="353"/>
      <c r="G134" s="353"/>
      <c r="H134" s="353"/>
      <c r="I134" s="364"/>
      <c r="J134" s="353"/>
      <c r="K134" s="353"/>
      <c r="L134" s="353"/>
      <c r="M134" s="362"/>
      <c r="N134" s="360"/>
    </row>
    <row r="135" spans="1:14" ht="15" customHeight="1">
      <c r="A135" s="681"/>
      <c r="B135" s="343" t="str">
        <f t="shared" si="0"/>
        <v>Dieciseisavofinalista</v>
      </c>
      <c r="C135" s="332" t="str">
        <f ca="1">WORLDCUP!AA106</f>
        <v>Francia</v>
      </c>
      <c r="D135" s="682"/>
      <c r="E135" s="353"/>
      <c r="F135" s="353"/>
      <c r="G135" s="353"/>
      <c r="H135" s="353"/>
      <c r="I135" s="364"/>
      <c r="J135" s="353"/>
      <c r="K135" s="353"/>
      <c r="L135" s="353"/>
      <c r="M135" s="362"/>
      <c r="N135" s="360"/>
    </row>
    <row r="136" spans="1:14" ht="15" customHeight="1">
      <c r="A136" s="681"/>
      <c r="B136" s="343" t="str">
        <f t="shared" si="0"/>
        <v>Dieciseisavofinalista</v>
      </c>
      <c r="C136" s="332" t="str">
        <f ca="1">WORLDCUP!AA107</f>
        <v>México</v>
      </c>
      <c r="D136" s="682"/>
      <c r="E136" s="353"/>
      <c r="F136" s="353"/>
      <c r="G136" s="353"/>
      <c r="H136" s="353"/>
      <c r="I136" s="364"/>
      <c r="J136" s="353"/>
      <c r="K136" s="353"/>
      <c r="L136" s="353"/>
      <c r="M136" s="362"/>
      <c r="N136" s="360"/>
    </row>
    <row r="137" spans="1:14" ht="15" customHeight="1">
      <c r="A137" s="681"/>
      <c r="B137" s="343" t="str">
        <f t="shared" si="0"/>
        <v>Dieciseisavofinalista</v>
      </c>
      <c r="C137" s="332" t="str">
        <f ca="1">WORLDCUP!AA108</f>
        <v>Inglaterra</v>
      </c>
      <c r="D137" s="682"/>
      <c r="E137" s="353"/>
      <c r="F137" s="353"/>
      <c r="G137" s="353"/>
      <c r="H137" s="353"/>
      <c r="I137" s="364"/>
      <c r="J137" s="353"/>
      <c r="K137" s="353"/>
      <c r="L137" s="353"/>
      <c r="M137" s="362"/>
      <c r="N137" s="360"/>
    </row>
    <row r="138" spans="1:14" ht="15" customHeight="1">
      <c r="A138" s="681"/>
      <c r="B138" s="343" t="str">
        <f t="shared" si="0"/>
        <v>Dieciseisavofinalista</v>
      </c>
      <c r="C138" s="332" t="str">
        <f ca="1">WORLDCUP!AA109</f>
        <v>Bélgica</v>
      </c>
      <c r="D138" s="682"/>
      <c r="E138" s="353"/>
      <c r="F138" s="353"/>
      <c r="G138" s="353"/>
      <c r="H138" s="353"/>
      <c r="I138" s="364"/>
      <c r="J138" s="353"/>
      <c r="K138" s="353"/>
      <c r="L138" s="353"/>
      <c r="M138" s="362"/>
      <c r="N138" s="360"/>
    </row>
    <row r="139" spans="1:14" ht="15" customHeight="1">
      <c r="A139" s="681"/>
      <c r="B139" s="343" t="str">
        <f t="shared" si="0"/>
        <v>Dieciseisavofinalista</v>
      </c>
      <c r="C139" s="332" t="str">
        <f ca="1">WORLDCUP!AA110</f>
        <v>Turquía</v>
      </c>
      <c r="D139" s="682"/>
      <c r="E139" s="353"/>
      <c r="F139" s="353"/>
      <c r="G139" s="353"/>
      <c r="H139" s="353"/>
      <c r="I139" s="364"/>
      <c r="J139" s="353"/>
      <c r="K139" s="353"/>
      <c r="L139" s="353"/>
      <c r="M139" s="362"/>
      <c r="N139" s="360"/>
    </row>
    <row r="140" spans="1:14" ht="15" customHeight="1">
      <c r="A140" s="681"/>
      <c r="B140" s="343" t="str">
        <f t="shared" si="0"/>
        <v>Dieciseisavofinalista</v>
      </c>
      <c r="C140" s="332" t="str">
        <f ca="1">WORLDCUP!AA111</f>
        <v>Uruguay</v>
      </c>
      <c r="D140" s="682"/>
      <c r="E140" s="353"/>
      <c r="F140" s="353"/>
      <c r="G140" s="353"/>
      <c r="H140" s="353"/>
      <c r="I140" s="364"/>
      <c r="J140" s="353"/>
      <c r="K140" s="353"/>
      <c r="L140" s="353"/>
      <c r="M140" s="362"/>
      <c r="N140" s="360"/>
    </row>
    <row r="141" spans="1:14" ht="15" customHeight="1">
      <c r="A141" s="681"/>
      <c r="B141" s="343" t="str">
        <f t="shared" si="0"/>
        <v>Dieciseisavofinalista</v>
      </c>
      <c r="C141" s="332" t="str">
        <f ca="1">WORLDCUP!AA112</f>
        <v>Colombia</v>
      </c>
      <c r="D141" s="682"/>
      <c r="E141" s="353"/>
      <c r="F141" s="353"/>
      <c r="G141" s="353"/>
      <c r="H141" s="353"/>
      <c r="I141" s="364"/>
      <c r="J141" s="353"/>
      <c r="K141" s="353"/>
      <c r="L141" s="353"/>
      <c r="M141" s="362"/>
      <c r="N141" s="360"/>
    </row>
    <row r="142" spans="1:14" ht="15" customHeight="1">
      <c r="A142" s="681"/>
      <c r="B142" s="343" t="str">
        <f t="shared" si="0"/>
        <v>Dieciseisavofinalista</v>
      </c>
      <c r="C142" s="332" t="str">
        <f ca="1">WORLDCUP!AA113</f>
        <v>Suiza</v>
      </c>
      <c r="D142" s="682"/>
      <c r="E142" s="353"/>
      <c r="F142" s="353"/>
      <c r="G142" s="353"/>
      <c r="H142" s="353"/>
      <c r="I142" s="364"/>
      <c r="J142" s="353"/>
      <c r="K142" s="353"/>
      <c r="L142" s="353"/>
      <c r="M142" s="362"/>
      <c r="N142" s="360"/>
    </row>
    <row r="143" spans="1:14" ht="15" customHeight="1">
      <c r="A143" s="681"/>
      <c r="B143" s="343" t="str">
        <f t="shared" si="0"/>
        <v>Dieciseisavofinalista</v>
      </c>
      <c r="C143" s="332" t="str">
        <f ca="1">WORLDCUP!AA114</f>
        <v>Australia</v>
      </c>
      <c r="D143" s="682"/>
      <c r="E143" s="353"/>
      <c r="F143" s="353"/>
      <c r="G143" s="353"/>
      <c r="H143" s="353"/>
      <c r="I143" s="364"/>
      <c r="J143" s="353"/>
      <c r="K143" s="353"/>
      <c r="L143" s="353"/>
      <c r="M143" s="362"/>
      <c r="N143" s="360"/>
    </row>
    <row r="144" spans="1:14" ht="15" customHeight="1">
      <c r="A144" s="681"/>
      <c r="B144" s="343" t="str">
        <f t="shared" si="0"/>
        <v>Dieciseisavofinalista</v>
      </c>
      <c r="C144" s="332" t="str">
        <f ca="1">WORLDCUP!AA115</f>
        <v>Argentina</v>
      </c>
      <c r="D144" s="682"/>
      <c r="E144" s="353"/>
      <c r="F144" s="353"/>
      <c r="G144" s="353"/>
      <c r="H144" s="353"/>
      <c r="I144" s="364"/>
      <c r="J144" s="353"/>
      <c r="K144" s="353"/>
      <c r="L144" s="353"/>
      <c r="M144" s="362"/>
      <c r="N144" s="360"/>
    </row>
    <row r="145" spans="1:14" ht="15" customHeight="1">
      <c r="A145" s="681"/>
      <c r="B145" s="343" t="str">
        <f t="shared" si="0"/>
        <v>Dieciseisavofinalista</v>
      </c>
      <c r="C145" s="332" t="str">
        <f ca="1">WORLDCUP!AA116</f>
        <v>Portugal</v>
      </c>
      <c r="D145" s="682"/>
      <c r="E145" s="353"/>
      <c r="F145" s="353"/>
      <c r="G145" s="353"/>
      <c r="H145" s="353"/>
      <c r="I145" s="364"/>
      <c r="J145" s="353"/>
      <c r="K145" s="353"/>
      <c r="L145" s="353"/>
      <c r="M145" s="362"/>
      <c r="N145" s="360"/>
    </row>
    <row r="146" spans="1:14" ht="15" customHeight="1">
      <c r="A146" s="681"/>
      <c r="B146" s="343" t="str">
        <f>Idiomas!$D$188</f>
        <v>Dieciseisavofinalista</v>
      </c>
      <c r="C146" s="332" t="str">
        <f ca="1">WORLDCUP!AF101</f>
        <v>Canadá</v>
      </c>
      <c r="D146" s="682"/>
      <c r="E146" s="353"/>
      <c r="F146" s="353"/>
      <c r="G146" s="353"/>
      <c r="H146" s="353"/>
      <c r="I146" s="364"/>
      <c r="J146" s="353"/>
      <c r="K146" s="353"/>
      <c r="L146" s="353"/>
      <c r="M146" s="362"/>
      <c r="N146" s="360"/>
    </row>
    <row r="147" spans="1:14" ht="15" customHeight="1">
      <c r="A147" s="681"/>
      <c r="B147" s="343" t="str">
        <f>B146</f>
        <v>Dieciseisavofinalista</v>
      </c>
      <c r="C147" s="332" t="str">
        <f ca="1">WORLDCUP!AF102</f>
        <v>Países Bajos</v>
      </c>
      <c r="D147" s="682"/>
      <c r="E147" s="353"/>
      <c r="F147" s="353"/>
      <c r="G147" s="353"/>
      <c r="H147" s="353"/>
      <c r="I147" s="364"/>
      <c r="J147" s="353"/>
      <c r="K147" s="353"/>
      <c r="L147" s="353"/>
      <c r="M147" s="362"/>
      <c r="N147" s="360"/>
    </row>
    <row r="148" spans="1:14" ht="15" customHeight="1">
      <c r="A148" s="681"/>
      <c r="B148" s="343" t="str">
        <f t="shared" ref="B148:B161" si="1">B147</f>
        <v>Dieciseisavofinalista</v>
      </c>
      <c r="C148" s="332" t="str">
        <f ca="1">WORLDCUP!AF103</f>
        <v>Escocia</v>
      </c>
      <c r="D148" s="682"/>
      <c r="E148" s="353"/>
      <c r="F148" s="353"/>
      <c r="G148" s="353"/>
      <c r="H148" s="353"/>
      <c r="I148" s="364"/>
      <c r="J148" s="353"/>
      <c r="K148" s="353"/>
      <c r="L148" s="353"/>
      <c r="M148" s="362"/>
      <c r="N148" s="360"/>
    </row>
    <row r="149" spans="1:14" ht="15" customHeight="1">
      <c r="A149" s="681"/>
      <c r="B149" s="343" t="str">
        <f t="shared" si="1"/>
        <v>Dieciseisavofinalista</v>
      </c>
      <c r="C149" s="332" t="str">
        <f ca="1">WORLDCUP!AF104</f>
        <v>Marruecos</v>
      </c>
      <c r="D149" s="682"/>
      <c r="E149" s="353"/>
      <c r="F149" s="353"/>
      <c r="G149" s="353"/>
      <c r="H149" s="353"/>
      <c r="I149" s="364"/>
      <c r="J149" s="353"/>
      <c r="K149" s="353"/>
      <c r="L149" s="353"/>
      <c r="M149" s="362"/>
      <c r="N149" s="360"/>
    </row>
    <row r="150" spans="1:14" ht="15" customHeight="1">
      <c r="A150" s="681"/>
      <c r="B150" s="343" t="str">
        <f t="shared" si="1"/>
        <v>Dieciseisavofinalista</v>
      </c>
      <c r="C150" s="332" t="str">
        <f ca="1">WORLDCUP!AF105</f>
        <v>Senegal</v>
      </c>
      <c r="D150" s="682"/>
      <c r="E150" s="353"/>
      <c r="F150" s="353"/>
      <c r="G150" s="353"/>
      <c r="H150" s="353"/>
      <c r="I150" s="364"/>
      <c r="J150" s="353"/>
      <c r="K150" s="353"/>
      <c r="L150" s="353"/>
      <c r="M150" s="362"/>
      <c r="N150" s="360"/>
    </row>
    <row r="151" spans="1:14" ht="15" customHeight="1">
      <c r="A151" s="681"/>
      <c r="B151" s="343" t="str">
        <f t="shared" si="1"/>
        <v>Dieciseisavofinalista</v>
      </c>
      <c r="C151" s="332" t="str">
        <f ca="1">WORLDCUP!AF106</f>
        <v>Estados Unidos</v>
      </c>
      <c r="D151" s="682"/>
      <c r="E151" s="353"/>
      <c r="F151" s="353"/>
      <c r="G151" s="353"/>
      <c r="H151" s="353"/>
      <c r="I151" s="364"/>
      <c r="J151" s="353"/>
      <c r="K151" s="353"/>
      <c r="L151" s="353"/>
      <c r="M151" s="362"/>
      <c r="N151" s="360"/>
    </row>
    <row r="152" spans="1:14" ht="15" customHeight="1">
      <c r="A152" s="681"/>
      <c r="B152" s="343" t="str">
        <f t="shared" si="1"/>
        <v>Dieciseisavofinalista</v>
      </c>
      <c r="C152" s="332" t="str">
        <f ca="1">WORLDCUP!AF107</f>
        <v>Cabo Verde</v>
      </c>
      <c r="D152" s="682"/>
      <c r="E152" s="353"/>
      <c r="F152" s="353"/>
      <c r="G152" s="353"/>
      <c r="H152" s="353"/>
      <c r="I152" s="364"/>
      <c r="J152" s="353"/>
      <c r="K152" s="353"/>
      <c r="L152" s="353"/>
      <c r="M152" s="362"/>
      <c r="N152" s="360"/>
    </row>
    <row r="153" spans="1:14" ht="15" customHeight="1">
      <c r="A153" s="681"/>
      <c r="B153" s="343" t="str">
        <f t="shared" si="1"/>
        <v>Dieciseisavofinalista</v>
      </c>
      <c r="C153" s="332" t="str">
        <f ca="1">WORLDCUP!AF108</f>
        <v>Costa de Marfil</v>
      </c>
      <c r="D153" s="682"/>
      <c r="E153" s="353"/>
      <c r="F153" s="353"/>
      <c r="G153" s="353"/>
      <c r="H153" s="353"/>
      <c r="I153" s="364"/>
      <c r="J153" s="353"/>
      <c r="K153" s="353"/>
      <c r="L153" s="353"/>
      <c r="M153" s="362"/>
      <c r="N153" s="360"/>
    </row>
    <row r="154" spans="1:14" ht="15" customHeight="1">
      <c r="A154" s="681"/>
      <c r="B154" s="343" t="str">
        <f t="shared" si="1"/>
        <v>Dieciseisavofinalista</v>
      </c>
      <c r="C154" s="332" t="str">
        <f ca="1">WORLDCUP!AF109</f>
        <v>Sudáfrica</v>
      </c>
      <c r="D154" s="682"/>
      <c r="E154" s="353"/>
      <c r="F154" s="353"/>
      <c r="G154" s="353"/>
      <c r="H154" s="353"/>
      <c r="I154" s="364"/>
      <c r="J154" s="353"/>
      <c r="K154" s="353"/>
      <c r="L154" s="353"/>
      <c r="M154" s="362"/>
      <c r="N154" s="360"/>
    </row>
    <row r="155" spans="1:14" ht="15" customHeight="1">
      <c r="A155" s="681"/>
      <c r="B155" s="343" t="str">
        <f t="shared" si="1"/>
        <v>Dieciseisavofinalista</v>
      </c>
      <c r="C155" s="332" t="str">
        <f ca="1">WORLDCUP!AF110</f>
        <v>Bosnia y Herzegovina</v>
      </c>
      <c r="D155" s="682"/>
      <c r="E155" s="353"/>
      <c r="F155" s="353"/>
      <c r="G155" s="353"/>
      <c r="H155" s="353"/>
      <c r="I155" s="364"/>
      <c r="J155" s="353"/>
      <c r="K155" s="353"/>
      <c r="L155" s="353"/>
      <c r="M155" s="362"/>
      <c r="N155" s="360"/>
    </row>
    <row r="156" spans="1:14" ht="15" customHeight="1">
      <c r="A156" s="681"/>
      <c r="B156" s="343" t="str">
        <f t="shared" si="1"/>
        <v>Dieciseisavofinalista</v>
      </c>
      <c r="C156" s="332" t="str">
        <f ca="1">WORLDCUP!AF111</f>
        <v>Austria</v>
      </c>
      <c r="D156" s="682"/>
      <c r="E156" s="353"/>
      <c r="F156" s="353"/>
      <c r="G156" s="353"/>
      <c r="H156" s="353"/>
      <c r="I156" s="364"/>
      <c r="J156" s="353"/>
      <c r="K156" s="353"/>
      <c r="L156" s="353"/>
      <c r="M156" s="362"/>
      <c r="N156" s="360"/>
    </row>
    <row r="157" spans="1:14" ht="15" customHeight="1">
      <c r="A157" s="681"/>
      <c r="B157" s="343" t="str">
        <f t="shared" si="1"/>
        <v>Dieciseisavofinalista</v>
      </c>
      <c r="C157" s="332" t="str">
        <f ca="1">WORLDCUP!AF112</f>
        <v>Croacia</v>
      </c>
      <c r="D157" s="682"/>
      <c r="E157" s="353"/>
      <c r="F157" s="353"/>
      <c r="G157" s="353"/>
      <c r="H157" s="353"/>
      <c r="I157" s="364"/>
      <c r="J157" s="353"/>
      <c r="K157" s="353"/>
      <c r="L157" s="353"/>
      <c r="M157" s="362"/>
      <c r="N157" s="360"/>
    </row>
    <row r="158" spans="1:14" ht="15" customHeight="1">
      <c r="A158" s="681"/>
      <c r="B158" s="343" t="str">
        <f t="shared" si="1"/>
        <v>Dieciseisavofinalista</v>
      </c>
      <c r="C158" s="332" t="str">
        <f ca="1">WORLDCUP!AF113</f>
        <v>Argelia</v>
      </c>
      <c r="D158" s="682"/>
      <c r="E158" s="353"/>
      <c r="F158" s="353"/>
      <c r="G158" s="353"/>
      <c r="H158" s="353"/>
      <c r="I158" s="364"/>
      <c r="J158" s="353"/>
      <c r="K158" s="353"/>
      <c r="L158" s="353"/>
      <c r="M158" s="362"/>
      <c r="N158" s="360"/>
    </row>
    <row r="159" spans="1:14" ht="15" customHeight="1">
      <c r="A159" s="681"/>
      <c r="B159" s="343" t="str">
        <f t="shared" si="1"/>
        <v>Dieciseisavofinalista</v>
      </c>
      <c r="C159" s="332" t="str">
        <f ca="1">WORLDCUP!AF114</f>
        <v>Egipto</v>
      </c>
      <c r="D159" s="682"/>
      <c r="E159" s="353"/>
      <c r="F159" s="353"/>
      <c r="G159" s="353"/>
      <c r="H159" s="353"/>
      <c r="I159" s="364"/>
      <c r="J159" s="353"/>
      <c r="K159" s="353"/>
      <c r="L159" s="353"/>
      <c r="M159" s="362"/>
      <c r="N159" s="360"/>
    </row>
    <row r="160" spans="1:14" ht="15" customHeight="1">
      <c r="A160" s="681"/>
      <c r="B160" s="343" t="str">
        <f t="shared" si="1"/>
        <v>Dieciseisavofinalista</v>
      </c>
      <c r="C160" s="332" t="str">
        <f ca="1">WORLDCUP!AF115</f>
        <v>España</v>
      </c>
      <c r="D160" s="682"/>
      <c r="E160" s="353"/>
      <c r="F160" s="353"/>
      <c r="G160" s="353"/>
      <c r="H160" s="353"/>
      <c r="I160" s="364"/>
      <c r="J160" s="353"/>
      <c r="K160" s="353"/>
      <c r="L160" s="353"/>
      <c r="M160" s="362"/>
      <c r="N160" s="360"/>
    </row>
    <row r="161" spans="1:14" ht="15" customHeight="1">
      <c r="A161" s="681"/>
      <c r="B161" s="343" t="str">
        <f t="shared" si="1"/>
        <v>Dieciseisavofinalista</v>
      </c>
      <c r="C161" s="332" t="str">
        <f ca="1">WORLDCUP!AF116</f>
        <v>Ghana</v>
      </c>
      <c r="D161" s="683"/>
      <c r="E161" s="355"/>
      <c r="F161" s="355"/>
      <c r="G161" s="355"/>
      <c r="H161" s="355"/>
      <c r="I161" s="365"/>
      <c r="J161" s="366"/>
      <c r="K161" s="355"/>
      <c r="L161" s="355"/>
      <c r="M161" s="367"/>
      <c r="N161" s="360"/>
    </row>
    <row r="162" spans="1:14" ht="20" customHeight="1">
      <c r="A162" s="336"/>
      <c r="B162" s="336"/>
      <c r="C162" s="333"/>
      <c r="D162" s="353"/>
      <c r="E162" s="665" t="str">
        <f>Idiomas!D113</f>
        <v>·Si haceis todas las eliminatorias de golpe, copiar de la C164 a la C252 y pegar valores en la plantilla de Administrador.</v>
      </c>
      <c r="F162" s="665"/>
      <c r="G162" s="665"/>
      <c r="H162" s="665"/>
      <c r="I162" s="665"/>
      <c r="J162" s="665"/>
      <c r="K162" s="665"/>
      <c r="L162" s="666"/>
      <c r="M162" s="368"/>
      <c r="N162" s="360"/>
    </row>
    <row r="163" spans="1:14" ht="23" customHeight="1">
      <c r="A163" s="336"/>
      <c r="B163" s="341" t="str">
        <f>Idiomas!D128</f>
        <v>ENFRENTAMIENTOS DIECISEISAVOS</v>
      </c>
      <c r="C163" s="333"/>
      <c r="D163" s="353"/>
      <c r="E163" s="667" t="str">
        <f>Idiomas!D114</f>
        <v>·Si haceis eliminatoria a eliminatoria seguir las instrucciones de cada eliminatoria.</v>
      </c>
      <c r="F163" s="667"/>
      <c r="G163" s="667"/>
      <c r="H163" s="667"/>
      <c r="I163" s="667"/>
      <c r="J163" s="667"/>
      <c r="K163" s="667"/>
      <c r="L163" s="668"/>
      <c r="M163" s="369"/>
      <c r="N163" s="360"/>
    </row>
    <row r="164" spans="1:14" ht="15" customHeight="1">
      <c r="A164" s="681" t="s">
        <v>493</v>
      </c>
      <c r="B164" s="343" t="str">
        <f ca="1">CONCATENATE(WORLDCUP!AA101,"-",WORLDCUP!AF101)</f>
        <v>República Checa-Canadá</v>
      </c>
      <c r="C164" s="332" t="str">
        <f ca="1">CONCATENATE(WORLDCUP!AA101,"-",WORLDCUP!AF101,"·",IF(WORLDCUP!AC101&gt;WORLDCUP!AD101,1,IF(WORLDCUP!AC101&lt;WORLDCUP!AD101,2,IF(AND(WORLDCUP!AC101=WORLDCUP!AD101,WORLDCUP!AC101&lt;&gt;"",WORLDCUP!AD101&lt;&gt;""),"X",0))),"|",WORLDCUP!AC101,"-",WORLDCUP!AD101)</f>
        <v>República Checa-Canadá·2|1-2</v>
      </c>
      <c r="D164" s="684" t="s">
        <v>493</v>
      </c>
      <c r="E164" s="669" t="str">
        <f>Idiomas!D115</f>
        <v>·Para los dieciseisavos copiar de la C164 a la C197 y pega valores en la plantilla de administrador.</v>
      </c>
      <c r="F164" s="669"/>
      <c r="G164" s="669"/>
      <c r="H164" s="669"/>
      <c r="I164" s="335"/>
      <c r="J164" s="353"/>
      <c r="K164" s="353"/>
      <c r="L164" s="353"/>
      <c r="M164" s="369"/>
      <c r="N164" s="360"/>
    </row>
    <row r="165" spans="1:14" ht="15" customHeight="1">
      <c r="A165" s="681"/>
      <c r="B165" s="343" t="str">
        <f ca="1">CONCATENATE(WORLDCUP!AA102,"-",WORLDCUP!AF102)</f>
        <v>Brasil-Países Bajos</v>
      </c>
      <c r="C165" s="332" t="str">
        <f ca="1">CONCATENATE(WORLDCUP!AA102,"-",WORLDCUP!AF102,"·",IF(WORLDCUP!AC102&gt;WORLDCUP!AD102,1,IF(WORLDCUP!AC102&lt;WORLDCUP!AD102,2,IF(AND(WORLDCUP!AC102=WORLDCUP!AD102,WORLDCUP!AC102&lt;&gt;"",WORLDCUP!AD102&lt;&gt;""),"X",0))),"|",WORLDCUP!AC102,"-",WORLDCUP!AD102)</f>
        <v>Brasil-Países Bajos·1|1-0</v>
      </c>
      <c r="D165" s="684"/>
      <c r="E165" s="670"/>
      <c r="F165" s="670"/>
      <c r="G165" s="670"/>
      <c r="H165" s="670"/>
      <c r="I165" s="335"/>
      <c r="J165" s="353"/>
      <c r="K165" s="353"/>
      <c r="L165" s="353"/>
      <c r="M165" s="369"/>
      <c r="N165" s="360"/>
    </row>
    <row r="166" spans="1:14" ht="15" customHeight="1">
      <c r="A166" s="681"/>
      <c r="B166" s="343" t="str">
        <f ca="1">CONCATENATE(WORLDCUP!AA103,"-",WORLDCUP!AF103)</f>
        <v>Alemania-Escocia</v>
      </c>
      <c r="C166" s="332" t="str">
        <f ca="1">CONCATENATE(WORLDCUP!AA103,"-",WORLDCUP!AF103,"·",IF(WORLDCUP!AC103&gt;WORLDCUP!AD103,1,IF(WORLDCUP!AC103&lt;WORLDCUP!AD103,2,IF(AND(WORLDCUP!AC103=WORLDCUP!AD103,WORLDCUP!AC103&lt;&gt;"",WORLDCUP!AD103&lt;&gt;""),"X",0))),"|",WORLDCUP!AC103,"-",WORLDCUP!AD103)</f>
        <v>Alemania-Escocia·1|3-1</v>
      </c>
      <c r="D166" s="684"/>
      <c r="E166" s="670"/>
      <c r="F166" s="670"/>
      <c r="G166" s="670"/>
      <c r="H166" s="670"/>
      <c r="I166" s="335"/>
      <c r="J166" s="353"/>
      <c r="K166" s="353"/>
      <c r="L166" s="353"/>
      <c r="M166" s="369"/>
      <c r="N166" s="360"/>
    </row>
    <row r="167" spans="1:14" ht="15" customHeight="1">
      <c r="A167" s="681"/>
      <c r="B167" s="343" t="str">
        <f ca="1">CONCATENATE(WORLDCUP!AA104,"-",WORLDCUP!AF104)</f>
        <v>Japón-Marruecos</v>
      </c>
      <c r="C167" s="332" t="str">
        <f ca="1">CONCATENATE(WORLDCUP!AA104,"-",WORLDCUP!AF104,"·",IF(WORLDCUP!AC104&gt;WORLDCUP!AD104,1,IF(WORLDCUP!AC104&lt;WORLDCUP!AD104,2,IF(AND(WORLDCUP!AC104=WORLDCUP!AD104,WORLDCUP!AC104&lt;&gt;"",WORLDCUP!AD104&lt;&gt;""),"X",0))),"|",WORLDCUP!AC104,"-",WORLDCUP!AD104)</f>
        <v>Japón-Marruecos·2|1-2</v>
      </c>
      <c r="D167" s="684"/>
      <c r="E167" s="670"/>
      <c r="F167" s="670"/>
      <c r="G167" s="670"/>
      <c r="H167" s="670"/>
      <c r="I167" s="335"/>
      <c r="J167" s="353"/>
      <c r="K167" s="353"/>
      <c r="L167" s="353"/>
      <c r="M167" s="369"/>
      <c r="N167" s="360"/>
    </row>
    <row r="168" spans="1:14" ht="15" customHeight="1">
      <c r="A168" s="681"/>
      <c r="B168" s="343" t="str">
        <f ca="1">CONCATENATE(WORLDCUP!AA105,"-",WORLDCUP!AF105)</f>
        <v>Ecuador-Senegal</v>
      </c>
      <c r="C168" s="332" t="str">
        <f ca="1">CONCATENATE(WORLDCUP!AA105,"-",WORLDCUP!AF105,"·",IF(WORLDCUP!AC105&gt;WORLDCUP!AD105,1,IF(WORLDCUP!AC105&lt;WORLDCUP!AD105,2,IF(AND(WORLDCUP!AC105=WORLDCUP!AD105,WORLDCUP!AC105&lt;&gt;"",WORLDCUP!AD105&lt;&gt;""),"X",0))),"|",WORLDCUP!AC105,"-",WORLDCUP!AD105)</f>
        <v>Ecuador-Senegal·X|1-1</v>
      </c>
      <c r="D168" s="684"/>
      <c r="E168" s="353"/>
      <c r="F168" s="353"/>
      <c r="G168" s="353"/>
      <c r="H168" s="353"/>
      <c r="I168" s="335"/>
      <c r="J168" s="353"/>
      <c r="K168" s="353"/>
      <c r="L168" s="353"/>
      <c r="M168" s="369"/>
      <c r="N168" s="360"/>
    </row>
    <row r="169" spans="1:14" ht="15" customHeight="1">
      <c r="A169" s="681"/>
      <c r="B169" s="343" t="str">
        <f ca="1">CONCATENATE(WORLDCUP!AA106,"-",WORLDCUP!AF106)</f>
        <v>Francia-Estados Unidos</v>
      </c>
      <c r="C169" s="332" t="str">
        <f ca="1">CONCATENATE(WORLDCUP!AA106,"-",WORLDCUP!AF106,"·",IF(WORLDCUP!AC106&gt;WORLDCUP!AD106,1,IF(WORLDCUP!AC106&lt;WORLDCUP!AD106,2,IF(AND(WORLDCUP!AC106=WORLDCUP!AD106,WORLDCUP!AC106&lt;&gt;"",WORLDCUP!AD106&lt;&gt;""),"X",0))),"|",WORLDCUP!AC106,"-",WORLDCUP!AD106)</f>
        <v>Francia-Estados Unidos·1|3-1</v>
      </c>
      <c r="D169" s="684"/>
      <c r="E169" s="353"/>
      <c r="F169" s="353"/>
      <c r="G169" s="353"/>
      <c r="H169" s="353"/>
      <c r="I169" s="335"/>
      <c r="J169" s="353"/>
      <c r="K169" s="353"/>
      <c r="L169" s="353"/>
      <c r="M169" s="369"/>
      <c r="N169" s="360"/>
    </row>
    <row r="170" spans="1:14" ht="15" customHeight="1">
      <c r="A170" s="681"/>
      <c r="B170" s="343" t="str">
        <f ca="1">CONCATENATE(WORLDCUP!AA107,"-",WORLDCUP!AF107)</f>
        <v>México-Cabo Verde</v>
      </c>
      <c r="C170" s="332" t="str">
        <f ca="1">CONCATENATE(WORLDCUP!AA107,"-",WORLDCUP!AF107,"·",IF(WORLDCUP!AC107&gt;WORLDCUP!AD107,1,IF(WORLDCUP!AC107&lt;WORLDCUP!AD107,2,IF(AND(WORLDCUP!AC107=WORLDCUP!AD107,WORLDCUP!AC107&lt;&gt;"",WORLDCUP!AD107&lt;&gt;""),"X",0))),"|",WORLDCUP!AC107,"-",WORLDCUP!AD107)</f>
        <v>México-Cabo Verde·1|2-1</v>
      </c>
      <c r="D170" s="684"/>
      <c r="E170" s="353"/>
      <c r="F170" s="353"/>
      <c r="G170" s="353"/>
      <c r="H170" s="353"/>
      <c r="I170" s="335"/>
      <c r="J170" s="353"/>
      <c r="K170" s="353"/>
      <c r="L170" s="353"/>
      <c r="M170" s="369"/>
      <c r="N170" s="360"/>
    </row>
    <row r="171" spans="1:14" ht="15" customHeight="1">
      <c r="A171" s="681"/>
      <c r="B171" s="343" t="str">
        <f ca="1">CONCATENATE(WORLDCUP!AA108,"-",WORLDCUP!AF108)</f>
        <v>Inglaterra-Costa de Marfil</v>
      </c>
      <c r="C171" s="332" t="str">
        <f ca="1">CONCATENATE(WORLDCUP!AA108,"-",WORLDCUP!AF108,"·",IF(WORLDCUP!AC108&gt;WORLDCUP!AD108,1,IF(WORLDCUP!AC108&lt;WORLDCUP!AD108,2,IF(AND(WORLDCUP!AC108=WORLDCUP!AD108,WORLDCUP!AC108&lt;&gt;"",WORLDCUP!AD108&lt;&gt;""),"X",0))),"|",WORLDCUP!AC108,"-",WORLDCUP!AD108)</f>
        <v>Inglaterra-Costa de Marfil·1|1-0</v>
      </c>
      <c r="D171" s="684"/>
      <c r="E171" s="353"/>
      <c r="F171" s="353"/>
      <c r="G171" s="353"/>
      <c r="H171" s="353"/>
      <c r="I171" s="335"/>
      <c r="J171" s="353"/>
      <c r="K171" s="353"/>
      <c r="L171" s="353"/>
      <c r="M171" s="369"/>
      <c r="N171" s="360"/>
    </row>
    <row r="172" spans="1:14" ht="15" customHeight="1">
      <c r="A172" s="681"/>
      <c r="B172" s="343" t="str">
        <f ca="1">CONCATENATE(WORLDCUP!AA109,"-",WORLDCUP!AF109)</f>
        <v>Bélgica-Sudáfrica</v>
      </c>
      <c r="C172" s="332" t="str">
        <f ca="1">CONCATENATE(WORLDCUP!AA109,"-",WORLDCUP!AF109,"·",IF(WORLDCUP!AC109&gt;WORLDCUP!AD109,1,IF(WORLDCUP!AC109&lt;WORLDCUP!AD109,2,IF(AND(WORLDCUP!AC109=WORLDCUP!AD109,WORLDCUP!AC109&lt;&gt;"",WORLDCUP!AD109&lt;&gt;""),"X",0))),"|",WORLDCUP!AC109,"-",WORLDCUP!AD109)</f>
        <v>Bélgica-Sudáfrica·1|3-0</v>
      </c>
      <c r="D172" s="684"/>
      <c r="E172" s="353"/>
      <c r="F172" s="353"/>
      <c r="G172" s="353"/>
      <c r="H172" s="353"/>
      <c r="I172" s="335"/>
      <c r="J172" s="353"/>
      <c r="K172" s="353"/>
      <c r="L172" s="353"/>
      <c r="M172" s="369"/>
      <c r="N172" s="360"/>
    </row>
    <row r="173" spans="1:14" ht="15" customHeight="1">
      <c r="A173" s="681"/>
      <c r="B173" s="343" t="str">
        <f ca="1">CONCATENATE(WORLDCUP!AA110,"-",WORLDCUP!AF110)</f>
        <v>Turquía-Bosnia y Herzegovina</v>
      </c>
      <c r="C173" s="332" t="str">
        <f ca="1">CONCATENATE(WORLDCUP!AA110,"-",WORLDCUP!AF110,"·",IF(WORLDCUP!AC110&gt;WORLDCUP!AD110,1,IF(WORLDCUP!AC110&lt;WORLDCUP!AD110,2,IF(AND(WORLDCUP!AC110=WORLDCUP!AD110,WORLDCUP!AC110&lt;&gt;"",WORLDCUP!AD110&lt;&gt;""),"X",0))),"|",WORLDCUP!AC110,"-",WORLDCUP!AD110)</f>
        <v>Turquía-Bosnia y Herzegovina·1|2-0</v>
      </c>
      <c r="D173" s="684"/>
      <c r="E173" s="353"/>
      <c r="F173" s="353"/>
      <c r="G173" s="353"/>
      <c r="H173" s="353"/>
      <c r="I173" s="335"/>
      <c r="J173" s="353"/>
      <c r="K173" s="353"/>
      <c r="L173" s="353"/>
      <c r="M173" s="369"/>
      <c r="N173" s="360"/>
    </row>
    <row r="174" spans="1:14" ht="15" customHeight="1">
      <c r="A174" s="681"/>
      <c r="B174" s="343" t="str">
        <f ca="1">CONCATENATE(WORLDCUP!AA111,"-",WORLDCUP!AF111)</f>
        <v>Uruguay-Austria</v>
      </c>
      <c r="C174" s="332" t="str">
        <f ca="1">CONCATENATE(WORLDCUP!AA111,"-",WORLDCUP!AF111,"·",IF(WORLDCUP!AC111&gt;WORLDCUP!AD111,1,IF(WORLDCUP!AC111&lt;WORLDCUP!AD111,2,IF(AND(WORLDCUP!AC111=WORLDCUP!AD111,WORLDCUP!AC111&lt;&gt;"",WORLDCUP!AD111&lt;&gt;""),"X",0))),"|",WORLDCUP!AC111,"-",WORLDCUP!AD111)</f>
        <v>Uruguay-Austria·1|2-1</v>
      </c>
      <c r="D174" s="684"/>
      <c r="E174" s="353"/>
      <c r="F174" s="353"/>
      <c r="G174" s="353"/>
      <c r="H174" s="353"/>
      <c r="I174" s="335"/>
      <c r="J174" s="353"/>
      <c r="K174" s="353"/>
      <c r="L174" s="353"/>
      <c r="M174" s="369"/>
      <c r="N174" s="360"/>
    </row>
    <row r="175" spans="1:14" ht="15" customHeight="1">
      <c r="A175" s="681"/>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Colombia-Croacia·1|1-0</v>
      </c>
      <c r="D175" s="684"/>
      <c r="E175" s="353"/>
      <c r="F175" s="353"/>
      <c r="G175" s="353"/>
      <c r="H175" s="353"/>
      <c r="I175" s="335"/>
      <c r="J175" s="353"/>
      <c r="K175" s="353"/>
      <c r="L175" s="353"/>
      <c r="M175" s="369"/>
      <c r="N175" s="360"/>
    </row>
    <row r="176" spans="1:14" ht="15" customHeight="1">
      <c r="A176" s="681"/>
      <c r="B176" s="343" t="str">
        <f ca="1">CONCATENATE(WORLDCUP!AA113,"-",WORLDCUP!AF113)</f>
        <v>Suiza-Argelia</v>
      </c>
      <c r="C176" s="332" t="str">
        <f ca="1">CONCATENATE(WORLDCUP!AA113,"-",WORLDCUP!AF113,"·",IF(WORLDCUP!AC113&gt;WORLDCUP!AD113,1,IF(WORLDCUP!AC113&lt;WORLDCUP!AD113,2,IF(AND(WORLDCUP!AC113=WORLDCUP!AD113,WORLDCUP!AC113&lt;&gt;"",WORLDCUP!AD113&lt;&gt;""),"X",0))),"|",WORLDCUP!AC113,"-",WORLDCUP!AD113)</f>
        <v>Suiza-Argelia·1|1-0</v>
      </c>
      <c r="D176" s="684"/>
      <c r="E176" s="353"/>
      <c r="F176" s="353"/>
      <c r="G176" s="353"/>
      <c r="H176" s="353"/>
      <c r="I176" s="335"/>
      <c r="J176" s="353"/>
      <c r="K176" s="353"/>
      <c r="L176" s="353"/>
      <c r="M176" s="369"/>
      <c r="N176" s="360"/>
    </row>
    <row r="177" spans="1:14" ht="15" customHeight="1">
      <c r="A177" s="681"/>
      <c r="B177" s="343" t="str">
        <f ca="1">CONCATENATE(WORLDCUP!AA114,"-",WORLDCUP!AF114)</f>
        <v>Australia-Egipto</v>
      </c>
      <c r="C177" s="332" t="str">
        <f ca="1">CONCATENATE(WORLDCUP!AA114,"-",WORLDCUP!AF114,"·",IF(WORLDCUP!AC114&gt;WORLDCUP!AD114,1,IF(WORLDCUP!AC114&lt;WORLDCUP!AD114,2,IF(AND(WORLDCUP!AC114=WORLDCUP!AD114,WORLDCUP!AC114&lt;&gt;"",WORLDCUP!AD114&lt;&gt;""),"X",0))),"|",WORLDCUP!AC114,"-",WORLDCUP!AD114)</f>
        <v>Australia-Egipto·2|0-2</v>
      </c>
      <c r="D177" s="684"/>
      <c r="E177" s="353"/>
      <c r="F177" s="353"/>
      <c r="G177" s="353"/>
      <c r="H177" s="353"/>
      <c r="I177" s="335"/>
      <c r="J177" s="353"/>
      <c r="K177" s="353"/>
      <c r="L177" s="353"/>
      <c r="M177" s="369"/>
      <c r="N177" s="360"/>
    </row>
    <row r="178" spans="1:14" ht="15" customHeight="1">
      <c r="A178" s="681"/>
      <c r="B178" s="343" t="str">
        <f ca="1">CONCATENATE(WORLDCUP!AA115,"-",WORLDCUP!AF115)</f>
        <v>Argentina-España</v>
      </c>
      <c r="C178" s="332" t="str">
        <f ca="1">CONCATENATE(WORLDCUP!AA115,"-",WORLDCUP!AF115,"·",IF(WORLDCUP!AC115&gt;WORLDCUP!AD115,1,IF(WORLDCUP!AC115&lt;WORLDCUP!AD115,2,IF(AND(WORLDCUP!AC115=WORLDCUP!AD115,WORLDCUP!AC115&lt;&gt;"",WORLDCUP!AD115&lt;&gt;""),"X",0))),"|",WORLDCUP!AC115,"-",WORLDCUP!AD115)</f>
        <v>Argentina-España·2|1-2</v>
      </c>
      <c r="D178" s="684"/>
      <c r="E178" s="353"/>
      <c r="F178" s="353"/>
      <c r="G178" s="353"/>
      <c r="H178" s="353"/>
      <c r="I178" s="335"/>
      <c r="J178" s="353"/>
      <c r="K178" s="353"/>
      <c r="L178" s="353"/>
      <c r="M178" s="369"/>
      <c r="N178" s="360"/>
    </row>
    <row r="179" spans="1:14" ht="15" customHeight="1">
      <c r="A179" s="681"/>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Portugal-Ghana·1|3-1</v>
      </c>
      <c r="D179" s="684"/>
      <c r="E179" s="353"/>
      <c r="F179" s="353"/>
      <c r="G179" s="353"/>
      <c r="H179" s="353"/>
      <c r="I179" s="335"/>
      <c r="J179" s="353"/>
      <c r="K179" s="353"/>
      <c r="L179" s="353"/>
      <c r="M179" s="369"/>
      <c r="N179" s="360"/>
    </row>
    <row r="180" spans="1:14" ht="15" customHeight="1">
      <c r="A180" s="336"/>
      <c r="B180" s="336"/>
      <c r="C180" s="333"/>
      <c r="D180" s="684"/>
      <c r="E180" s="353"/>
      <c r="F180" s="353"/>
      <c r="G180" s="353"/>
      <c r="H180" s="353"/>
      <c r="I180" s="335"/>
      <c r="J180" s="353"/>
      <c r="K180" s="353"/>
      <c r="L180" s="353"/>
      <c r="M180" s="369"/>
      <c r="N180" s="360"/>
    </row>
    <row r="181" spans="1:14" ht="19" customHeight="1">
      <c r="A181" s="336"/>
      <c r="B181" s="341" t="str">
        <f>Idiomas!D129</f>
        <v>CLASIFICADOS PARA OCTAVOS</v>
      </c>
      <c r="C181" s="333"/>
      <c r="D181" s="684"/>
      <c r="E181" s="353"/>
      <c r="F181" s="353"/>
      <c r="G181" s="353"/>
      <c r="H181" s="353"/>
      <c r="I181" s="335"/>
      <c r="J181" s="353"/>
      <c r="K181" s="353"/>
      <c r="L181" s="353"/>
      <c r="M181" s="369"/>
      <c r="N181" s="360"/>
    </row>
    <row r="182" spans="1:14" ht="15" customHeight="1">
      <c r="A182" s="681" t="s">
        <v>89</v>
      </c>
      <c r="B182" s="343" t="str">
        <f>Idiomas!$D$189</f>
        <v>Octavofinalista</v>
      </c>
      <c r="C182" s="332" t="str">
        <f ca="1">WORLDCUP!AA120</f>
        <v>Canadá</v>
      </c>
      <c r="D182" s="684"/>
      <c r="E182" s="353"/>
      <c r="F182" s="353"/>
      <c r="G182" s="353"/>
      <c r="H182" s="353"/>
      <c r="I182" s="335"/>
      <c r="J182" s="353"/>
      <c r="K182" s="353"/>
      <c r="L182" s="353"/>
      <c r="M182" s="369"/>
      <c r="N182" s="360"/>
    </row>
    <row r="183" spans="1:14" ht="15" customHeight="1">
      <c r="A183" s="681"/>
      <c r="B183" s="343" t="str">
        <f>B182</f>
        <v>Octavofinalista</v>
      </c>
      <c r="C183" s="332" t="str">
        <f ca="1">WORLDCUP!AA121</f>
        <v>Alemania</v>
      </c>
      <c r="D183" s="684"/>
      <c r="E183" s="353"/>
      <c r="F183" s="353"/>
      <c r="G183" s="353"/>
      <c r="H183" s="353"/>
      <c r="I183" s="335"/>
      <c r="J183" s="353"/>
      <c r="K183" s="353"/>
      <c r="L183" s="353"/>
      <c r="M183" s="369"/>
      <c r="N183" s="360"/>
    </row>
    <row r="184" spans="1:14" ht="15" customHeight="1">
      <c r="A184" s="681"/>
      <c r="B184" s="343" t="str">
        <f t="shared" ref="B184:B197" si="2">B183</f>
        <v>Octavofinalista</v>
      </c>
      <c r="C184" s="332" t="str">
        <f ca="1">WORLDCUP!AA122</f>
        <v>Brasil</v>
      </c>
      <c r="D184" s="684"/>
      <c r="E184" s="353"/>
      <c r="F184" s="353"/>
      <c r="G184" s="353"/>
      <c r="H184" s="353"/>
      <c r="I184" s="335"/>
      <c r="J184" s="353"/>
      <c r="K184" s="353"/>
      <c r="L184" s="353"/>
      <c r="M184" s="369"/>
      <c r="N184" s="360"/>
    </row>
    <row r="185" spans="1:14" ht="15" customHeight="1">
      <c r="A185" s="681"/>
      <c r="B185" s="343" t="str">
        <f t="shared" si="2"/>
        <v>Octavofinalista</v>
      </c>
      <c r="C185" s="332" t="str">
        <f ca="1">WORLDCUP!AA123</f>
        <v>México</v>
      </c>
      <c r="D185" s="684"/>
      <c r="E185" s="353"/>
      <c r="F185" s="353"/>
      <c r="G185" s="353"/>
      <c r="H185" s="353"/>
      <c r="I185" s="335"/>
      <c r="J185" s="353"/>
      <c r="K185" s="353"/>
      <c r="L185" s="353"/>
      <c r="M185" s="369"/>
      <c r="N185" s="360"/>
    </row>
    <row r="186" spans="1:14" ht="15" customHeight="1">
      <c r="A186" s="681"/>
      <c r="B186" s="343" t="str">
        <f t="shared" si="2"/>
        <v>Octavofinalista</v>
      </c>
      <c r="C186" s="332" t="str">
        <f ca="1">WORLDCUP!AA124</f>
        <v>Colombia</v>
      </c>
      <c r="D186" s="684"/>
      <c r="E186" s="353"/>
      <c r="F186" s="353"/>
      <c r="G186" s="353"/>
      <c r="H186" s="353"/>
      <c r="I186" s="335"/>
      <c r="J186" s="353"/>
      <c r="K186" s="353"/>
      <c r="L186" s="353"/>
      <c r="M186" s="369"/>
      <c r="N186" s="360"/>
    </row>
    <row r="187" spans="1:14" ht="15" customHeight="1">
      <c r="A187" s="681"/>
      <c r="B187" s="343" t="str">
        <f t="shared" si="2"/>
        <v>Octavofinalista</v>
      </c>
      <c r="C187" s="332" t="str">
        <f ca="1">WORLDCUP!AA125</f>
        <v>Turquía</v>
      </c>
      <c r="D187" s="684"/>
      <c r="E187" s="353"/>
      <c r="F187" s="353"/>
      <c r="G187" s="353"/>
      <c r="H187" s="353"/>
      <c r="I187" s="335"/>
      <c r="J187" s="353"/>
      <c r="K187" s="353"/>
      <c r="L187" s="353"/>
      <c r="M187" s="369"/>
      <c r="N187" s="360"/>
    </row>
    <row r="188" spans="1:14" ht="15" customHeight="1">
      <c r="A188" s="681"/>
      <c r="B188" s="343" t="str">
        <f t="shared" si="2"/>
        <v>Octavofinalista</v>
      </c>
      <c r="C188" s="332" t="str">
        <f ca="1">WORLDCUP!AA126</f>
        <v>España</v>
      </c>
      <c r="D188" s="684"/>
      <c r="E188" s="353"/>
      <c r="F188" s="353"/>
      <c r="G188" s="353"/>
      <c r="H188" s="353"/>
      <c r="I188" s="335"/>
      <c r="J188" s="353"/>
      <c r="K188" s="353"/>
      <c r="L188" s="353"/>
      <c r="M188" s="369"/>
      <c r="N188" s="360"/>
    </row>
    <row r="189" spans="1:14" ht="15" customHeight="1">
      <c r="A189" s="681"/>
      <c r="B189" s="343" t="str">
        <f t="shared" si="2"/>
        <v>Octavofinalista</v>
      </c>
      <c r="C189" s="332" t="str">
        <f ca="1">WORLDCUP!AA127</f>
        <v>Suiza</v>
      </c>
      <c r="D189" s="684"/>
      <c r="E189" s="353"/>
      <c r="F189" s="353"/>
      <c r="G189" s="353"/>
      <c r="H189" s="353"/>
      <c r="I189" s="335"/>
      <c r="J189" s="353"/>
      <c r="K189" s="353"/>
      <c r="L189" s="353"/>
      <c r="M189" s="369"/>
      <c r="N189" s="360"/>
    </row>
    <row r="190" spans="1:14" ht="15" customHeight="1">
      <c r="A190" s="681"/>
      <c r="B190" s="343" t="str">
        <f t="shared" si="2"/>
        <v>Octavofinalista</v>
      </c>
      <c r="C190" s="332" t="str">
        <f ca="1">WORLDCUP!AF120</f>
        <v>Marruecos</v>
      </c>
      <c r="D190" s="684"/>
      <c r="E190" s="353"/>
      <c r="F190" s="353"/>
      <c r="G190" s="353"/>
      <c r="H190" s="353"/>
      <c r="I190" s="335"/>
      <c r="J190" s="353"/>
      <c r="K190" s="353"/>
      <c r="L190" s="353"/>
      <c r="M190" s="369"/>
      <c r="N190" s="360"/>
    </row>
    <row r="191" spans="1:14" ht="15" customHeight="1">
      <c r="A191" s="681"/>
      <c r="B191" s="343" t="str">
        <f t="shared" si="2"/>
        <v>Octavofinalista</v>
      </c>
      <c r="C191" s="332" t="str">
        <f ca="1">WORLDCUP!AF121</f>
        <v>Francia</v>
      </c>
      <c r="D191" s="684"/>
      <c r="E191" s="353"/>
      <c r="F191" s="353"/>
      <c r="G191" s="353"/>
      <c r="H191" s="353"/>
      <c r="I191" s="335"/>
      <c r="J191" s="353"/>
      <c r="K191" s="353"/>
      <c r="L191" s="353"/>
      <c r="M191" s="369"/>
      <c r="N191" s="360"/>
    </row>
    <row r="192" spans="1:14" ht="15" customHeight="1">
      <c r="A192" s="681"/>
      <c r="B192" s="343" t="str">
        <f t="shared" si="2"/>
        <v>Octavofinalista</v>
      </c>
      <c r="C192" s="332" t="str">
        <f ca="1">WORLDCUP!AF122</f>
        <v>Ecuador</v>
      </c>
      <c r="D192" s="684"/>
      <c r="E192" s="353"/>
      <c r="F192" s="353"/>
      <c r="G192" s="353"/>
      <c r="H192" s="353"/>
      <c r="I192" s="335"/>
      <c r="J192" s="353"/>
      <c r="K192" s="353"/>
      <c r="L192" s="353"/>
      <c r="M192" s="369"/>
      <c r="N192" s="360"/>
    </row>
    <row r="193" spans="1:14" ht="15" customHeight="1">
      <c r="A193" s="681"/>
      <c r="B193" s="343" t="str">
        <f t="shared" si="2"/>
        <v>Octavofinalista</v>
      </c>
      <c r="C193" s="332" t="str">
        <f ca="1">WORLDCUP!AF123</f>
        <v>Inglaterra</v>
      </c>
      <c r="D193" s="684"/>
      <c r="E193" s="353"/>
      <c r="F193" s="353"/>
      <c r="G193" s="353"/>
      <c r="H193" s="353"/>
      <c r="I193" s="335"/>
      <c r="J193" s="353"/>
      <c r="K193" s="353"/>
      <c r="L193" s="353"/>
      <c r="M193" s="369"/>
      <c r="N193" s="360"/>
    </row>
    <row r="194" spans="1:14" ht="15" customHeight="1">
      <c r="A194" s="681"/>
      <c r="B194" s="343" t="str">
        <f t="shared" si="2"/>
        <v>Octavofinalista</v>
      </c>
      <c r="C194" s="332" t="str">
        <f ca="1">WORLDCUP!AF124</f>
        <v>Uruguay</v>
      </c>
      <c r="D194" s="684"/>
      <c r="E194" s="353"/>
      <c r="F194" s="353"/>
      <c r="G194" s="353"/>
      <c r="H194" s="353"/>
      <c r="I194" s="335"/>
      <c r="J194" s="353"/>
      <c r="K194" s="353"/>
      <c r="L194" s="353"/>
      <c r="M194" s="369"/>
      <c r="N194" s="360"/>
    </row>
    <row r="195" spans="1:14" ht="15" customHeight="1">
      <c r="A195" s="681"/>
      <c r="B195" s="343" t="str">
        <f t="shared" si="2"/>
        <v>Octavofinalista</v>
      </c>
      <c r="C195" s="332" t="str">
        <f ca="1">WORLDCUP!AF125</f>
        <v>Bélgica</v>
      </c>
      <c r="D195" s="684"/>
      <c r="E195" s="353"/>
      <c r="F195" s="353"/>
      <c r="G195" s="353"/>
      <c r="H195" s="353"/>
      <c r="I195" s="335"/>
      <c r="J195" s="353"/>
      <c r="K195" s="353"/>
      <c r="L195" s="353"/>
      <c r="M195" s="369"/>
      <c r="N195" s="360"/>
    </row>
    <row r="196" spans="1:14" ht="15" customHeight="1">
      <c r="A196" s="681"/>
      <c r="B196" s="343" t="str">
        <f t="shared" si="2"/>
        <v>Octavofinalista</v>
      </c>
      <c r="C196" s="332" t="str">
        <f ca="1">WORLDCUP!AF126</f>
        <v>Egipto</v>
      </c>
      <c r="D196" s="684"/>
      <c r="E196" s="353"/>
      <c r="F196" s="353"/>
      <c r="G196" s="353"/>
      <c r="H196" s="353"/>
      <c r="I196" s="335"/>
      <c r="J196" s="353"/>
      <c r="K196" s="353"/>
      <c r="L196" s="353"/>
      <c r="M196" s="369"/>
      <c r="N196" s="360"/>
    </row>
    <row r="197" spans="1:14" ht="15" customHeight="1">
      <c r="A197" s="681"/>
      <c r="B197" s="343" t="str">
        <f t="shared" si="2"/>
        <v>Octavofinalista</v>
      </c>
      <c r="C197" s="332" t="str">
        <f ca="1">WORLDCUP!AF127</f>
        <v>Portugal</v>
      </c>
      <c r="D197" s="684"/>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81" t="s">
        <v>89</v>
      </c>
      <c r="B200" s="344" t="str">
        <f ca="1">CONCATENATE(WORLDCUP!AA120,"-",WORLDCUP!AF120)</f>
        <v>Canadá-Marruecos</v>
      </c>
      <c r="C200" s="334" t="str">
        <f ca="1">CONCATENATE(WORLDCUP!AA120,"-",WORLDCUP!AF120,"·",IF(WORLDCUP!AC120&gt;WORLDCUP!AD120,1,IF(WORLDCUP!AC120&lt;WORLDCUP!AD120,2,IF(AND(WORLDCUP!AC120=WORLDCUP!AD120,WORLDCUP!AC120&lt;&gt;"",WORLDCUP!AD120&lt;&gt;""),"X",0))),"|",WORLDCUP!AC120,"-",WORLDCUP!AD120)</f>
        <v>Canadá-Marruecos·2|1-3</v>
      </c>
      <c r="D200" s="664"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81"/>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Alemania-Francia·X|2-2</v>
      </c>
      <c r="D201" s="664"/>
      <c r="E201" s="663"/>
      <c r="F201" s="663"/>
      <c r="G201" s="663"/>
      <c r="H201" s="663"/>
      <c r="I201" s="335"/>
      <c r="J201" s="353"/>
      <c r="K201" s="353"/>
      <c r="L201" s="353"/>
      <c r="M201" s="369"/>
      <c r="N201" s="360"/>
    </row>
    <row r="202" spans="1:14" ht="15" customHeight="1">
      <c r="A202" s="681"/>
      <c r="B202" s="344" t="str">
        <f ca="1">CONCATENATE(WORLDCUP!AA122,"-",WORLDCUP!AF122)</f>
        <v>Brasil-Ecuador</v>
      </c>
      <c r="C202" s="334" t="str">
        <f ca="1">CONCATENATE(WORLDCUP!AA122,"-",WORLDCUP!AF122,"·",IF(WORLDCUP!AC122&gt;WORLDCUP!AD122,1,IF(WORLDCUP!AC122&lt;WORLDCUP!AD122,2,IF(AND(WORLDCUP!AC122=WORLDCUP!AD122,WORLDCUP!AC122&lt;&gt;"",WORLDCUP!AD122&lt;&gt;""),"X",0))),"|",WORLDCUP!AC122,"-",WORLDCUP!AD122)</f>
        <v>Brasil-Ecuador·1|3-1</v>
      </c>
      <c r="D202" s="664"/>
      <c r="E202" s="663"/>
      <c r="F202" s="663"/>
      <c r="G202" s="663"/>
      <c r="H202" s="663"/>
      <c r="I202" s="335"/>
      <c r="J202" s="353"/>
      <c r="K202" s="353"/>
      <c r="L202" s="353"/>
      <c r="M202" s="369"/>
      <c r="N202" s="360"/>
    </row>
    <row r="203" spans="1:14" ht="15" customHeight="1">
      <c r="A203" s="681"/>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México-Inglaterra·2|1-2</v>
      </c>
      <c r="D203" s="664"/>
      <c r="E203" s="663"/>
      <c r="F203" s="663"/>
      <c r="G203" s="663"/>
      <c r="H203" s="663"/>
      <c r="I203" s="335"/>
      <c r="J203" s="353"/>
      <c r="K203" s="353"/>
      <c r="L203" s="353"/>
      <c r="M203" s="369"/>
      <c r="N203" s="360"/>
    </row>
    <row r="204" spans="1:14" ht="15" customHeight="1">
      <c r="A204" s="681"/>
      <c r="B204" s="344" t="str">
        <f ca="1">CONCATENATE(WORLDCUP!AA124,"-",WORLDCUP!AF124)</f>
        <v>Colombia-Uruguay</v>
      </c>
      <c r="C204" s="334" t="str">
        <f ca="1">CONCATENATE(WORLDCUP!AA124,"-",WORLDCUP!AF124,"·",IF(WORLDCUP!AC124&gt;WORLDCUP!AD124,1,IF(WORLDCUP!AC124&lt;WORLDCUP!AD124,2,IF(AND(WORLDCUP!AC124=WORLDCUP!AD124,WORLDCUP!AC124&lt;&gt;"",WORLDCUP!AD124&lt;&gt;""),"X",0))),"|",WORLDCUP!AC124,"-",WORLDCUP!AD124)</f>
        <v>Colombia-Uruguay·X|0-0</v>
      </c>
      <c r="D204" s="664"/>
      <c r="E204" s="335"/>
      <c r="F204" s="335"/>
      <c r="G204" s="335"/>
      <c r="H204" s="335"/>
      <c r="I204" s="335"/>
      <c r="J204" s="353"/>
      <c r="K204" s="353"/>
      <c r="L204" s="353"/>
      <c r="M204" s="369"/>
      <c r="N204" s="360"/>
    </row>
    <row r="205" spans="1:14" ht="15" customHeight="1">
      <c r="A205" s="681"/>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Turquía-Bélgica·2|1-2</v>
      </c>
      <c r="D205" s="664"/>
      <c r="E205" s="335"/>
      <c r="F205" s="335"/>
      <c r="G205" s="335"/>
      <c r="H205" s="335"/>
      <c r="I205" s="335"/>
      <c r="J205" s="353"/>
      <c r="K205" s="353"/>
      <c r="L205" s="353"/>
      <c r="M205" s="369"/>
      <c r="N205" s="360"/>
    </row>
    <row r="206" spans="1:14" ht="15" customHeight="1">
      <c r="A206" s="681"/>
      <c r="B206" s="344" t="str">
        <f ca="1">CONCATENATE(WORLDCUP!AA126,"-",WORLDCUP!AF126)</f>
        <v>España-Egipto</v>
      </c>
      <c r="C206" s="334" t="str">
        <f ca="1">CONCATENATE(WORLDCUP!AA126,"-",WORLDCUP!AF126,"·",IF(WORLDCUP!AC126&gt;WORLDCUP!AD126,1,IF(WORLDCUP!AC126&lt;WORLDCUP!AD126,2,IF(AND(WORLDCUP!AC126=WORLDCUP!AD126,WORLDCUP!AC126&lt;&gt;"",WORLDCUP!AD126&lt;&gt;""),"X",0))),"|",WORLDCUP!AC126,"-",WORLDCUP!AD126)</f>
        <v>España-Egipto·1|2-1</v>
      </c>
      <c r="D206" s="664"/>
      <c r="E206" s="335"/>
      <c r="F206" s="335"/>
      <c r="G206" s="335"/>
      <c r="H206" s="335"/>
      <c r="I206" s="335"/>
      <c r="J206" s="353"/>
      <c r="K206" s="353"/>
      <c r="L206" s="353"/>
      <c r="M206" s="369"/>
      <c r="N206" s="360"/>
    </row>
    <row r="207" spans="1:14" ht="15" customHeight="1">
      <c r="A207" s="681"/>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Suiza-Portugal·2|1-3</v>
      </c>
      <c r="D207" s="664"/>
      <c r="E207" s="335"/>
      <c r="F207" s="335"/>
      <c r="G207" s="335"/>
      <c r="H207" s="335"/>
      <c r="I207" s="335"/>
      <c r="J207" s="353"/>
      <c r="K207" s="353"/>
      <c r="L207" s="353"/>
      <c r="M207" s="369"/>
      <c r="N207" s="360"/>
    </row>
    <row r="208" spans="1:14" ht="15" customHeight="1">
      <c r="A208" s="336"/>
      <c r="B208" s="336"/>
      <c r="C208" s="333"/>
      <c r="D208" s="664"/>
      <c r="E208" s="353"/>
      <c r="F208" s="353"/>
      <c r="G208" s="353"/>
      <c r="H208" s="353"/>
      <c r="I208" s="335"/>
      <c r="J208" s="353"/>
      <c r="K208" s="353"/>
      <c r="L208" s="353"/>
      <c r="M208" s="369"/>
      <c r="N208" s="360"/>
    </row>
    <row r="209" spans="1:14" ht="19" customHeight="1">
      <c r="A209" s="336"/>
      <c r="B209" s="341" t="str">
        <f>Idiomas!D131</f>
        <v>CLASIFICADOS PARA CUARTOS</v>
      </c>
      <c r="C209" s="333"/>
      <c r="D209" s="664"/>
      <c r="E209" s="353"/>
      <c r="F209" s="353"/>
      <c r="G209" s="353"/>
      <c r="H209" s="353"/>
      <c r="I209" s="335"/>
      <c r="J209" s="353"/>
      <c r="K209" s="353"/>
      <c r="L209" s="353"/>
      <c r="M209" s="369"/>
      <c r="N209" s="360"/>
    </row>
    <row r="210" spans="1:14" ht="15" customHeight="1">
      <c r="A210" s="681" t="s">
        <v>36</v>
      </c>
      <c r="B210" s="343" t="str">
        <f>Idiomas!$D$190</f>
        <v>Cuartofinalista</v>
      </c>
      <c r="C210" s="332" t="str">
        <f ca="1">WORLDCUP!AA131</f>
        <v>Alemania</v>
      </c>
      <c r="D210" s="664"/>
      <c r="E210" s="353"/>
      <c r="F210" s="353"/>
      <c r="G210" s="353"/>
      <c r="H210" s="353"/>
      <c r="I210" s="335"/>
      <c r="J210" s="353"/>
      <c r="K210" s="353"/>
      <c r="L210" s="353"/>
      <c r="M210" s="369"/>
      <c r="N210" s="360"/>
    </row>
    <row r="211" spans="1:14" ht="15" customHeight="1">
      <c r="A211" s="681"/>
      <c r="B211" s="343" t="str">
        <f>B210</f>
        <v>Cuartofinalista</v>
      </c>
      <c r="C211" s="332" t="str">
        <f ca="1">WORLDCUP!AA132</f>
        <v>Colombia</v>
      </c>
      <c r="D211" s="664"/>
      <c r="E211" s="353"/>
      <c r="F211" s="353"/>
      <c r="G211" s="353"/>
      <c r="H211" s="353"/>
      <c r="I211" s="335"/>
      <c r="J211" s="353"/>
      <c r="K211" s="353"/>
      <c r="L211" s="353"/>
      <c r="M211" s="369"/>
      <c r="N211" s="360"/>
    </row>
    <row r="212" spans="1:14" ht="15" customHeight="1">
      <c r="A212" s="681"/>
      <c r="B212" s="343" t="str">
        <f t="shared" ref="B212:B217" si="3">B211</f>
        <v>Cuartofinalista</v>
      </c>
      <c r="C212" s="332" t="str">
        <f ca="1">WORLDCUP!AA133</f>
        <v>Brasil</v>
      </c>
      <c r="D212" s="664"/>
      <c r="E212" s="353"/>
      <c r="F212" s="353"/>
      <c r="G212" s="353"/>
      <c r="H212" s="353"/>
      <c r="I212" s="335"/>
      <c r="J212" s="353"/>
      <c r="K212" s="353"/>
      <c r="L212" s="353"/>
      <c r="M212" s="369"/>
      <c r="N212" s="360"/>
    </row>
    <row r="213" spans="1:14" ht="15" customHeight="1">
      <c r="A213" s="681"/>
      <c r="B213" s="343" t="str">
        <f t="shared" si="3"/>
        <v>Cuartofinalista</v>
      </c>
      <c r="C213" s="332" t="str">
        <f ca="1">WORLDCUP!AA134</f>
        <v>España</v>
      </c>
      <c r="D213" s="664"/>
      <c r="E213" s="353"/>
      <c r="F213" s="353"/>
      <c r="G213" s="353"/>
      <c r="H213" s="353"/>
      <c r="I213" s="335"/>
      <c r="J213" s="353"/>
      <c r="K213" s="353"/>
      <c r="L213" s="353"/>
      <c r="M213" s="369"/>
      <c r="N213" s="360"/>
    </row>
    <row r="214" spans="1:14" ht="15" customHeight="1">
      <c r="A214" s="681"/>
      <c r="B214" s="343" t="str">
        <f t="shared" si="3"/>
        <v>Cuartofinalista</v>
      </c>
      <c r="C214" s="332" t="str">
        <f ca="1">WORLDCUP!AF131</f>
        <v>Marruecos</v>
      </c>
      <c r="D214" s="664"/>
      <c r="E214" s="353"/>
      <c r="F214" s="353"/>
      <c r="G214" s="353"/>
      <c r="H214" s="353"/>
      <c r="I214" s="335"/>
      <c r="J214" s="353"/>
      <c r="K214" s="353"/>
      <c r="L214" s="353"/>
      <c r="M214" s="369"/>
      <c r="N214" s="360"/>
    </row>
    <row r="215" spans="1:14" ht="15" customHeight="1">
      <c r="A215" s="681"/>
      <c r="B215" s="343" t="str">
        <f t="shared" si="3"/>
        <v>Cuartofinalista</v>
      </c>
      <c r="C215" s="332" t="str">
        <f ca="1">WORLDCUP!AF132</f>
        <v>Bélgica</v>
      </c>
      <c r="D215" s="664"/>
      <c r="E215" s="353"/>
      <c r="F215" s="353"/>
      <c r="G215" s="353"/>
      <c r="H215" s="353"/>
      <c r="I215" s="335"/>
      <c r="J215" s="353"/>
      <c r="K215" s="353"/>
      <c r="L215" s="353"/>
      <c r="M215" s="369"/>
      <c r="N215" s="360"/>
    </row>
    <row r="216" spans="1:14" ht="15" customHeight="1">
      <c r="A216" s="681"/>
      <c r="B216" s="343" t="str">
        <f t="shared" si="3"/>
        <v>Cuartofinalista</v>
      </c>
      <c r="C216" s="332" t="str">
        <f ca="1">WORLDCUP!AF133</f>
        <v>Inglaterra</v>
      </c>
      <c r="D216" s="664"/>
      <c r="E216" s="353"/>
      <c r="F216" s="353"/>
      <c r="G216" s="353"/>
      <c r="H216" s="353"/>
      <c r="I216" s="335"/>
      <c r="J216" s="353"/>
      <c r="K216" s="353"/>
      <c r="L216" s="353"/>
      <c r="M216" s="369"/>
      <c r="N216" s="360"/>
    </row>
    <row r="217" spans="1:14" ht="15" customHeight="1">
      <c r="A217" s="681"/>
      <c r="B217" s="343" t="str">
        <f t="shared" si="3"/>
        <v>Cuartofinalista</v>
      </c>
      <c r="C217" s="332" t="str">
        <f ca="1">WORLDCUP!AF134</f>
        <v>Portugal</v>
      </c>
      <c r="D217" s="664"/>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81" t="s">
        <v>36</v>
      </c>
      <c r="B220" s="343" t="str">
        <f ca="1">CONCATENATE(WORLDCUP!AA131,"-",WORLDCUP!AF131)</f>
        <v>Alemania-Marruecos</v>
      </c>
      <c r="C220" s="332" t="str">
        <f ca="1">CONCATENATE(WORLDCUP!AA131,"-",WORLDCUP!AF131,"·",IF(WORLDCUP!AC131&gt;WORLDCUP!AD131,1,IF(WORLDCUP!AC131&lt;WORLDCUP!AD131,2,IF(AND(WORLDCUP!AC131=WORLDCUP!AD131,WORLDCUP!AC131&lt;&gt;"",WORLDCUP!AD131&lt;&gt;""),"X",0))),"|",WORLDCUP!AC131,"-",WORLDCUP!AD131)</f>
        <v>Alemania-Marruecos·1|2-1</v>
      </c>
      <c r="D220" s="684"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81"/>
      <c r="B221" s="343" t="str">
        <f ca="1">CONCATENATE(WORLDCUP!AA132,"-",WORLDCUP!AF132)</f>
        <v>Colombia-Bélgica</v>
      </c>
      <c r="C221" s="332" t="str">
        <f ca="1">CONCATENATE(WORLDCUP!AA132,"-",WORLDCUP!AF132,"·",IF(WORLDCUP!AC132&gt;WORLDCUP!AD132,1,IF(WORLDCUP!AC132&lt;WORLDCUP!AD132,2,IF(AND(WORLDCUP!AC132=WORLDCUP!AD132,WORLDCUP!AC132&lt;&gt;"",WORLDCUP!AD132&lt;&gt;""),"X",0))),"|",WORLDCUP!AC132,"-",WORLDCUP!AD132)</f>
        <v>Colombia-Bélgica·1|1-0</v>
      </c>
      <c r="D221" s="684"/>
      <c r="E221" s="663"/>
      <c r="F221" s="663"/>
      <c r="G221" s="663"/>
      <c r="H221" s="663"/>
      <c r="I221" s="335"/>
      <c r="J221" s="353"/>
      <c r="K221" s="353"/>
      <c r="L221" s="353"/>
      <c r="M221" s="369"/>
      <c r="N221" s="360"/>
    </row>
    <row r="222" spans="1:14" ht="15" customHeight="1">
      <c r="A222" s="681"/>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Brasil-Inglaterra·2|1-2</v>
      </c>
      <c r="D222" s="684"/>
      <c r="E222" s="663"/>
      <c r="F222" s="663"/>
      <c r="G222" s="663"/>
      <c r="H222" s="663"/>
      <c r="I222" s="335"/>
      <c r="J222" s="353"/>
      <c r="K222" s="353"/>
      <c r="L222" s="353"/>
      <c r="M222" s="369"/>
      <c r="N222" s="360"/>
    </row>
    <row r="223" spans="1:14" ht="15" customHeight="1">
      <c r="A223" s="681"/>
      <c r="B223" s="343" t="str">
        <f ca="1">CONCATENATE(WORLDCUP!AA134,"-",WORLDCUP!AF134)</f>
        <v>España-Portugal</v>
      </c>
      <c r="C223" s="332" t="str">
        <f ca="1">CONCATENATE(WORLDCUP!AA134,"-",WORLDCUP!AF134,"·",IF(WORLDCUP!AC134&gt;WORLDCUP!AD134,1,IF(WORLDCUP!AC134&lt;WORLDCUP!AD134,2,IF(AND(WORLDCUP!AC134=WORLDCUP!AD134,WORLDCUP!AC134&lt;&gt;"",WORLDCUP!AD134&lt;&gt;""),"X",0))),"|",WORLDCUP!AC134,"-",WORLDCUP!AD134)</f>
        <v>España-Portugal·2|1-3</v>
      </c>
      <c r="D223" s="684"/>
      <c r="E223" s="663"/>
      <c r="F223" s="663"/>
      <c r="G223" s="663"/>
      <c r="H223" s="663"/>
      <c r="I223" s="335"/>
      <c r="J223" s="353"/>
      <c r="K223" s="353"/>
      <c r="L223" s="353"/>
      <c r="M223" s="369"/>
      <c r="N223" s="360"/>
    </row>
    <row r="224" spans="1:14">
      <c r="A224" s="336"/>
      <c r="B224" s="336"/>
      <c r="C224" s="333"/>
      <c r="D224" s="684"/>
      <c r="E224" s="335"/>
      <c r="F224" s="335"/>
      <c r="G224" s="335"/>
      <c r="H224" s="335"/>
      <c r="I224" s="335"/>
      <c r="J224" s="353"/>
      <c r="K224" s="353"/>
      <c r="L224" s="353"/>
      <c r="M224" s="369"/>
      <c r="N224" s="360"/>
    </row>
    <row r="225" spans="1:14" ht="18.5">
      <c r="A225" s="336"/>
      <c r="B225" s="341" t="str">
        <f>Idiomas!D133</f>
        <v>CLASIFICADOS PARA SEMIFINALES</v>
      </c>
      <c r="C225" s="333"/>
      <c r="D225" s="684"/>
      <c r="E225" s="353"/>
      <c r="F225" s="353"/>
      <c r="G225" s="353"/>
      <c r="H225" s="353"/>
      <c r="I225" s="335"/>
      <c r="J225" s="353"/>
      <c r="K225" s="353"/>
      <c r="L225" s="353"/>
      <c r="M225" s="369"/>
      <c r="N225" s="360"/>
    </row>
    <row r="226" spans="1:14" ht="15" customHeight="1">
      <c r="A226" s="681" t="s">
        <v>37</v>
      </c>
      <c r="B226" s="343" t="str">
        <f>Idiomas!$D$191</f>
        <v>Semifinalista</v>
      </c>
      <c r="C226" s="332" t="str">
        <f ca="1">WORLDCUP!AA138</f>
        <v>Alemania</v>
      </c>
      <c r="D226" s="684"/>
      <c r="E226" s="353"/>
      <c r="F226" s="353"/>
      <c r="G226" s="353"/>
      <c r="H226" s="353"/>
      <c r="I226" s="335"/>
      <c r="J226" s="353"/>
      <c r="K226" s="353"/>
      <c r="L226" s="353"/>
      <c r="M226" s="369"/>
      <c r="N226" s="360"/>
    </row>
    <row r="227" spans="1:14" ht="15" customHeight="1">
      <c r="A227" s="681"/>
      <c r="B227" s="343" t="str">
        <f>Idiomas!$D$191</f>
        <v>Semifinalista</v>
      </c>
      <c r="C227" s="332" t="str">
        <f ca="1">WORLDCUP!AA139</f>
        <v>Inglaterra</v>
      </c>
      <c r="D227" s="684"/>
      <c r="E227" s="353"/>
      <c r="F227" s="353"/>
      <c r="G227" s="353"/>
      <c r="H227" s="353"/>
      <c r="I227" s="335"/>
      <c r="J227" s="353"/>
      <c r="K227" s="353"/>
      <c r="L227" s="353"/>
      <c r="M227" s="369"/>
      <c r="N227" s="360"/>
    </row>
    <row r="228" spans="1:14" ht="15" customHeight="1">
      <c r="A228" s="681"/>
      <c r="B228" s="343" t="str">
        <f>Idiomas!$D$191</f>
        <v>Semifinalista</v>
      </c>
      <c r="C228" s="332" t="str">
        <f ca="1">WORLDCUP!AF138</f>
        <v>Colombia</v>
      </c>
      <c r="D228" s="684"/>
      <c r="E228" s="353"/>
      <c r="F228" s="353"/>
      <c r="G228" s="353"/>
      <c r="H228" s="353"/>
      <c r="I228" s="335"/>
      <c r="J228" s="353"/>
      <c r="K228" s="353"/>
      <c r="L228" s="353"/>
      <c r="M228" s="369"/>
      <c r="N228" s="360"/>
    </row>
    <row r="229" spans="1:14" ht="15" customHeight="1">
      <c r="A229" s="681"/>
      <c r="B229" s="343" t="str">
        <f>Idiomas!$D$191</f>
        <v>Semifinalista</v>
      </c>
      <c r="C229" s="332" t="str">
        <f ca="1">WORLDCUP!AF139</f>
        <v>Portugal</v>
      </c>
      <c r="D229" s="684"/>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88" t="s">
        <v>37</v>
      </c>
      <c r="B232" s="343" t="str">
        <f ca="1">CONCATENATE(WORLDCUP!AA138,"-",WORLDCUP!AF138)</f>
        <v>Alemania-Colombia</v>
      </c>
      <c r="C232" s="334" t="str">
        <f ca="1">CONCATENATE(WORLDCUP!AA138,"-",WORLDCUP!AF138,"·",IF(WORLDCUP!AC138&gt;WORLDCUP!AD138,1,IF(WORLDCUP!AC138&lt;WORLDCUP!AD138,2,IF(AND(WORLDCUP!AC138=WORLDCUP!AD138,WORLDCUP!AC138&lt;&gt;"",WORLDCUP!AD138&lt;&gt;""),"X",0))),"|",WORLDCUP!AC138,"-",WORLDCUP!AD138)</f>
        <v>Alemania-Colombia·1|2-1</v>
      </c>
      <c r="D232" s="664"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88"/>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Inglaterra-Portugal·X|1-1</v>
      </c>
      <c r="D233" s="664"/>
      <c r="E233" s="663"/>
      <c r="F233" s="663"/>
      <c r="G233" s="663"/>
      <c r="H233" s="663"/>
      <c r="I233" s="335"/>
      <c r="J233" s="353"/>
      <c r="K233" s="353"/>
      <c r="L233" s="353"/>
      <c r="M233" s="369"/>
      <c r="N233" s="360"/>
    </row>
    <row r="234" spans="1:14" ht="15" customHeight="1">
      <c r="A234" s="336"/>
      <c r="B234" s="336"/>
      <c r="C234" s="333"/>
      <c r="D234" s="664"/>
      <c r="E234" s="663"/>
      <c r="F234" s="663"/>
      <c r="G234" s="663"/>
      <c r="H234" s="663"/>
      <c r="I234" s="335"/>
      <c r="J234" s="353"/>
      <c r="K234" s="353"/>
      <c r="L234" s="353"/>
      <c r="M234" s="369"/>
      <c r="N234" s="360"/>
    </row>
    <row r="235" spans="1:14" ht="18.5">
      <c r="A235" s="336"/>
      <c r="B235" s="341" t="str">
        <f>Idiomas!D135</f>
        <v>CLASIFICADOS PARA EL 3º y 4º PUESTO</v>
      </c>
      <c r="C235" s="333"/>
      <c r="D235" s="664"/>
      <c r="E235" s="663"/>
      <c r="F235" s="663"/>
      <c r="G235" s="663"/>
      <c r="H235" s="663"/>
      <c r="I235" s="335"/>
      <c r="J235" s="353"/>
      <c r="K235" s="353"/>
      <c r="L235" s="353"/>
      <c r="M235" s="369"/>
      <c r="N235" s="360"/>
    </row>
    <row r="236" spans="1:14" ht="15" customHeight="1">
      <c r="A236" s="688" t="s">
        <v>503</v>
      </c>
      <c r="B236" s="343" t="str">
        <f>Idiomas!D192</f>
        <v>3º y 4º puesto</v>
      </c>
      <c r="C236" s="332" t="str">
        <f ca="1">WORLDCUP!AA143</f>
        <v>Colombia</v>
      </c>
      <c r="D236" s="664"/>
      <c r="E236" s="357"/>
      <c r="F236" s="357"/>
      <c r="G236" s="357"/>
      <c r="H236" s="357"/>
      <c r="I236" s="335"/>
      <c r="J236" s="353"/>
      <c r="K236" s="353"/>
      <c r="L236" s="353"/>
      <c r="M236" s="369"/>
      <c r="N236" s="360"/>
    </row>
    <row r="237" spans="1:14" ht="15" customHeight="1">
      <c r="A237" s="688"/>
      <c r="B237" s="343" t="str">
        <f>Idiomas!D192</f>
        <v>3º y 4º puesto</v>
      </c>
      <c r="C237" s="332" t="str">
        <f ca="1">WORLDCUP!AF143</f>
        <v>Inglaterra</v>
      </c>
      <c r="D237" s="664"/>
      <c r="E237" s="357"/>
      <c r="F237" s="357"/>
      <c r="G237" s="357"/>
      <c r="H237" s="357"/>
      <c r="I237" s="335"/>
      <c r="J237" s="353"/>
      <c r="K237" s="353"/>
      <c r="L237" s="353"/>
      <c r="M237" s="369"/>
      <c r="N237" s="360"/>
    </row>
    <row r="238" spans="1:14" ht="15" customHeight="1">
      <c r="A238" s="336"/>
      <c r="B238" s="336"/>
      <c r="C238" s="333"/>
      <c r="D238" s="664"/>
      <c r="E238" s="357"/>
      <c r="F238" s="357"/>
      <c r="G238" s="357"/>
      <c r="H238" s="357"/>
      <c r="I238" s="335"/>
      <c r="J238" s="353"/>
      <c r="K238" s="353"/>
      <c r="L238" s="353"/>
      <c r="M238" s="369"/>
      <c r="N238" s="360"/>
    </row>
    <row r="239" spans="1:14" ht="19" customHeight="1">
      <c r="A239" s="336"/>
      <c r="B239" s="341" t="str">
        <f>Idiomas!D136</f>
        <v>CLASIFICADOS PARA LA FINAL</v>
      </c>
      <c r="C239" s="333"/>
      <c r="D239" s="664"/>
      <c r="E239" s="357"/>
      <c r="F239" s="357"/>
      <c r="G239" s="357"/>
      <c r="H239" s="357"/>
      <c r="I239" s="335"/>
      <c r="J239" s="353"/>
      <c r="K239" s="353"/>
      <c r="L239" s="353"/>
      <c r="M239" s="369"/>
      <c r="N239" s="360"/>
    </row>
    <row r="240" spans="1:14" ht="15" customHeight="1">
      <c r="A240" s="688" t="s">
        <v>4</v>
      </c>
      <c r="B240" s="343" t="str">
        <f>Idiomas!D193</f>
        <v>Finalista</v>
      </c>
      <c r="C240" s="332" t="str">
        <f ca="1">WORLDCUP!AA147</f>
        <v>Alemania</v>
      </c>
      <c r="D240" s="664"/>
      <c r="E240" s="353"/>
      <c r="F240" s="353"/>
      <c r="G240" s="353"/>
      <c r="H240" s="353"/>
      <c r="I240" s="335"/>
      <c r="J240" s="353"/>
      <c r="K240" s="353"/>
      <c r="L240" s="353"/>
      <c r="M240" s="369"/>
      <c r="N240" s="360"/>
    </row>
    <row r="241" spans="1:14" ht="15" customHeight="1">
      <c r="A241" s="688"/>
      <c r="B241" s="343" t="str">
        <f>B240</f>
        <v>Finalista</v>
      </c>
      <c r="C241" s="332" t="str">
        <f ca="1">WORLDCUP!AF147</f>
        <v>Portugal</v>
      </c>
      <c r="D241" s="664"/>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Colombia-Inglaterra</v>
      </c>
      <c r="C244" s="332" t="str">
        <f ca="1">CONCATENATE(WORLDCUP!AA143,"-",WORLDCUP!AF143,"·",IF(WORLDCUP!AC143&gt;WORLDCUP!AD143,1,IF(WORLDCUP!AC143&lt;WORLDCUP!AD143,2,IF(AND(WORLDCUP!AC143=WORLDCUP!AD143,WORLDCUP!AC143&lt;&gt;"",WORLDCUP!AD143&lt;&gt;""),"X",0))),"|",WORLDCUP!AC143,"-",WORLDCUP!AD143)</f>
        <v>Colombia-Inglaterra·2|0-1</v>
      </c>
      <c r="D244" s="689" t="s">
        <v>583</v>
      </c>
      <c r="E244" s="687" t="str">
        <f>Idiomas!D119</f>
        <v>·Para el 3º y 4º puesto y la Final copiar de la C244 a la C252 y pega valores en la plantilla de administrador.</v>
      </c>
      <c r="F244" s="687"/>
      <c r="G244" s="687"/>
      <c r="H244" s="687"/>
      <c r="I244" s="364"/>
      <c r="J244" s="353"/>
      <c r="K244" s="353"/>
      <c r="L244" s="353"/>
      <c r="M244" s="369"/>
      <c r="N244" s="360"/>
    </row>
    <row r="245" spans="1:14" ht="15" customHeight="1">
      <c r="A245" s="336"/>
      <c r="B245" s="336"/>
      <c r="C245" s="333"/>
      <c r="D245" s="689"/>
      <c r="E245" s="687"/>
      <c r="F245" s="687"/>
      <c r="G245" s="687"/>
      <c r="H245" s="687"/>
      <c r="I245" s="364"/>
      <c r="J245" s="353"/>
      <c r="K245" s="353"/>
      <c r="L245" s="353"/>
      <c r="M245" s="369"/>
      <c r="N245" s="360"/>
    </row>
    <row r="246" spans="1:14" ht="21" customHeight="1">
      <c r="A246" s="336"/>
      <c r="B246" s="341" t="str">
        <f>Idiomas!D138</f>
        <v>ENFRENTAMIENTO FINAL</v>
      </c>
      <c r="C246" s="333"/>
      <c r="D246" s="689"/>
      <c r="E246" s="687"/>
      <c r="F246" s="687"/>
      <c r="G246" s="687"/>
      <c r="H246" s="687"/>
      <c r="I246" s="364"/>
      <c r="J246" s="353"/>
      <c r="K246" s="353"/>
      <c r="L246" s="353"/>
      <c r="M246" s="369"/>
      <c r="N246" s="360"/>
    </row>
    <row r="247" spans="1:14" ht="15" customHeight="1">
      <c r="A247" s="345" t="s">
        <v>4</v>
      </c>
      <c r="B247" s="343" t="str">
        <f ca="1">CONCATENATE(WORLDCUP!AA147,"-",WORLDCUP!AF147)</f>
        <v>Alemania-Portugal</v>
      </c>
      <c r="C247" s="334" t="str">
        <f ca="1">CONCATENATE(WORLDCUP!AA147,"-",WORLDCUP!AF147,"·",IF(WORLDCUP!AC147&gt;WORLDCUP!AD147,1,IF(WORLDCUP!AC147&lt;WORLDCUP!AD147,2,IF(AND(WORLDCUP!AC147=WORLDCUP!AD147,WORLDCUP!AC147&lt;&gt;"",WORLDCUP!AD147&lt;&gt;""),"X",0))),"|",WORLDCUP!AC147,"-",WORLDCUP!AD147)</f>
        <v>Alemania-Portugal·2|0-1</v>
      </c>
      <c r="D247" s="689"/>
      <c r="E247" s="359"/>
      <c r="F247" s="359"/>
      <c r="G247" s="359"/>
      <c r="H247" s="359"/>
      <c r="I247" s="364"/>
      <c r="J247" s="353"/>
      <c r="K247" s="353"/>
      <c r="L247" s="353"/>
      <c r="M247" s="369"/>
      <c r="N247" s="360"/>
    </row>
    <row r="248" spans="1:14" ht="15" customHeight="1">
      <c r="A248" s="336"/>
      <c r="B248" s="336"/>
      <c r="C248" s="333"/>
      <c r="D248" s="689"/>
      <c r="E248" s="357"/>
      <c r="F248" s="357"/>
      <c r="G248" s="357"/>
      <c r="H248" s="357"/>
      <c r="I248" s="364"/>
      <c r="J248" s="353"/>
      <c r="K248" s="353"/>
      <c r="L248" s="353"/>
      <c r="M248" s="369"/>
      <c r="N248" s="360"/>
    </row>
    <row r="249" spans="1:14" ht="19" customHeight="1">
      <c r="A249" s="336"/>
      <c r="B249" s="341" t="str">
        <f>Idiomas!D139</f>
        <v>CUADRO DE HONOR</v>
      </c>
      <c r="C249" s="333"/>
      <c r="D249" s="689"/>
      <c r="E249" s="357"/>
      <c r="F249" s="357"/>
      <c r="G249" s="357"/>
      <c r="H249" s="357"/>
      <c r="I249" s="364"/>
      <c r="J249" s="353"/>
      <c r="K249" s="353"/>
      <c r="L249" s="353"/>
      <c r="M249" s="369"/>
      <c r="N249" s="360"/>
    </row>
    <row r="250" spans="1:14" ht="15" customHeight="1">
      <c r="A250" s="346"/>
      <c r="B250" s="343" t="str">
        <f>WORLDCUP!W150</f>
        <v>🥇Campeón</v>
      </c>
      <c r="C250" s="332" t="str">
        <f ca="1">WORLDCUP!AA150</f>
        <v>Portugal</v>
      </c>
      <c r="D250" s="689"/>
      <c r="E250" s="357"/>
      <c r="F250" s="357"/>
      <c r="G250" s="357"/>
      <c r="H250" s="357"/>
      <c r="I250" s="364"/>
      <c r="J250" s="353"/>
      <c r="K250" s="353"/>
      <c r="L250" s="353"/>
      <c r="M250" s="369"/>
      <c r="N250" s="360"/>
    </row>
    <row r="251" spans="1:14" ht="15" customHeight="1">
      <c r="A251" s="347"/>
      <c r="B251" s="343" t="str">
        <f>WORLDCUP!W151</f>
        <v>🥈Subcampeón</v>
      </c>
      <c r="C251" s="332" t="str">
        <f ca="1">WORLDCUP!AA151</f>
        <v>Alemania</v>
      </c>
      <c r="D251" s="689"/>
      <c r="E251" s="357"/>
      <c r="F251" s="357"/>
      <c r="G251" s="357"/>
      <c r="H251" s="357"/>
      <c r="I251" s="373"/>
      <c r="J251" s="366"/>
      <c r="K251" s="355"/>
      <c r="L251" s="355"/>
      <c r="M251" s="369"/>
      <c r="N251" s="360"/>
    </row>
    <row r="252" spans="1:14" ht="15" customHeight="1">
      <c r="A252" s="347"/>
      <c r="B252" s="343" t="str">
        <f>WORLDCUP!W152</f>
        <v>🥉3º puesto</v>
      </c>
      <c r="C252" s="332" t="str">
        <f ca="1">WORLDCUP!AA152</f>
        <v>Inglaterra</v>
      </c>
      <c r="D252" s="689"/>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Havertz</v>
      </c>
      <c r="D253" s="354"/>
      <c r="E253" s="686" t="str">
        <f>Idiomas!D120</f>
        <v>·Al inicio de la competición si se hace por fases copiar de la C253 a la C258 y pegarla al final del jugador en el archivo de administrador.</v>
      </c>
      <c r="F253" s="686"/>
      <c r="G253" s="686"/>
      <c r="H253" s="686"/>
      <c r="I253" s="375"/>
      <c r="J253" s="375"/>
      <c r="K253" s="375"/>
      <c r="L253" s="376"/>
      <c r="M253" s="376"/>
      <c r="N253" s="360"/>
    </row>
    <row r="254" spans="1:14" ht="15" customHeight="1">
      <c r="A254" s="349"/>
      <c r="B254" s="343" t="e">
        <f>WORLDCUP!#REF!</f>
        <v>#REF!</v>
      </c>
      <c r="C254" s="332" t="e">
        <f>WORLDCUP!#REF!</f>
        <v>#REF!</v>
      </c>
      <c r="D254" s="354"/>
      <c r="E254" s="686"/>
      <c r="F254" s="686"/>
      <c r="G254" s="686"/>
      <c r="H254" s="686"/>
      <c r="I254" s="375"/>
      <c r="J254" s="375"/>
      <c r="K254" s="375"/>
      <c r="L254" s="376"/>
      <c r="M254" s="376"/>
      <c r="N254" s="360"/>
    </row>
    <row r="255" spans="1:14" ht="15" customHeight="1">
      <c r="A255" s="349"/>
      <c r="B255" s="343" t="e">
        <f>WORLDCUP!#REF!</f>
        <v>#REF!</v>
      </c>
      <c r="C255" s="332" t="e">
        <f>WORLDCUP!#REF!</f>
        <v>#REF!</v>
      </c>
      <c r="D255" s="354"/>
      <c r="E255" s="686"/>
      <c r="F255" s="686"/>
      <c r="G255" s="686"/>
      <c r="H255" s="686"/>
      <c r="I255" s="375"/>
      <c r="J255" s="375"/>
      <c r="K255" s="375"/>
      <c r="L255" s="376"/>
      <c r="M255" s="376"/>
      <c r="N255" s="360"/>
    </row>
    <row r="256" spans="1:14" ht="15" customHeight="1">
      <c r="A256" s="346"/>
      <c r="B256" s="343" t="str">
        <f>WORLDCUP!W156</f>
        <v>Balón de Oro  (mejor jugador)</v>
      </c>
      <c r="C256" s="332" t="str">
        <f>WORLDCUP!AA156</f>
        <v>Vitinha</v>
      </c>
      <c r="D256" s="354"/>
      <c r="E256" s="686"/>
      <c r="F256" s="686"/>
      <c r="G256" s="686"/>
      <c r="H256" s="686"/>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5"/>
  <cols>
    <col min="1" max="1" width="3.36328125" style="176" customWidth="1"/>
    <col min="2" max="2" width="2.6328125" style="9" customWidth="1"/>
    <col min="3" max="3" width="5.6328125" style="3" bestFit="1" customWidth="1"/>
    <col min="4" max="5" width="3.36328125" style="3" customWidth="1"/>
    <col min="6" max="6" width="6.08984375" style="3" customWidth="1"/>
    <col min="7" max="7" width="2.453125" style="3" bestFit="1" customWidth="1"/>
    <col min="8" max="9" width="3.81640625" style="3" customWidth="1"/>
    <col min="10" max="10" width="4.453125" style="3" customWidth="1"/>
    <col min="11" max="11" width="5.36328125" style="3" customWidth="1"/>
    <col min="12" max="12" width="3.36328125" style="3" hidden="1" customWidth="1"/>
    <col min="13" max="13" width="1.6328125" style="176" customWidth="1"/>
    <col min="14" max="14" width="2.6328125" style="9" customWidth="1"/>
    <col min="15" max="15" width="4.36328125" style="3" bestFit="1" customWidth="1"/>
    <col min="16" max="17" width="3.36328125" style="3" customWidth="1"/>
    <col min="18" max="18" width="5.08984375" style="3" bestFit="1" customWidth="1"/>
    <col min="19" max="19" width="2.453125" style="3" bestFit="1" customWidth="1"/>
    <col min="20" max="20" width="4.36328125" style="3" bestFit="1" customWidth="1"/>
    <col min="21" max="22" width="3.6328125" style="3" customWidth="1"/>
    <col min="23" max="23" width="4.81640625" style="3" customWidth="1"/>
    <col min="24" max="24" width="4.36328125" style="176" hidden="1" customWidth="1"/>
    <col min="25" max="25" width="2.81640625" style="9" customWidth="1"/>
    <col min="26" max="26" width="7.453125" style="9" bestFit="1" customWidth="1"/>
    <col min="27" max="27" width="9.81640625" style="3" customWidth="1"/>
    <col min="28" max="29" width="4.36328125" style="3" customWidth="1"/>
    <col min="30" max="30" width="2.81640625" style="9" customWidth="1"/>
    <col min="31" max="31" width="9.81640625" style="3" customWidth="1"/>
    <col min="32" max="33" width="4.36328125" style="3" customWidth="1"/>
    <col min="34" max="34" width="2.81640625" style="9" customWidth="1"/>
    <col min="35" max="35" width="9.81640625" style="3" customWidth="1"/>
    <col min="36" max="37" width="4.36328125" style="3" customWidth="1"/>
    <col min="38" max="38" width="2.81640625" style="9" customWidth="1"/>
    <col min="39" max="39" width="9.81640625" style="3" customWidth="1"/>
    <col min="40" max="41" width="4.36328125" style="3" customWidth="1"/>
    <col min="42" max="42" width="2.81640625" style="9" customWidth="1"/>
    <col min="43" max="43" width="9.81640625" style="3" customWidth="1"/>
    <col min="44" max="45" width="4.36328125" style="3" customWidth="1"/>
    <col min="46" max="46" width="2.81640625" style="9" customWidth="1"/>
    <col min="47" max="47" width="9.81640625" style="3" customWidth="1"/>
    <col min="48" max="49" width="4.36328125" style="3" customWidth="1"/>
    <col min="50" max="50" width="4" style="3" bestFit="1" customWidth="1"/>
    <col min="51" max="51" width="3.36328125" style="3" customWidth="1"/>
    <col min="52" max="54" width="7.81640625" style="3" customWidth="1"/>
    <col min="55" max="55" width="3.36328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3</v>
      </c>
      <c r="E3" s="394">
        <f>IF(ISBLANK(INDEX(WORLDCUP!$AD$4:$AD$147,MATCH(A3,WORLDCUP!$AH$4:$AH$147,0))),"",INDEX(WORLDCUP!$AD$4:$AD$147,MATCH(A3,WORLDCUP!$AH$4:$AH$147,0)))</f>
        <v>1</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3</v>
      </c>
      <c r="Q3" s="394">
        <f>IF(ISBLANK(INDEX(WORLDCUP!$AD$4:$AD$147,MATCH(M3,WORLDCUP!$AH$4:$AH$147,0))),"",INDEX(WORLDCUP!$AD$4:$AD$147,MATCH(M3,WORLDCUP!$AH$4:$AH$147,0)))</f>
        <v>0</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3</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3</v>
      </c>
      <c r="K4" s="427" t="str">
        <f ca="1">+INDEX(WORLDCUP!$AR$6:$AR$97,MATCH(L4,WORLDCUP!$AI$6:$AI$97,0))&amp;"-"&amp;INDEX(WORLDCUP!$AS$6:$AS$97,MATCH(L4,WORLDCUP!$AI$6:$AI$97,0))</f>
        <v>4-1</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7</v>
      </c>
      <c r="W4" s="427" t="str">
        <f ca="1">+INDEX(WORLDCUP!$AR$6:$AR$97,MATCH(X4,WORLDCUP!$AI$6:$AI$97,0))&amp;"-"&amp;INDEX(WORLDCUP!$AS$6:$AS$97,MATCH(X4,WORLDCUP!$AI$6:$AI$97,0))</f>
        <v>7-0</v>
      </c>
      <c r="X4" s="171" t="s">
        <v>679</v>
      </c>
      <c r="Y4" s="171">
        <v>74</v>
      </c>
      <c r="Z4" s="401" t="s">
        <v>734</v>
      </c>
      <c r="AA4" s="402" t="str">
        <f ca="1">+MID(INDEX(WORLDCUP!$AF$101:$AF$147,MATCH(Y4,WORLDCUP!$Z$101:$Z$147,0)),1,IF(WORLDCUP!$H$113&lt;144,6,3))</f>
        <v>Esc</v>
      </c>
      <c r="AB4" s="429">
        <f>+IF(ISBLANK(INDEX(WORLDCUP!$AD$101:$AD$147,MATCH(Y4,WORLDCUP!$Z$101:$Z$147,0))),"",INDEX(WORLDCUP!$AD$101:$AD$147,MATCH(Y4,WORLDCUP!$Z$101:$Z$147,0)))</f>
        <v>1</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2</v>
      </c>
      <c r="AG4" s="434" t="str">
        <f>+IF(ISBLANK(INDEX(WORLDCUP!$AB$101:$AB$147,MATCH(AD4,WORLDCUP!$Z$101:$Z$147,0))),"","( "&amp;INDEX(WORLDCUP!$AB$101:$AB$147,MATCH(AD4,WORLDCUP!$Z$101:$Z$147,0))&amp;" )")</f>
        <v>( 3 )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0</v>
      </c>
      <c r="BK4" s="441">
        <f ca="1">COUNTIF(Pool!$C$210:$C$217,Fixture!BG4)-BL4-BM4-BN4-BO4</f>
        <v>0</v>
      </c>
      <c r="BL4" s="441">
        <f ca="1">COUNTIF(Pool!$C$226:$C$229,Fixture!BG4)-BM4-BN4-BO4</f>
        <v>0</v>
      </c>
      <c r="BM4" s="439">
        <f ca="1">COUNTIF(Pool!$C$252,Fixture!BG4)</f>
        <v>0</v>
      </c>
      <c r="BN4" s="439">
        <f ca="1">COUNTIF(Pool!$C$251,Fixture!BG4)</f>
        <v>1</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0</v>
      </c>
      <c r="F5" s="422" t="str">
        <f ca="1">+MID(INDEX(WORLDCUP!$AF$4:$AF$147,MATCH(A5,WORLDCUP!$AH$4:$AH$147,0)),1,3)</f>
        <v>Sud</v>
      </c>
      <c r="G5" s="443">
        <v>2</v>
      </c>
      <c r="H5" s="444" t="str">
        <f ca="1">+MID(INDEX(WORLDCUP!$AL$6:$AL$97,MATCH(L5,WORLDCUP!$AI$6:$AI$97,0)),1,3)</f>
        <v>Rep</v>
      </c>
      <c r="I5" s="38">
        <f ca="1">+INDEX(WORLDCUP!$AM$6:$AM$97,MATCH(L5,WORLDCUP!$AI$6:$AI$97,0))</f>
        <v>4</v>
      </c>
      <c r="J5" s="39">
        <f ca="1">+INDEX(WORLDCUP!$AT$6:$AT$97,MATCH(L5,WORLDCUP!$AI$6:$AI$97,0))</f>
        <v>0</v>
      </c>
      <c r="K5" s="43" t="str">
        <f ca="1">+INDEX(WORLDCUP!$AR$6:$AR$97,MATCH(L5,WORLDCUP!$AI$6:$AI$97,0))&amp;"-"&amp;INDEX(WORLDCUP!$AS$6:$AS$97,MATCH(L5,WORLDCUP!$AI$6:$AI$97,0))</f>
        <v>2-2</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-1</v>
      </c>
      <c r="W5" s="43" t="str">
        <f ca="1">+INDEX(WORLDCUP!$AR$6:$AR$97,MATCH(X5,WORLDCUP!$AI$6:$AI$97,0))&amp;"-"&amp;INDEX(WORLDCUP!$AS$6:$AS$97,MATCH(X5,WORLDCUP!$AI$6:$AI$97,0))</f>
        <v>2-3</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( 2 )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0</v>
      </c>
      <c r="E6" s="421">
        <f>IF(ISBLANK(INDEX(WORLDCUP!$AD$4:$AD$147,MATCH(A6,WORLDCUP!$AH$4:$AH$147,0))),"",INDEX(WORLDCUP!$AD$4:$AD$147,MATCH(A6,WORLDCUP!$AH$4:$AH$147,0)))</f>
        <v>0</v>
      </c>
      <c r="F6" s="422" t="str">
        <f ca="1">+MID(INDEX(WORLDCUP!$AF$4:$AF$147,MATCH(A6,WORLDCUP!$AH$4:$AH$147,0)),1,3)</f>
        <v>Cor</v>
      </c>
      <c r="G6" s="443">
        <v>3</v>
      </c>
      <c r="H6" s="444" t="str">
        <f ca="1">+MID(INDEX(WORLDCUP!$AL$6:$AL$97,MATCH(L6,WORLDCUP!$AI$6:$AI$97,0)),1,3)</f>
        <v>Sud</v>
      </c>
      <c r="I6" s="38">
        <f ca="1">+INDEX(WORLDCUP!$AM$6:$AM$97,MATCH(L6,WORLDCUP!$AI$6:$AI$97,0))</f>
        <v>3</v>
      </c>
      <c r="J6" s="39">
        <f ca="1">+INDEX(WORLDCUP!$AT$6:$AT$97,MATCH(L6,WORLDCUP!$AI$6:$AI$97,0))</f>
        <v>-2</v>
      </c>
      <c r="K6" s="43" t="str">
        <f ca="1">+INDEX(WORLDCUP!$AR$6:$AR$97,MATCH(L6,WORLDCUP!$AI$6:$AI$97,0))&amp;"-"&amp;INDEX(WORLDCUP!$AS$6:$AS$97,MATCH(L6,WORLDCUP!$AI$6:$AI$97,0))</f>
        <v>3-5</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1</v>
      </c>
      <c r="R6" s="422" t="str">
        <f ca="1">+MID(INDEX(WORLDCUP!$AF$4:$AF$147,MATCH(M6,WORLDCUP!$AH$4:$AH$147,0)),1,3)</f>
        <v>Egi</v>
      </c>
      <c r="S6" s="443">
        <v>3</v>
      </c>
      <c r="T6" s="444" t="str">
        <f ca="1">+MID(INDEX(WORLDCUP!$AL$6:$AL$97,MATCH(X6,WORLDCUP!$AI$6:$AI$97,0)),1,3)</f>
        <v>Irá</v>
      </c>
      <c r="U6" s="38">
        <f ca="1">+INDEX(WORLDCUP!$AM$6:$AM$97,MATCH(X6,WORLDCUP!$AI$6:$AI$97,0))</f>
        <v>3</v>
      </c>
      <c r="V6" s="39">
        <f ca="1">+INDEX(WORLDCUP!$AT$6:$AT$97,MATCH(X6,WORLDCUP!$AI$6:$AI$97,0))</f>
        <v>-2</v>
      </c>
      <c r="W6" s="43" t="str">
        <f ca="1">+INDEX(WORLDCUP!$AR$6:$AR$97,MATCH(X6,WORLDCUP!$AI$6:$AI$97,0))&amp;"-"&amp;INDEX(WORLDCUP!$AS$6:$AS$97,MATCH(X6,WORLDCUP!$AI$6:$AI$97,0))</f>
        <v>1-3</v>
      </c>
      <c r="X6" s="171" t="s">
        <v>445</v>
      </c>
      <c r="Y6" s="171">
        <v>77</v>
      </c>
      <c r="Z6" s="401" t="s">
        <v>685</v>
      </c>
      <c r="AA6" s="402" t="str">
        <f ca="1">+MID(INDEX(WORLDCUP!$AA$101:$AA$147,MATCH(Y6,WORLDCUP!$Z$101:$Z$147,0)),1,3)</f>
        <v>Fra</v>
      </c>
      <c r="AB6" s="448">
        <f>+IF(ISBLANK(INDEX(WORLDCUP!$AC$101:$AC$147,MATCH(Y6,WORLDCUP!$Z$101:$Z$147,0))),"",INDEX(WORLDCUP!$AC$101:$AC$147,MATCH(Y6,WORLDCUP!$Z$101:$Z$147,0)))</f>
        <v>3</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1</v>
      </c>
      <c r="F7" s="422" t="str">
        <f ca="1">+MID(INDEX(WORLDCUP!$AF$4:$AF$147,MATCH(A7,WORLDCUP!$AH$4:$AH$147,0)),1,3)</f>
        <v>Méx</v>
      </c>
      <c r="G7" s="443">
        <v>4</v>
      </c>
      <c r="H7" s="452" t="str">
        <f ca="1">+MID(INDEX(WORLDCUP!$AL$6:$AL$97,MATCH(L7,WORLDCUP!$AI$6:$AI$97,0)),1,3)</f>
        <v>Cor</v>
      </c>
      <c r="I7" s="453">
        <f ca="1">+INDEX(WORLDCUP!$AM$6:$AM$97,MATCH(L7,WORLDCUP!$AI$6:$AI$97,0))</f>
        <v>2</v>
      </c>
      <c r="J7" s="454">
        <f ca="1">+INDEX(WORLDCUP!$AT$6:$AT$97,MATCH(L7,WORLDCUP!$AI$6:$AI$97,0))</f>
        <v>-1</v>
      </c>
      <c r="K7" s="455" t="str">
        <f ca="1">+INDEX(WORLDCUP!$AR$6:$AR$97,MATCH(L7,WORLDCUP!$AI$6:$AI$97,0))&amp;"-"&amp;INDEX(WORLDCUP!$AS$6:$AS$97,MATCH(L7,WORLDCUP!$AI$6:$AI$97,0))</f>
        <v>2-3</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-4</v>
      </c>
      <c r="W7" s="455" t="str">
        <f ca="1">+INDEX(WORLDCUP!$AR$6:$AR$97,MATCH(X7,WORLDCUP!$AI$6:$AI$97,0))&amp;"-"&amp;INDEX(WORLDCUP!$AS$6:$AS$97,MATCH(X7,WORLDCUP!$AI$6:$AI$97,0))</f>
        <v>0-4</v>
      </c>
      <c r="X7" s="171" t="s">
        <v>681</v>
      </c>
      <c r="Y7" s="171">
        <v>77</v>
      </c>
      <c r="Z7" s="401" t="s">
        <v>735</v>
      </c>
      <c r="AA7" s="456" t="str">
        <f ca="1">+MID(INDEX(WORLDCUP!$AF$101:$AF$147,MATCH(Y7,WORLDCUP!$Z$101:$Z$147,0)),1,IF(WORLDCUP!$H$113&lt;144,6,3))</f>
        <v>Est</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Ale</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1</v>
      </c>
      <c r="BJ7" s="440">
        <f ca="1">COUNTIF(Pool!$C$182:$C$197,Fixture!BG7)-BK7-BL7-BM7-BN7-BO7</f>
        <v>0</v>
      </c>
      <c r="BK7" s="441">
        <f ca="1">COUNTIF(Pool!$C$210:$C$217,Fixture!BG7)-BL7-BM7-BN7-BO7</f>
        <v>0</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2</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2</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0</v>
      </c>
      <c r="BI8" s="439">
        <f ca="1">COUNTIF(Pool!$C$130:$C$161,Fixture!BG8)-BJ8-BK8-BL8-BM8-BN8-BO8</f>
        <v>1</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1</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2</v>
      </c>
      <c r="AC10" s="430" t="str">
        <f>+IF(ISBLANK(INDEX(WORLDCUP!$AE$101:$AE$147,MATCH(Y10,WORLDCUP!$Z$101:$Z$147,0))),"","( "&amp;INDEX(WORLDCUP!$AE$101:$AE$147,MATCH(Y10,WORLDCUP!$Z$101:$Z$147,0))&amp;" )")</f>
        <v/>
      </c>
      <c r="AD10" s="476">
        <v>90</v>
      </c>
      <c r="AE10" s="432" t="str">
        <f ca="1">+MID(INDEX(WORLDCUP!$AA$101:$AA$147,MATCH(AD10,WORLDCUP!$Z$101:$Z$147,0)),1,3)</f>
        <v>Can</v>
      </c>
      <c r="AF10" s="433">
        <f>+IF(ISBLANK(INDEX(WORLDCUP!$AC$101:$AC$147,MATCH(AD10,WORLDCUP!$Z$101:$Z$147,0))),"",INDEX(WORLDCUP!$AC$101:$AC$147,MATCH(AD10,WORLDCUP!$Z$101:$Z$147,0)))</f>
        <v>1</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2</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3</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3</v>
      </c>
      <c r="K12" s="427" t="str">
        <f ca="1">+INDEX(WORLDCUP!$AR$6:$AR$97,MATCH(L12,WORLDCUP!$AI$6:$AI$97,0))&amp;"-"&amp;INDEX(WORLDCUP!$AS$6:$AS$97,MATCH(L12,WORLDCUP!$AI$6:$AI$97,0))</f>
        <v>4-1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3</v>
      </c>
      <c r="R12" s="422" t="str">
        <f ca="1">+MID(INDEX(WORLDCUP!$AF$4:$AF$147,MATCH(M12,WORLDCUP!$AH$4:$AH$147,0)),1,3)</f>
        <v>Uru</v>
      </c>
      <c r="S12" s="423">
        <v>1</v>
      </c>
      <c r="T12" s="424" t="str">
        <f ca="1">+MID(INDEX(WORLDCUP!$AL$6:$AL$97,MATCH(X12,WORLDCUP!$AI$6:$AI$97,0)),1,3)</f>
        <v>Uru</v>
      </c>
      <c r="U12" s="425">
        <f ca="1">+INDEX(WORLDCUP!$AM$6:$AM$97,MATCH(X12,WORLDCUP!$AI$6:$AI$97,0))</f>
        <v>9</v>
      </c>
      <c r="V12" s="426">
        <f ca="1">+INDEX(WORLDCUP!$AT$6:$AT$97,MATCH(X12,WORLDCUP!$AI$6:$AI$97,0))</f>
        <v>5</v>
      </c>
      <c r="W12" s="427" t="str">
        <f ca="1">+INDEX(WORLDCUP!$AR$6:$AR$97,MATCH(X12,WORLDCUP!$AI$6:$AI$97,0))&amp;"-"&amp;INDEX(WORLDCUP!$AS$6:$AS$97,MATCH(X12,WORLDCUP!$AI$6:$AI$97,0))</f>
        <v>7-2</v>
      </c>
      <c r="X12" s="171" t="s">
        <v>682</v>
      </c>
      <c r="Y12" s="171">
        <v>75</v>
      </c>
      <c r="Z12" s="401" t="s">
        <v>676</v>
      </c>
      <c r="AA12" s="402" t="str">
        <f ca="1">+MID(INDEX(WORLDCUP!$AA$101:$AA$147,MATCH(Y12,WORLDCUP!$Z$101:$Z$147,0)),1,3)</f>
        <v>Jap</v>
      </c>
      <c r="AB12" s="448">
        <f>+IF(ISBLANK(INDEX(WORLDCUP!$AC$101:$AC$147,MATCH(Y12,WORLDCUP!$Z$101:$Z$147,0))),"",INDEX(WORLDCUP!$AC$101:$AC$147,MATCH(Y12,WORLDCUP!$Z$101:$Z$147,0)))</f>
        <v>1</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1</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Can</v>
      </c>
      <c r="I13" s="38">
        <f ca="1">+INDEX(WORLDCUP!$AM$6:$AM$97,MATCH(L13,WORLDCUP!$AI$6:$AI$97,0))</f>
        <v>5</v>
      </c>
      <c r="J13" s="39">
        <f ca="1">+INDEX(WORLDCUP!$AT$6:$AT$97,MATCH(L13,WORLDCUP!$AI$6:$AI$97,0))</f>
        <v>1</v>
      </c>
      <c r="K13" s="43" t="str">
        <f ca="1">+INDEX(WORLDCUP!$AR$6:$AR$97,MATCH(L13,WORLDCUP!$AI$6:$AI$97,0))&amp;"-"&amp;INDEX(WORLDCUP!$AS$6:$AS$97,MATCH(L13,WORLDCUP!$AI$6:$AI$97,0))</f>
        <v>2-1</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Esp</v>
      </c>
      <c r="U13" s="38">
        <f ca="1">+INDEX(WORLDCUP!$AM$6:$AM$97,MATCH(X13,WORLDCUP!$AI$6:$AI$97,0))</f>
        <v>6</v>
      </c>
      <c r="V13" s="39">
        <f ca="1">+INDEX(WORLDCUP!$AT$6:$AT$97,MATCH(X13,WORLDCUP!$AI$6:$AI$97,0))</f>
        <v>4</v>
      </c>
      <c r="W13" s="43" t="str">
        <f ca="1">+INDEX(WORLDCUP!$AR$6:$AR$97,MATCH(X13,WORLDCUP!$AI$6:$AI$97,0))&amp;"-"&amp;INDEX(WORLDCUP!$AS$6:$AS$97,MATCH(X13,WORLDCUP!$AI$6:$AI$97,0))</f>
        <v>6-2</v>
      </c>
      <c r="X13" s="171" t="s">
        <v>683</v>
      </c>
      <c r="Y13" s="171">
        <v>75</v>
      </c>
      <c r="Z13" s="401" t="s">
        <v>668</v>
      </c>
      <c r="AA13" s="456" t="str">
        <f ca="1">+MID(INDEX(WORLDCUP!$AF$101:$AF$147,MATCH(Y13,WORLDCUP!$Z$101:$Z$147,0)),1,3)</f>
        <v>Mar</v>
      </c>
      <c r="AB13" s="457">
        <f>+IF(ISBLANK(INDEX(WORLDCUP!$AD$101:$AD$147,MATCH(Y13,WORLDCUP!$Z$101:$Z$147,0))),"",INDEX(WORLDCUP!$AD$101:$AD$147,MATCH(Y13,WORLDCUP!$Z$101:$Z$147,0)))</f>
        <v>2</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Ale</v>
      </c>
      <c r="AN13" s="485">
        <f>+IF(ISBLANK(INDEX(WORLDCUP!$AC$101:$AC$147,MATCH(AL13,WORLDCUP!$Z$101:$Z$147,0))),"",INDEX(WORLDCUP!$AC$101:$AC$147,MATCH(AL13,WORLDCUP!$Z$101:$Z$147,0)))</f>
        <v>2</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0</v>
      </c>
      <c r="BI13" s="439">
        <f ca="1">COUNTIF(Pool!$C$130:$C$161,Fixture!BG13)-BJ13-BK13-BL13-BM13-BN13-BO13</f>
        <v>1</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1</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4-3</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1</v>
      </c>
      <c r="R14" s="422" t="str">
        <f ca="1">+MID(INDEX(WORLDCUP!$AF$4:$AF$147,MATCH(M14,WORLDCUP!$AH$4:$AH$147,0)),1,3)</f>
        <v>Cab</v>
      </c>
      <c r="S14" s="443">
        <v>3</v>
      </c>
      <c r="T14" s="444" t="str">
        <f ca="1">+MID(INDEX(WORLDCUP!$AL$6:$AL$97,MATCH(X14,WORLDCUP!$AI$6:$AI$97,0)),1,3)</f>
        <v>Cab</v>
      </c>
      <c r="U14" s="38">
        <f ca="1">+INDEX(WORLDCUP!$AM$6:$AM$97,MATCH(X14,WORLDCUP!$AI$6:$AI$97,0))</f>
        <v>3</v>
      </c>
      <c r="V14" s="39">
        <f ca="1">+INDEX(WORLDCUP!$AT$6:$AT$97,MATCH(X14,WORLDCUP!$AI$6:$AI$97,0))</f>
        <v>-2</v>
      </c>
      <c r="W14" s="43" t="str">
        <f ca="1">+INDEX(WORLDCUP!$AR$6:$AR$97,MATCH(X14,WORLDCUP!$AI$6:$AI$97,0))&amp;"-"&amp;INDEX(WORLDCUP!$AS$6:$AS$97,MATCH(X14,WORLDCUP!$AI$6:$AI$97,0))</f>
        <v>3-5</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Col</v>
      </c>
      <c r="AN14" s="485">
        <f>+IF(ISBLANK(INDEX(WORLDCUP!$AD$101:$AD$147,MATCH(AL14,WORLDCUP!$Z$101:$Z$147,0))),"",INDEX(WORLDCUP!$AD$101:$AD$147,MATCH(AL14,WORLDCUP!$Z$101:$Z$147,0)))</f>
        <v>1</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0</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-5</v>
      </c>
      <c r="K15" s="455" t="str">
        <f ca="1">+INDEX(WORLDCUP!$AR$6:$AR$97,MATCH(L15,WORLDCUP!$AI$6:$AI$97,0))&amp;"-"&amp;INDEX(WORLDCUP!$AS$6:$AS$97,MATCH(L15,WORLDCUP!$AI$6:$AI$97,0))</f>
        <v>0-5</v>
      </c>
      <c r="L15" s="171" t="s">
        <v>662</v>
      </c>
      <c r="M15" s="171">
        <v>65</v>
      </c>
      <c r="N15" s="481"/>
      <c r="O15" s="420" t="str">
        <f ca="1">+MID(INDEX(WORLDCUP!$AA$4:$AA$147,MATCH(M15,WORLDCUP!$AH$4:$AH$147,0)),1,3)</f>
        <v>Cab</v>
      </c>
      <c r="P15" s="421">
        <f>IF(ISBLANK(INDEX(WORLDCUP!$AC$4:$AC$147,MATCH(M15,WORLDCUP!$AH$4:$AH$147,0))),"",INDEX(WORLDCUP!$AC$4:$AC$147,MATCH(M15,WORLDCUP!$AH$4:$AH$147,0)))</f>
        <v>2</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Ara</v>
      </c>
      <c r="U15" s="453">
        <f ca="1">+INDEX(WORLDCUP!$AM$6:$AM$97,MATCH(X15,WORLDCUP!$AI$6:$AI$97,0))</f>
        <v>0</v>
      </c>
      <c r="V15" s="454">
        <f ca="1">+INDEX(WORLDCUP!$AT$6:$AT$97,MATCH(X15,WORLDCUP!$AI$6:$AI$97,0))</f>
        <v>-7</v>
      </c>
      <c r="W15" s="455" t="str">
        <f ca="1">+INDEX(WORLDCUP!$AR$6:$AR$97,MATCH(X15,WORLDCUP!$AI$6:$AI$97,0))&amp;"-"&amp;INDEX(WORLDCUP!$AS$6:$AS$97,MATCH(X15,WORLDCUP!$AI$6:$AI$97,0))</f>
        <v>1-8</v>
      </c>
      <c r="X15" s="171" t="s">
        <v>684</v>
      </c>
      <c r="Y15" s="171">
        <v>83</v>
      </c>
      <c r="Z15" s="401" t="s">
        <v>692</v>
      </c>
      <c r="AA15" s="402" t="str">
        <f ca="1">+MID(INDEX(WORLDCUP!$AA$101:$AA$147,MATCH(Y15,WORLDCUP!$Z$101:$Z$147,0)),1,3)</f>
        <v>Col</v>
      </c>
      <c r="AB15" s="403">
        <f>+IF(ISBLANK(INDEX(WORLDCUP!$AC$101:$AC$147,MATCH(Y15,WORLDCUP!$Z$101:$Z$147,0))),"",INDEX(WORLDCUP!$AC$101:$AC$147,MATCH(Y15,WORLDCUP!$Z$101:$Z$147,0)))</f>
        <v>1</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2</v>
      </c>
      <c r="Q16" s="464">
        <f>IF(ISBLANK(INDEX(WORLDCUP!$AD$4:$AD$147,MATCH(M16,WORLDCUP!$AH$4:$AH$147,0))),"",INDEX(WORLDCUP!$AD$4:$AD$147,MATCH(M16,WORLDCUP!$AH$4:$AH$147,0)))</f>
        <v>1</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0</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( 3 )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0</v>
      </c>
      <c r="BK16" s="441">
        <f ca="1">COUNTIF(Pool!$C$210:$C$217,Fixture!BG16)-BL16-BM16-BN16-BO16</f>
        <v>0</v>
      </c>
      <c r="BL16" s="441">
        <f ca="1">COUNTIF(Pool!$C$226:$C$229,Fixture!BG16)-BM16-BN16-BO16</f>
        <v>1</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Uru</v>
      </c>
      <c r="AF17" s="433">
        <f>+IF(ISBLANK(INDEX(WORLDCUP!$AD$101:$AD$147,MATCH(AD17,WORLDCUP!$Z$101:$Z$147,0))),"",INDEX(WORLDCUP!$AD$101:$AD$147,MATCH(AD17,WORLDCUP!$Z$101:$Z$147,0)))</f>
        <v>0</v>
      </c>
      <c r="AG17" s="491" t="str">
        <f>+IF(ISBLANK(INDEX(WORLDCUP!$AE$101:$AE$147,MATCH(AD17,WORLDCUP!$Z$101:$Z$147,0))),"","( "&amp;INDEX(WORLDCUP!$AE$101:$AE$147,MATCH(AD17,WORLDCUP!$Z$101:$Z$147,0))&amp;" )")</f>
        <v>( 2 )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1</v>
      </c>
      <c r="BI17" s="439">
        <f ca="1">COUNTIF(Pool!$C$130:$C$161,Fixture!BG17)-BJ17-BK17-BL17-BM17-BN17-BO17</f>
        <v>0</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Uru</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3</v>
      </c>
      <c r="E19" s="394">
        <f>IF(ISBLANK(INDEX(WORLDCUP!$AD$4:$AD$147,MATCH(A19,WORLDCUP!$AH$4:$AH$147,0))),"",INDEX(WORLDCUP!$AD$4:$AD$147,MATCH(A19,WORLDCUP!$AH$4:$AH$147,0)))</f>
        <v>2</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3</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1</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Col</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3</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7</v>
      </c>
      <c r="K20" s="427" t="str">
        <f ca="1">+INDEX(WORLDCUP!$AR$6:$AR$97,MATCH(L20,WORLDCUP!$AI$6:$AI$97,0))&amp;"-"&amp;INDEX(WORLDCUP!$AS$6:$AS$97,MATCH(L20,WORLDCUP!$AI$6:$AI$97,0))</f>
        <v>10-3</v>
      </c>
      <c r="L20" s="171" t="s">
        <v>663</v>
      </c>
      <c r="M20" s="171">
        <v>18</v>
      </c>
      <c r="N20" s="498"/>
      <c r="O20" s="420" t="str">
        <f ca="1">+MID(INDEX(WORLDCUP!$AA$4:$AA$147,MATCH(M20,WORLDCUP!$AH$4:$AH$147,0)),1,3)</f>
        <v>Ira</v>
      </c>
      <c r="P20" s="421">
        <f>IF(ISBLANK(INDEX(WORLDCUP!$AC$4:$AC$147,MATCH(M20,WORLDCUP!$AH$4:$AH$147,0))),"",INDEX(WORLDCUP!$AC$4:$AC$147,MATCH(M20,WORLDCUP!$AH$4:$AH$147,0)))</f>
        <v>1</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6</v>
      </c>
      <c r="W20" s="427" t="str">
        <f ca="1">+INDEX(WORLDCUP!$AR$6:$AR$97,MATCH(X20,WORLDCUP!$AI$6:$AI$97,0))&amp;"-"&amp;INDEX(WORLDCUP!$AS$6:$AS$97,MATCH(X20,WORLDCUP!$AI$6:$AI$97,0))</f>
        <v>7-1</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7-4</v>
      </c>
      <c r="L21" s="171" t="s">
        <v>668</v>
      </c>
      <c r="M21" s="171">
        <v>42</v>
      </c>
      <c r="N21" s="498"/>
      <c r="O21" s="420" t="str">
        <f ca="1">+MID(INDEX(WORLDCUP!$AA$4:$AA$147,MATCH(M21,WORLDCUP!$AH$4:$AH$147,0)),1,3)</f>
        <v>Fra</v>
      </c>
      <c r="P21" s="421">
        <f>IF(ISBLANK(INDEX(WORLDCUP!$AC$4:$AC$147,MATCH(M21,WORLDCUP!$AH$4:$AH$147,0))),"",INDEX(WORLDCUP!$AC$4:$AC$147,MATCH(M21,WORLDCUP!$AH$4:$AH$147,0)))</f>
        <v>2</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Sen</v>
      </c>
      <c r="U21" s="38">
        <f ca="1">+INDEX(WORLDCUP!$AM$6:$AM$97,MATCH(X21,WORLDCUP!$AI$6:$AI$97,0))</f>
        <v>6</v>
      </c>
      <c r="V21" s="39">
        <f ca="1">+INDEX(WORLDCUP!$AT$6:$AT$97,MATCH(X21,WORLDCUP!$AI$6:$AI$97,0))</f>
        <v>0</v>
      </c>
      <c r="W21" s="43" t="str">
        <f ca="1">+INDEX(WORLDCUP!$AR$6:$AR$97,MATCH(X21,WORLDCUP!$AI$6:$AI$97,0))&amp;"-"&amp;INDEX(WORLDCUP!$AS$6:$AS$97,MATCH(X21,WORLDCUP!$AI$6:$AI$97,0))</f>
        <v>3-3</v>
      </c>
      <c r="X21" s="171" t="s">
        <v>686</v>
      </c>
      <c r="Y21" s="171">
        <v>81</v>
      </c>
      <c r="Z21" s="401" t="s">
        <v>670</v>
      </c>
      <c r="AA21" s="402" t="str">
        <f ca="1">+MID(INDEX(WORLDCUP!$AA$101:$AA$147,MATCH(Y21,WORLDCUP!$Z$101:$Z$147,0)),1,3)</f>
        <v>Tur</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Portugal</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5</v>
      </c>
      <c r="E22" s="421">
        <f>IF(ISBLANK(INDEX(WORLDCUP!$AD$4:$AD$147,MATCH(A22,WORLDCUP!$AH$4:$AH$147,0))),"",INDEX(WORLDCUP!$AD$4:$AD$147,MATCH(A22,WORLDCUP!$AH$4:$AH$147,0)))</f>
        <v>1</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0</v>
      </c>
      <c r="K22" s="43" t="str">
        <f ca="1">+INDEX(WORLDCUP!$AR$6:$AR$97,MATCH(L22,WORLDCUP!$AI$6:$AI$97,0))&amp;"-"&amp;INDEX(WORLDCUP!$AS$6:$AS$97,MATCH(L22,WORLDCUP!$AI$6:$AI$97,0))</f>
        <v>4-4</v>
      </c>
      <c r="L22" s="171" t="s">
        <v>92</v>
      </c>
      <c r="M22" s="171">
        <v>41</v>
      </c>
      <c r="N22" s="498"/>
      <c r="O22" s="420" t="str">
        <f ca="1">+MID(INDEX(WORLDCUP!$AA$4:$AA$147,MATCH(M22,WORLDCUP!$AH$4:$AH$147,0)),1,3)</f>
        <v>Nor</v>
      </c>
      <c r="P22" s="421">
        <f>IF(ISBLANK(INDEX(WORLDCUP!$AC$4:$AC$147,MATCH(M22,WORLDCUP!$AH$4:$AH$147,0))),"",INDEX(WORLDCUP!$AC$4:$AC$147,MATCH(M22,WORLDCUP!$AH$4:$AH$147,0)))</f>
        <v>0</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Nor</v>
      </c>
      <c r="U22" s="38">
        <f ca="1">+INDEX(WORLDCUP!$AM$6:$AM$97,MATCH(X22,WORLDCUP!$AI$6:$AI$97,0))</f>
        <v>3</v>
      </c>
      <c r="V22" s="39">
        <f ca="1">+INDEX(WORLDCUP!$AT$6:$AT$97,MATCH(X22,WORLDCUP!$AI$6:$AI$97,0))</f>
        <v>-2</v>
      </c>
      <c r="W22" s="43" t="str">
        <f ca="1">+INDEX(WORLDCUP!$AR$6:$AR$97,MATCH(X22,WORLDCUP!$AI$6:$AI$97,0))&amp;"-"&amp;INDEX(WORLDCUP!$AS$6:$AS$97,MATCH(X22,WORLDCUP!$AI$6:$AI$97,0))</f>
        <v>2-4</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0</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1</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0</v>
      </c>
      <c r="BJ22" s="440">
        <f ca="1">COUNTIF(Pool!$C$182:$C$197,Fixture!BG22)-BK22-BL22-BM22-BN22-BO22</f>
        <v>1</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2</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-10</v>
      </c>
      <c r="K23" s="455" t="str">
        <f ca="1">+INDEX(WORLDCUP!$AR$6:$AR$97,MATCH(L23,WORLDCUP!$AI$6:$AI$97,0))&amp;"-"&amp;INDEX(WORLDCUP!$AS$6:$AS$97,MATCH(L23,WORLDCUP!$AI$6:$AI$97,0))</f>
        <v>1-11</v>
      </c>
      <c r="L23" s="171" t="s">
        <v>669</v>
      </c>
      <c r="M23" s="171">
        <v>61</v>
      </c>
      <c r="N23" s="498"/>
      <c r="O23" s="420" t="str">
        <f ca="1">+MID(INDEX(WORLDCUP!$AA$4:$AA$147,MATCH(M23,WORLDCUP!$AH$4:$AH$147,0)),1,3)</f>
        <v>Nor</v>
      </c>
      <c r="P23" s="421">
        <f>IF(ISBLANK(INDEX(WORLDCUP!$AC$4:$AC$147,MATCH(M23,WORLDCUP!$AH$4:$AH$147,0))),"",INDEX(WORLDCUP!$AC$4:$AC$147,MATCH(M23,WORLDCUP!$AH$4:$AH$147,0)))</f>
        <v>0</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-4</v>
      </c>
      <c r="W23" s="455" t="str">
        <f ca="1">+INDEX(WORLDCUP!$AR$6:$AR$97,MATCH(X23,WORLDCUP!$AI$6:$AI$97,0))&amp;"-"&amp;INDEX(WORLDCUP!$AS$6:$AS$97,MATCH(X23,WORLDCUP!$AI$6:$AI$97,0))</f>
        <v>1-5</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Alemania</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1</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3</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1</v>
      </c>
      <c r="BL24" s="441">
        <f ca="1">COUNTIF(Pool!$C$226:$C$229,Fixture!BG24)-BM24-BN24-BO24</f>
        <v>0</v>
      </c>
      <c r="BM24" s="439">
        <f ca="1">COUNTIF(Pool!$C$252,Fixture!BG24)</f>
        <v>0</v>
      </c>
      <c r="BN24" s="439">
        <f ca="1">COUNTIF(Pool!$C$251,Fixture!BG24)</f>
        <v>0</v>
      </c>
      <c r="BO24" s="442">
        <f ca="1">COUNTIF(Pool!$C$250,Fixture!BG24)</f>
        <v>0</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Sud</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Alem</v>
      </c>
      <c r="AV25" s="514">
        <f>+IF(ISBLANK(INDEX(WORLDCUP!$AC$101:$AC$147,MATCH(AT25,WORLDCUP!$Z$101:$Z$147,0))),"",INDEX(WORLDCUP!$AC$101:$AC$147,MATCH(AT25,WORLDCUP!$Z$101:$Z$147,0)))</f>
        <v>0</v>
      </c>
      <c r="AW25" s="515" t="str">
        <f>+IF(ISBLANK(INDEX(WORLDCUP!$AB$101:$AB$147,MATCH(AT25,WORLDCUP!$Z$101:$Z$147,0))),"","( "&amp;INDEX(WORLDCUP!$AB$101:$AB$147,MATCH(AT25,WORLDCUP!$Z$101:$Z$147,0))&amp;" )")</f>
        <v/>
      </c>
      <c r="AX25" s="516"/>
      <c r="AY25" s="503"/>
      <c r="AZ25" s="504" t="str">
        <f ca="1">+WORLDCUP!AA152</f>
        <v>Inglaterra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1</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1</v>
      </c>
      <c r="BK26" s="441">
        <f ca="1">COUNTIF(Pool!$C$210:$C$217,Fixture!BG26)-BL26-BM26-BN26-BO26</f>
        <v>0</v>
      </c>
      <c r="BL26" s="441">
        <f ca="1">COUNTIF(Pool!$C$226:$C$229,Fixture!BG26)-BM26-BN26-BO26</f>
        <v>0</v>
      </c>
      <c r="BM26" s="439">
        <f ca="1">COUNTIF(Pool!$C$252,Fixture!BG26)</f>
        <v>0</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3</v>
      </c>
      <c r="Q27" s="394">
        <f>IF(ISBLANK(INDEX(WORLDCUP!$AD$4:$AD$147,MATCH(M27,WORLDCUP!$AH$4:$AH$147,0))),"",INDEX(WORLDCUP!$AD$4:$AD$147,MATCH(M27,WORLDCUP!$AH$4:$AH$147,0)))</f>
        <v>1</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1</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1</v>
      </c>
      <c r="F28" s="422" t="str">
        <f ca="1">+MID(INDEX(WORLDCUP!$AF$4:$AF$147,MATCH(A28,WORLDCUP!$AH$4:$AH$147,0)),1,3)</f>
        <v>Tur</v>
      </c>
      <c r="G28" s="423">
        <v>1</v>
      </c>
      <c r="H28" s="424" t="str">
        <f ca="1">+MID(INDEX(WORLDCUP!$AL$6:$AL$97,MATCH(L28,WORLDCUP!$AI$6:$AI$97,0)),1,3)</f>
        <v>Tur</v>
      </c>
      <c r="I28" s="425">
        <f ca="1">+INDEX(WORLDCUP!$AM$6:$AM$97,MATCH(L28,WORLDCUP!$AI$6:$AI$97,0))</f>
        <v>5</v>
      </c>
      <c r="J28" s="426">
        <f ca="1">+INDEX(WORLDCUP!$AT$6:$AT$97,MATCH(L28,WORLDCUP!$AI$6:$AI$97,0))</f>
        <v>1</v>
      </c>
      <c r="K28" s="427" t="str">
        <f ca="1">+INDEX(WORLDCUP!$AR$6:$AR$97,MATCH(L28,WORLDCUP!$AI$6:$AI$97,0))&amp;"-"&amp;INDEX(WORLDCUP!$AS$6:$AS$97,MATCH(L28,WORLDCUP!$AI$6:$AI$97,0))</f>
        <v>4-3</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7</v>
      </c>
      <c r="V28" s="426">
        <f ca="1">+INDEX(WORLDCUP!$AT$6:$AT$97,MATCH(X28,WORLDCUP!$AI$6:$AI$97,0))</f>
        <v>3</v>
      </c>
      <c r="W28" s="427" t="str">
        <f ca="1">+INDEX(WORLDCUP!$AR$6:$AR$97,MATCH(X28,WORLDCUP!$AI$6:$AI$97,0))&amp;"-"&amp;INDEX(WORLDCUP!$AS$6:$AS$97,MATCH(X28,WORLDCUP!$AI$6:$AI$97,0))</f>
        <v>6-3</v>
      </c>
      <c r="X28" s="171" t="s">
        <v>688</v>
      </c>
      <c r="Y28" s="171">
        <v>76</v>
      </c>
      <c r="Z28" s="401" t="s">
        <v>677</v>
      </c>
      <c r="AA28" s="402" t="str">
        <f ca="1">+MID(INDEX(WORLDCUP!$AF$101:$AF$147,MATCH(Y28,WORLDCUP!$Z$101:$Z$147,0)),1,3)</f>
        <v>Paí</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3</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0</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Aus</v>
      </c>
      <c r="I29" s="38">
        <f ca="1">+INDEX(WORLDCUP!$AM$6:$AM$97,MATCH(L29,WORLDCUP!$AI$6:$AI$97,0))</f>
        <v>5</v>
      </c>
      <c r="J29" s="39">
        <f ca="1">+INDEX(WORLDCUP!$AT$6:$AT$97,MATCH(L29,WORLDCUP!$AI$6:$AI$97,0))</f>
        <v>2</v>
      </c>
      <c r="K29" s="43" t="str">
        <f ca="1">+INDEX(WORLDCUP!$AR$6:$AR$97,MATCH(L29,WORLDCUP!$AI$6:$AI$97,0))&amp;"-"&amp;INDEX(WORLDCUP!$AS$6:$AS$97,MATCH(L29,WORLDCUP!$AI$6:$AI$97,0))</f>
        <v>4-2</v>
      </c>
      <c r="L29" s="171" t="s">
        <v>671</v>
      </c>
      <c r="M29" s="171">
        <v>43</v>
      </c>
      <c r="N29" s="521"/>
      <c r="O29" s="420" t="str">
        <f ca="1">+MID(INDEX(WORLDCUP!$AA$4:$AA$147,MATCH(M29,WORLDCUP!$AH$4:$AH$147,0)),1,3)</f>
        <v>Arg</v>
      </c>
      <c r="P29" s="421">
        <f>IF(ISBLANK(INDEX(WORLDCUP!$AC$4:$AC$147,MATCH(M29,WORLDCUP!$AH$4:$AH$147,0))),"",INDEX(WORLDCUP!$AC$4:$AC$147,MATCH(M29,WORLDCUP!$AH$4:$AH$147,0)))</f>
        <v>1</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7</v>
      </c>
      <c r="V29" s="39">
        <f ca="1">+INDEX(WORLDCUP!$AT$6:$AT$97,MATCH(X29,WORLDCUP!$AI$6:$AI$97,0))</f>
        <v>2</v>
      </c>
      <c r="W29" s="43" t="str">
        <f ca="1">+INDEX(WORLDCUP!$AR$6:$AR$97,MATCH(X29,WORLDCUP!$AI$6:$AI$97,0))&amp;"-"&amp;INDEX(WORLDCUP!$AS$6:$AS$97,MATCH(X29,WORLDCUP!$AI$6:$AI$97,0))</f>
        <v>3-1</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1</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0</v>
      </c>
      <c r="BM29" s="439">
        <f ca="1">COUNTIF(Pool!$C$252,Fixture!BG29)</f>
        <v>1</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Est</v>
      </c>
      <c r="I30" s="38">
        <f ca="1">+INDEX(WORLDCUP!$AM$6:$AM$97,MATCH(L30,WORLDCUP!$AI$6:$AI$97,0))</f>
        <v>5</v>
      </c>
      <c r="J30" s="39">
        <f ca="1">+INDEX(WORLDCUP!$AT$6:$AT$97,MATCH(L30,WORLDCUP!$AI$6:$AI$97,0))</f>
        <v>1</v>
      </c>
      <c r="K30" s="43" t="str">
        <f ca="1">+INDEX(WORLDCUP!$AR$6:$AR$97,MATCH(L30,WORLDCUP!$AI$6:$AI$97,0))&amp;"-"&amp;INDEX(WORLDCUP!$AS$6:$AS$97,MATCH(L30,WORLDCUP!$AI$6:$AI$97,0))</f>
        <v>3-2</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Arg</v>
      </c>
      <c r="U30" s="38">
        <f ca="1">+INDEX(WORLDCUP!$AM$6:$AM$97,MATCH(X30,WORLDCUP!$AI$6:$AI$97,0))</f>
        <v>3</v>
      </c>
      <c r="V30" s="39">
        <f ca="1">+INDEX(WORLDCUP!$AT$6:$AT$97,MATCH(X30,WORLDCUP!$AI$6:$AI$97,0))</f>
        <v>-2</v>
      </c>
      <c r="W30" s="43" t="str">
        <f ca="1">+INDEX(WORLDCUP!$AR$6:$AR$97,MATCH(X30,WORLDCUP!$AI$6:$AI$97,0))&amp;"-"&amp;INDEX(WORLDCUP!$AS$6:$AS$97,MATCH(X30,WORLDCUP!$AI$6:$AI$97,0))</f>
        <v>3-5</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( 4 )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Par</v>
      </c>
      <c r="I31" s="453">
        <f ca="1">+INDEX(WORLDCUP!$AM$6:$AM$97,MATCH(L31,WORLDCUP!$AI$6:$AI$97,0))</f>
        <v>0</v>
      </c>
      <c r="J31" s="454">
        <f ca="1">+INDEX(WORLDCUP!$AT$6:$AT$97,MATCH(L31,WORLDCUP!$AI$6:$AI$97,0))</f>
        <v>-4</v>
      </c>
      <c r="K31" s="455" t="str">
        <f ca="1">+INDEX(WORLDCUP!$AR$6:$AR$97,MATCH(L31,WORLDCUP!$AI$6:$AI$97,0))&amp;"-"&amp;INDEX(WORLDCUP!$AS$6:$AS$97,MATCH(L31,WORLDCUP!$AI$6:$AI$97,0))</f>
        <v>3-7</v>
      </c>
      <c r="L31" s="171" t="s">
        <v>672</v>
      </c>
      <c r="M31" s="171">
        <v>69</v>
      </c>
      <c r="N31" s="521"/>
      <c r="O31" s="420" t="str">
        <f ca="1">+MID(INDEX(WORLDCUP!$AA$4:$AA$147,MATCH(M31,WORLDCUP!$AH$4:$AH$147,0)),1,3)</f>
        <v>Arg</v>
      </c>
      <c r="P31" s="421">
        <f>IF(ISBLANK(INDEX(WORLDCUP!$AC$4:$AC$147,MATCH(M31,WORLDCUP!$AH$4:$AH$147,0))),"",INDEX(WORLDCUP!$AC$4:$AC$147,MATCH(M31,WORLDCUP!$AH$4:$AH$147,0)))</f>
        <v>0</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-3</v>
      </c>
      <c r="W31" s="455" t="str">
        <f ca="1">+INDEX(WORLDCUP!$AR$6:$AR$97,MATCH(X31,WORLDCUP!$AI$6:$AI$97,0))&amp;"-"&amp;INDEX(WORLDCUP!$AS$6:$AS$97,MATCH(X31,WORLDCUP!$AI$6:$AI$97,0))</f>
        <v>2-5</v>
      </c>
      <c r="X31" s="171" t="s">
        <v>690</v>
      </c>
      <c r="Y31" s="171">
        <v>78</v>
      </c>
      <c r="Z31" s="401" t="s">
        <v>686</v>
      </c>
      <c r="AA31" s="456" t="str">
        <f ca="1">+MID(INDEX(WORLDCUP!$AF$101:$AF$147,MATCH(Y31,WORLDCUP!$Z$101:$Z$147,0)),1,3)</f>
        <v>Sen</v>
      </c>
      <c r="AB31" s="457">
        <f>+IF(ISBLANK(INDEX(WORLDCUP!$AD$101:$AD$147,MATCH(Y31,WORLDCUP!$Z$101:$Z$147,0))),"",INDEX(WORLDCUP!$AD$101:$AD$147,MATCH(Y31,WORLDCUP!$Z$101:$Z$147,0)))</f>
        <v>1</v>
      </c>
      <c r="AC31" s="483" t="str">
        <f>+IF(ISBLANK(INDEX(WORLDCUP!$AE$101:$AE$147,MATCH(Y31,WORLDCUP!$Z$101:$Z$147,0))),"","( "&amp;INDEX(WORLDCUP!$AE$101:$AE$147,MATCH(Y31,WORLDCUP!$Z$101:$Z$147,0))&amp;" )")</f>
        <v>( 3 )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1</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Colo</v>
      </c>
      <c r="AR31" s="524">
        <f>+IF(ISBLANK(INDEX(WORLDCUP!$AC$101:$AC$147,MATCH(AP31,WORLDCUP!$Z$101:$Z$147,0))),"",INDEX(WORLDCUP!$AC$101:$AC$147,MATCH(AP31,WORLDCUP!$Z$101:$Z$147,0)))</f>
        <v>0</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3</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1</v>
      </c>
      <c r="Q32" s="464">
        <f>IF(ISBLANK(INDEX(WORLDCUP!$AD$4:$AD$147,MATCH(M32,WORLDCUP!$AH$4:$AH$147,0))),"",INDEX(WORLDCUP!$AD$4:$AD$147,MATCH(M32,WORLDCUP!$AH$4:$AH$147,0)))</f>
        <v>2</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Cab</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1</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1</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1</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7</v>
      </c>
      <c r="J36" s="426">
        <f ca="1">+INDEX(WORLDCUP!$AT$6:$AT$97,MATCH(L36,WORLDCUP!$AI$6:$AI$97,0))</f>
        <v>5</v>
      </c>
      <c r="K36" s="427" t="str">
        <f ca="1">+INDEX(WORLDCUP!$AR$6:$AR$97,MATCH(L36,WORLDCUP!$AI$6:$AI$97,0))&amp;"-"&amp;INDEX(WORLDCUP!$AS$6:$AS$97,MATCH(L36,WORLDCUP!$AI$6:$AI$97,0))</f>
        <v>7-2</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6</v>
      </c>
      <c r="W36" s="427" t="str">
        <f ca="1">+INDEX(WORLDCUP!$AR$6:$AR$97,MATCH(X36,WORLDCUP!$AI$6:$AI$97,0))&amp;"-"&amp;INDEX(WORLDCUP!$AS$6:$AS$97,MATCH(X36,WORLDCUP!$AI$6:$AI$97,0))</f>
        <v>6-0</v>
      </c>
      <c r="X36" s="171" t="s">
        <v>691</v>
      </c>
      <c r="Y36" s="171">
        <v>80</v>
      </c>
      <c r="Z36" s="401" t="s">
        <v>694</v>
      </c>
      <c r="AA36" s="402" t="str">
        <f ca="1">+MID(INDEX(WORLDCUP!$AA$101:$AA$147,MATCH(Y36,WORLDCUP!$Z$101:$Z$147,0)),1,3)</f>
        <v>Ing</v>
      </c>
      <c r="AB36" s="448">
        <f>+IF(ISBLANK(INDEX(WORLDCUP!$AC$101:$AC$147,MATCH(Y36,WORLDCUP!$Z$101:$Z$147,0))),"",INDEX(WORLDCUP!$AC$101:$AC$147,MATCH(Y36,WORLDCUP!$Z$101:$Z$147,0)))</f>
        <v>1</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1</v>
      </c>
      <c r="BI36" s="439">
        <f ca="1">COUNTIF(Pool!$C$130:$C$161,Fixture!BG36)-BJ36-BK36-BL36-BM36-BN36-BO36</f>
        <v>0</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7</v>
      </c>
      <c r="J37" s="39">
        <f ca="1">+INDEX(WORLDCUP!$AT$6:$AT$97,MATCH(L37,WORLDCUP!$AI$6:$AI$97,0))</f>
        <v>4</v>
      </c>
      <c r="K37" s="43" t="str">
        <f ca="1">+INDEX(WORLDCUP!$AR$6:$AR$97,MATCH(L37,WORLDCUP!$AI$6:$AI$97,0))&amp;"-"&amp;INDEX(WORLDCUP!$AS$6:$AS$97,MATCH(L37,WORLDCUP!$AI$6:$AI$97,0))</f>
        <v>6-2</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71" t="s">
        <v>692</v>
      </c>
      <c r="Y37" s="171">
        <v>80</v>
      </c>
      <c r="Z37" s="401" t="s">
        <v>737</v>
      </c>
      <c r="AA37" s="456" t="str">
        <f ca="1">+MID(INDEX(WORLDCUP!$AF$101:$AF$147,MATCH(Y37,WORLDCUP!$Z$101:$Z$147,0)),1,IF(WORLDCUP!$H$113&lt;144,6,3))</f>
        <v>Cos</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1</v>
      </c>
      <c r="AO37" s="538" t="str">
        <f>+IF(ISBLANK(INDEX(WORLDCUP!$AB$101:$AB$147,MATCH(AL37,WORLDCUP!$Z$101:$Z$147,0))),"","( "&amp;INDEX(WORLDCUP!$AB$101:$AB$147,MATCH(AL37,WORLDCUP!$Z$101:$Z$147,0))&amp;" )")</f>
        <v>( 3 )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1</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-3</v>
      </c>
      <c r="W38" s="43" t="str">
        <f ca="1">+INDEX(WORLDCUP!$AR$6:$AR$97,MATCH(X38,WORLDCUP!$AI$6:$AI$97,0))&amp;"-"&amp;INDEX(WORLDCUP!$AS$6:$AS$97,MATCH(X38,WORLDCUP!$AI$6:$AI$97,0))</f>
        <v>2-5</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1</v>
      </c>
      <c r="AO38" s="407" t="str">
        <f>+IF(ISBLANK(INDEX(WORLDCUP!$AE$101:$AE$147,MATCH(AL38,WORLDCUP!$Z$101:$Z$147,0))),"","( "&amp;INDEX(WORLDCUP!$AE$101:$AE$147,MATCH(AL38,WORLDCUP!$Z$101:$Z$147,0))&amp;" )")</f>
        <v>( 4 )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3</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-8</v>
      </c>
      <c r="K39" s="455" t="str">
        <f ca="1">+INDEX(WORLDCUP!$AR$6:$AR$97,MATCH(L39,WORLDCUP!$AI$6:$AI$97,0))&amp;"-"&amp;INDEX(WORLDCUP!$AS$6:$AS$97,MATCH(L39,WORLDCUP!$AI$6:$AI$97,0))</f>
        <v>2-10</v>
      </c>
      <c r="L39" s="171" t="s">
        <v>675</v>
      </c>
      <c r="M39" s="171">
        <v>71</v>
      </c>
      <c r="N39" s="537"/>
      <c r="O39" s="420" t="str">
        <f ca="1">+MID(INDEX(WORLDCUP!$AA$4:$AA$147,MATCH(M39,WORLDCUP!$AH$4:$AH$147,0)),1,3)</f>
        <v>Col</v>
      </c>
      <c r="P39" s="421">
        <f>IF(ISBLANK(INDEX(WORLDCUP!$AC$4:$AC$147,MATCH(M39,WORLDCUP!$AH$4:$AH$147,0))),"",INDEX(WORLDCUP!$AC$4:$AC$147,MATCH(M39,WORLDCUP!$AH$4:$AH$147,0)))</f>
        <v>0</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-6</v>
      </c>
      <c r="W39" s="455" t="str">
        <f ca="1">+INDEX(WORLDCUP!$AR$6:$AR$97,MATCH(X39,WORLDCUP!$AI$6:$AI$97,0))&amp;"-"&amp;INDEX(WORLDCUP!$AS$6:$AS$97,MATCH(X39,WORLDCUP!$AI$6:$AI$97,0))</f>
        <v>1-7</v>
      </c>
      <c r="X39" s="171" t="s">
        <v>693</v>
      </c>
      <c r="Y39" s="171">
        <v>86</v>
      </c>
      <c r="Z39" s="401" t="s">
        <v>688</v>
      </c>
      <c r="AA39" s="402" t="str">
        <f ca="1">+MID(INDEX(WORLDCUP!$AA$101:$AA$147,MATCH(Y39,WORLDCUP!$Z$101:$Z$147,0)),1,3)</f>
        <v>Arg</v>
      </c>
      <c r="AB39" s="403">
        <f>+IF(ISBLANK(INDEX(WORLDCUP!$AC$101:$AC$147,MATCH(Y39,WORLDCUP!$Z$101:$Z$147,0))),"",INDEX(WORLDCUP!$AC$101:$AC$147,MATCH(Y39,WORLDCUP!$Z$101:$Z$147,0)))</f>
        <v>1</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1</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Esp</v>
      </c>
      <c r="AB40" s="429">
        <f>+IF(ISBLANK(INDEX(WORLDCUP!$AD$101:$AD$147,MATCH(Y40,WORLDCUP!$Z$101:$Z$147,0))),"",INDEX(WORLDCUP!$AD$101:$AD$147,MATCH(Y40,WORLDCUP!$Z$101:$Z$147,0)))</f>
        <v>2</v>
      </c>
      <c r="AC40" s="430" t="str">
        <f>+IF(ISBLANK(INDEX(WORLDCUP!$AE$101:$AE$147,MATCH(Y40,WORLDCUP!$Z$101:$Z$147,0))),"","( "&amp;INDEX(WORLDCUP!$AE$101:$AE$147,MATCH(Y40,WORLDCUP!$Z$101:$Z$147,0))&amp;" )")</f>
        <v/>
      </c>
      <c r="AD40" s="431">
        <v>95</v>
      </c>
      <c r="AE40" s="432" t="str">
        <f ca="1">+MID(INDEX(WORLDCUP!$AA$101:$AA$147,MATCH(AD40,WORLDCUP!$Z$101:$Z$147,0)),1,3)</f>
        <v>Esp</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1</v>
      </c>
      <c r="BI40" s="439">
        <f ca="1">COUNTIF(Pool!$C$130:$C$161,Fixture!BG40)-BJ40-BK40-BL40-BM40-BN40-BO40</f>
        <v>0</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Egi</v>
      </c>
      <c r="AF41" s="433">
        <f>+IF(ISBLANK(INDEX(WORLDCUP!$AD$101:$AD$147,MATCH(AD41,WORLDCUP!$Z$101:$Z$147,0))),"",INDEX(WORLDCUP!$AD$101:$AD$147,MATCH(AD41,WORLDCUP!$Z$101:$Z$147,0)))</f>
        <v>1</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0</v>
      </c>
      <c r="BO41" s="442">
        <f ca="1">COUNTIF(Pool!$C$250,Fixture!BG41)</f>
        <v>1</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Aus</v>
      </c>
      <c r="AB42" s="448">
        <f>+IF(ISBLANK(INDEX(WORLDCUP!$AC$101:$AC$147,MATCH(Y42,WORLDCUP!$Z$101:$Z$147,0))),"",INDEX(WORLDCUP!$AC$101:$AC$147,MATCH(Y42,WORLDCUP!$Z$101:$Z$147,0)))</f>
        <v>0</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3</v>
      </c>
      <c r="Q43" s="394">
        <f>IF(ISBLANK(INDEX(WORLDCUP!$AD$4:$AD$147,MATCH(M43,WORLDCUP!$AH$4:$AH$147,0))),"",INDEX(WORLDCUP!$AD$4:$AD$147,MATCH(M43,WORLDCUP!$AH$4:$AH$147,0)))</f>
        <v>2</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2</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Esp</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Jap</v>
      </c>
      <c r="I44" s="425">
        <f ca="1">+INDEX(WORLDCUP!$AM$6:$AM$97,MATCH(L44,WORLDCUP!$AI$6:$AI$97,0))</f>
        <v>9</v>
      </c>
      <c r="J44" s="426">
        <f ca="1">+INDEX(WORLDCUP!$AT$6:$AT$97,MATCH(L44,WORLDCUP!$AI$6:$AI$97,0))</f>
        <v>4</v>
      </c>
      <c r="K44" s="427" t="str">
        <f ca="1">+INDEX(WORLDCUP!$AR$6:$AR$97,MATCH(L44,WORLDCUP!$AI$6:$AI$97,0))&amp;"-"&amp;INDEX(WORLDCUP!$AS$6:$AS$97,MATCH(L44,WORLDCUP!$AI$6:$AI$97,0))</f>
        <v>7-3</v>
      </c>
      <c r="L44" s="171" t="s">
        <v>676</v>
      </c>
      <c r="M44" s="171">
        <v>21</v>
      </c>
      <c r="N44" s="544"/>
      <c r="O44" s="420" t="str">
        <f ca="1">+MID(INDEX(WORLDCUP!$AA$4:$AA$147,MATCH(M44,WORLDCUP!$AH$4:$AH$147,0)),1,3)</f>
        <v>Gha</v>
      </c>
      <c r="P44" s="421">
        <f>IF(ISBLANK(INDEX(WORLDCUP!$AC$4:$AC$147,MATCH(M44,WORLDCUP!$AH$4:$AH$147,0))),"",INDEX(WORLDCUP!$AC$4:$AC$147,MATCH(M44,WORLDCUP!$AH$4:$AH$147,0)))</f>
        <v>1</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3</v>
      </c>
      <c r="W44" s="427" t="str">
        <f ca="1">+INDEX(WORLDCUP!$AR$6:$AR$97,MATCH(X44,WORLDCUP!$AI$6:$AI$97,0))&amp;"-"&amp;INDEX(WORLDCUP!$AS$6:$AS$97,MATCH(X44,WORLDCUP!$AI$6:$AI$97,0))</f>
        <v>7-4</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3</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Paí</v>
      </c>
      <c r="I45" s="38">
        <f ca="1">+INDEX(WORLDCUP!$AM$6:$AM$97,MATCH(L45,WORLDCUP!$AI$6:$AI$97,0))</f>
        <v>6</v>
      </c>
      <c r="J45" s="39">
        <f ca="1">+INDEX(WORLDCUP!$AT$6:$AT$97,MATCH(L45,WORLDCUP!$AI$6:$AI$97,0))</f>
        <v>2</v>
      </c>
      <c r="K45" s="43" t="str">
        <f ca="1">+INDEX(WORLDCUP!$AR$6:$AR$97,MATCH(L45,WORLDCUP!$AI$6:$AI$97,0))&amp;"-"&amp;INDEX(WORLDCUP!$AS$6:$AS$97,MATCH(L45,WORLDCUP!$AI$6:$AI$97,0))</f>
        <v>5-3</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4</v>
      </c>
      <c r="V45" s="39">
        <f ca="1">+INDEX(WORLDCUP!$AT$6:$AT$97,MATCH(X45,WORLDCUP!$AI$6:$AI$97,0))</f>
        <v>0</v>
      </c>
      <c r="W45" s="43" t="str">
        <f ca="1">+INDEX(WORLDCUP!$AR$6:$AR$97,MATCH(X45,WORLDCUP!$AI$6:$AI$97,0))&amp;"-"&amp;INDEX(WORLDCUP!$AS$6:$AS$97,MATCH(X45,WORLDCUP!$AI$6:$AI$97,0))</f>
        <v>5-5</v>
      </c>
      <c r="X45" s="171" t="s">
        <v>695</v>
      </c>
      <c r="Y45" s="171">
        <v>85</v>
      </c>
      <c r="Z45" s="401" t="s">
        <v>660</v>
      </c>
      <c r="AA45" s="402" t="str">
        <f ca="1">+MID(INDEX(WORLDCUP!$AA$101:$AA$147,MATCH(Y45,WORLDCUP!$Z$101:$Z$147,0)),1,3)</f>
        <v>Sui</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0</v>
      </c>
      <c r="BI45" s="439">
        <f ca="1">COUNTIF(Pool!$C$130:$C$161,Fixture!BG45)-BJ45-BK45-BL45-BM45-BN45-BO45</f>
        <v>1</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3</v>
      </c>
      <c r="F46" s="422" t="str">
        <f ca="1">+MID(INDEX(WORLDCUP!$AF$4:$AF$147,MATCH(A46,WORLDCUP!$AH$4:$AH$147,0)),1,3)</f>
        <v>Jap</v>
      </c>
      <c r="G46" s="443">
        <v>3</v>
      </c>
      <c r="H46" s="444" t="str">
        <f ca="1">+MID(INDEX(WORLDCUP!$AL$6:$AL$97,MATCH(L46,WORLDCUP!$AI$6:$AI$97,0)),1,3)</f>
        <v>Tún</v>
      </c>
      <c r="I46" s="38">
        <f ca="1">+INDEX(WORLDCUP!$AM$6:$AM$97,MATCH(L46,WORLDCUP!$AI$6:$AI$97,0))</f>
        <v>1</v>
      </c>
      <c r="J46" s="39">
        <f ca="1">+INDEX(WORLDCUP!$AT$6:$AT$97,MATCH(L46,WORLDCUP!$AI$6:$AI$97,0))</f>
        <v>-3</v>
      </c>
      <c r="K46" s="43" t="str">
        <f ca="1">+INDEX(WORLDCUP!$AR$6:$AR$97,MATCH(L46,WORLDCUP!$AI$6:$AI$97,0))&amp;"-"&amp;INDEX(WORLDCUP!$AS$6:$AS$97,MATCH(L46,WORLDCUP!$AI$6:$AI$97,0))</f>
        <v>3-6</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3-3</v>
      </c>
      <c r="X46" s="171" t="s">
        <v>453</v>
      </c>
      <c r="Y46" s="171">
        <v>85</v>
      </c>
      <c r="Z46" s="401" t="s">
        <v>740</v>
      </c>
      <c r="AA46" s="402" t="str">
        <f ca="1">+MID(INDEX(WORLDCUP!$AF$101:$AF$147,MATCH(Y46,WORLDCUP!$Z$101:$Z$147,0)),1,IF(WORLDCUP!$H$113&lt;144,6,3))</f>
        <v>Arg</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1</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1</v>
      </c>
      <c r="BI46" s="439">
        <f ca="1">COUNTIF(Pool!$C$130:$C$161,Fixture!BG46)-BJ46-BK46-BL46-BM46-BN46-BO46</f>
        <v>0</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Sue</v>
      </c>
      <c r="I47" s="453">
        <f ca="1">+INDEX(WORLDCUP!$AM$6:$AM$97,MATCH(L47,WORLDCUP!$AI$6:$AI$97,0))</f>
        <v>1</v>
      </c>
      <c r="J47" s="454">
        <f ca="1">+INDEX(WORLDCUP!$AT$6:$AT$97,MATCH(L47,WORLDCUP!$AI$6:$AI$97,0))</f>
        <v>-3</v>
      </c>
      <c r="K47" s="455" t="str">
        <f ca="1">+INDEX(WORLDCUP!$AR$6:$AR$97,MATCH(L47,WORLDCUP!$AI$6:$AI$97,0))&amp;"-"&amp;INDEX(WORLDCUP!$AS$6:$AS$97,MATCH(L47,WORLDCUP!$AI$6:$AI$97,0))</f>
        <v>2-5</v>
      </c>
      <c r="L47" s="171" t="s">
        <v>678</v>
      </c>
      <c r="M47" s="171">
        <v>67</v>
      </c>
      <c r="N47" s="544"/>
      <c r="O47" s="420" t="str">
        <f ca="1">+MID(INDEX(WORLDCUP!$AA$4:$AA$147,MATCH(M47,WORLDCUP!$AH$4:$AH$147,0)),1,3)</f>
        <v>Pan</v>
      </c>
      <c r="P47" s="421">
        <f>IF(ISBLANK(INDEX(WORLDCUP!$AC$4:$AC$147,MATCH(M47,WORLDCUP!$AH$4:$AH$147,0))),"",INDEX(WORLDCUP!$AC$4:$AC$147,MATCH(M47,WORLDCUP!$AH$4:$AH$147,0)))</f>
        <v>1</v>
      </c>
      <c r="Q47" s="421">
        <f>IF(ISBLANK(INDEX(WORLDCUP!$AD$4:$AD$147,MATCH(M47,WORLDCUP!$AH$4:$AH$147,0))),"",INDEX(WORLDCUP!$AD$4:$AD$147,MATCH(M47,WORLDCUP!$AH$4:$AH$147,0)))</f>
        <v>2</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-3</v>
      </c>
      <c r="W47" s="455" t="str">
        <f ca="1">+INDEX(WORLDCUP!$AR$6:$AR$97,MATCH(X47,WORLDCUP!$AI$6:$AI$97,0))&amp;"-"&amp;INDEX(WORLDCUP!$AS$6:$AS$97,MATCH(X47,WORLDCUP!$AI$6:$AI$97,0))</f>
        <v>2-5</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3</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1</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1</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1</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0</v>
      </c>
      <c r="BJ50" s="440">
        <f ca="1">COUNTIF(Pool!$C$182:$C$197,Fixture!BG50)-BK50-BL50-BM50-BN50-BO50</f>
        <v>1</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36328125" style="16" bestFit="1" customWidth="1"/>
    <col min="5" max="6" width="10.81640625" style="16"/>
    <col min="7" max="7" width="17.36328125" style="16" bestFit="1" customWidth="1"/>
    <col min="8" max="8" width="13" style="16" customWidth="1"/>
    <col min="9" max="9" width="10.81640625" style="16"/>
    <col min="10" max="10" width="13" style="16" bestFit="1" customWidth="1"/>
    <col min="11" max="12" width="12.36328125" style="16" bestFit="1" customWidth="1"/>
    <col min="13" max="16384" width="10.8164062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Noruega</v>
      </c>
      <c r="F2" s="9" t="str">
        <f ca="1">+WORLDCUP!BD63</f>
        <v>Túnez</v>
      </c>
      <c r="G2" s="9" t="str">
        <f ca="1">+WORLDCUP!BD65</f>
        <v>Cabo Verde</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Cabo Verde</v>
      </c>
      <c r="D3" s="9" t="str">
        <f ca="1">+WORLDCUP!BD64</f>
        <v>Irán</v>
      </c>
      <c r="E3" s="9" t="str">
        <f ca="1">+WORLDCUP!BD66</f>
        <v>Noruega</v>
      </c>
      <c r="F3" s="9" t="str">
        <f ca="1">+WORLDCUP!BD61</f>
        <v>Estados Unidos</v>
      </c>
      <c r="G3" s="9" t="str">
        <f ca="1">+WORLDCUP!BD67</f>
        <v>Argelia</v>
      </c>
      <c r="H3" s="9" t="str">
        <f ca="1">+WORLDCUP!BD63</f>
        <v>Túnez</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Noruega</v>
      </c>
      <c r="F4" s="9" t="str">
        <f ca="1">+WORLDCUP!BD61</f>
        <v>Estados Unidos</v>
      </c>
      <c r="G4" s="9" t="str">
        <f ca="1">+WORLDCUP!BD65</f>
        <v>Cabo Verde</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Noruega</v>
      </c>
      <c r="F5" s="9" t="str">
        <f ca="1">+WORLDCUP!BD61</f>
        <v>Estados Unidos</v>
      </c>
      <c r="G5" s="9" t="str">
        <f ca="1">+WORLDCUP!BD65</f>
        <v>Cabo Verde</v>
      </c>
      <c r="H5" s="9" t="str">
        <f ca="1">+WORLDCUP!BD63</f>
        <v>Túnez</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Noruega</v>
      </c>
      <c r="F6" s="9" t="str">
        <f ca="1">+WORLDCUP!BD61</f>
        <v>Estados Unidos</v>
      </c>
      <c r="G6" s="9" t="str">
        <f ca="1">+WORLDCUP!BD67</f>
        <v>Argelia</v>
      </c>
      <c r="H6" s="9" t="str">
        <f ca="1">+WORLDCUP!BD63</f>
        <v>Túnez</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Estados Unidos</v>
      </c>
      <c r="G7" s="9" t="str">
        <f ca="1">+WORLDCUP!BD65</f>
        <v>Cabo Verde</v>
      </c>
      <c r="H7" s="9" t="str">
        <f ca="1">+WORLDCUP!BD63</f>
        <v>Túnez</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Noruega</v>
      </c>
      <c r="F8" s="9" t="str">
        <f ca="1">+WORLDCUP!BD61</f>
        <v>Estados Unidos</v>
      </c>
      <c r="G8" s="9" t="str">
        <f ca="1">+WORLDCUP!BD65</f>
        <v>Cabo Verde</v>
      </c>
      <c r="H8" s="9" t="str">
        <f ca="1">+WORLDCUP!BD63</f>
        <v>Túnez</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Estados Unidos</v>
      </c>
      <c r="G9" s="9" t="str">
        <f ca="1">+WORLDCUP!BD65</f>
        <v>Cabo Verde</v>
      </c>
      <c r="H9" s="9" t="str">
        <f ca="1">+WORLDCUP!BD63</f>
        <v>Túnez</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Estados Unidos</v>
      </c>
      <c r="G10" s="9" t="str">
        <f ca="1">+WORLDCUP!BD65</f>
        <v>Cabo Verde</v>
      </c>
      <c r="H10" s="9" t="str">
        <f ca="1">+WORLDCUP!BD63</f>
        <v>Túnez</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Cabo Verde</v>
      </c>
      <c r="D11" s="9" t="str">
        <f ca="1">+WORLDCUP!BD64</f>
        <v>Irán</v>
      </c>
      <c r="E11" s="9" t="str">
        <f ca="1">+WORLDCUP!BD66</f>
        <v>Noruega</v>
      </c>
      <c r="F11" s="9" t="str">
        <f ca="1">+WORLDCUP!BD60</f>
        <v>Escocia</v>
      </c>
      <c r="G11" s="9" t="str">
        <f ca="1">+WORLDCUP!BD67</f>
        <v>Argelia</v>
      </c>
      <c r="H11" s="9" t="str">
        <f ca="1">+WORLDCUP!BD63</f>
        <v>Túnez</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Noruega</v>
      </c>
      <c r="F12" s="9" t="str">
        <f ca="1">+WORLDCUP!BD60</f>
        <v>Escocia</v>
      </c>
      <c r="G12" s="9" t="str">
        <f ca="1">+WORLDCUP!BD65</f>
        <v>Cabo Verde</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Noruega</v>
      </c>
      <c r="F13" s="9" t="str">
        <f ca="1">+WORLDCUP!BD60</f>
        <v>Escocia</v>
      </c>
      <c r="G13" s="9" t="str">
        <f ca="1">+WORLDCUP!BD65</f>
        <v>Cabo Verde</v>
      </c>
      <c r="H13" s="9" t="str">
        <f ca="1">+WORLDCUP!BD63</f>
        <v>Túnez</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Noruega</v>
      </c>
      <c r="F14" s="9" t="str">
        <f ca="1">+WORLDCUP!BD60</f>
        <v>Escocia</v>
      </c>
      <c r="G14" s="9" t="str">
        <f ca="1">+WORLDCUP!BD67</f>
        <v>Argelia</v>
      </c>
      <c r="H14" s="9" t="str">
        <f ca="1">+WORLDCUP!BD63</f>
        <v>Túnez</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Cabo Verde</v>
      </c>
      <c r="H15" s="9" t="str">
        <f ca="1">+WORLDCUP!BD63</f>
        <v>Túnez</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Noruega</v>
      </c>
      <c r="F16" s="9" t="str">
        <f ca="1">+WORLDCUP!BD60</f>
        <v>Escocia</v>
      </c>
      <c r="G16" s="9" t="str">
        <f ca="1">+WORLDCUP!BD65</f>
        <v>Cabo Verde</v>
      </c>
      <c r="H16" s="9" t="str">
        <f ca="1">+WORLDCUP!BD63</f>
        <v>Túnez</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Cabo Verde</v>
      </c>
      <c r="H17" s="9" t="str">
        <f ca="1">+WORLDCUP!BD63</f>
        <v>Túnez</v>
      </c>
      <c r="I17" s="9" t="str">
        <f ca="1">+WORLDCUP!BD69</f>
        <v>Ghana</v>
      </c>
      <c r="J17" s="9" t="str">
        <f ca="1">+WORLDCUP!BD66</f>
        <v>Noruega</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Cabo Verde</v>
      </c>
      <c r="H18" s="9" t="str">
        <f ca="1">+WORLDCUP!BD63</f>
        <v>Túnez</v>
      </c>
      <c r="I18" s="9" t="str">
        <f ca="1">+WORLDCUP!BD66</f>
        <v>Noruega</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Cabo Verde</v>
      </c>
      <c r="D19" s="9" t="str">
        <f ca="1">+WORLDCUP!BD64</f>
        <v>Irán</v>
      </c>
      <c r="E19" s="9" t="str">
        <f ca="1">+WORLDCUP!BD66</f>
        <v>Noruega</v>
      </c>
      <c r="F19" s="9" t="str">
        <f ca="1">+WORLDCUP!BD60</f>
        <v>Escocia</v>
      </c>
      <c r="G19" s="9" t="str">
        <f ca="1">+WORLDCUP!BD67</f>
        <v>Argelia</v>
      </c>
      <c r="H19" s="9" t="str">
        <f ca="1">+WORLDCUP!BD61</f>
        <v>Estados Unidos</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Noruega</v>
      </c>
      <c r="F20" s="9" t="str">
        <f ca="1">+WORLDCUP!BD61</f>
        <v>Estados Unidos</v>
      </c>
      <c r="G20" s="9" t="str">
        <f ca="1">+WORLDCUP!BD65</f>
        <v>Cabo Verde</v>
      </c>
      <c r="H20" s="9" t="str">
        <f ca="1">+WORLDCUP!BD63</f>
        <v>Túnez</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Noruega</v>
      </c>
      <c r="F21" s="9" t="str">
        <f ca="1">+WORLDCUP!BD61</f>
        <v>Estados Unidos</v>
      </c>
      <c r="G21" s="9" t="str">
        <f ca="1">+WORLDCUP!BD67</f>
        <v>Argelia</v>
      </c>
      <c r="H21" s="9" t="str">
        <f ca="1">+WORLDCUP!BD63</f>
        <v>Túnez</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Estados Unidos</v>
      </c>
      <c r="G22" s="9" t="str">
        <f ca="1">+WORLDCUP!BD65</f>
        <v>Cabo Verde</v>
      </c>
      <c r="H22" s="9" t="str">
        <f ca="1">+WORLDCUP!BD63</f>
        <v>Túnez</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Noruega</v>
      </c>
      <c r="F23" s="9" t="str">
        <f ca="1">+WORLDCUP!BD61</f>
        <v>Estados Unidos</v>
      </c>
      <c r="G23" s="9" t="str">
        <f ca="1">+WORLDCUP!BD65</f>
        <v>Cabo Verde</v>
      </c>
      <c r="H23" s="9" t="str">
        <f ca="1">+WORLDCUP!BD63</f>
        <v>Túnez</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Estados Unidos</v>
      </c>
      <c r="G24" s="9" t="str">
        <f ca="1">+WORLDCUP!BD65</f>
        <v>Cabo Verde</v>
      </c>
      <c r="H24" s="9" t="str">
        <f ca="1">+WORLDCUP!BD63</f>
        <v>Túnez</v>
      </c>
      <c r="I24" s="9" t="str">
        <f ca="1">+WORLDCUP!BD69</f>
        <v>Ghana</v>
      </c>
      <c r="J24" s="9" t="str">
        <f ca="1">+WORLDCUP!BD66</f>
        <v>Noruega</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Estados Unidos</v>
      </c>
      <c r="G25" s="9" t="str">
        <f ca="1">+WORLDCUP!BD65</f>
        <v>Cabo Verde</v>
      </c>
      <c r="H25" s="9" t="str">
        <f ca="1">+WORLDCUP!BD63</f>
        <v>Túnez</v>
      </c>
      <c r="I25" s="9" t="str">
        <f ca="1">+WORLDCUP!BD66</f>
        <v>Noruega</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Noruega</v>
      </c>
      <c r="F26" s="9" t="str">
        <f ca="1">+WORLDCUP!BD60</f>
        <v>Escocia</v>
      </c>
      <c r="G26" s="9" t="str">
        <f ca="1">+WORLDCUP!BD65</f>
        <v>Cabo Verde</v>
      </c>
      <c r="H26" s="9" t="str">
        <f ca="1">+WORLDCUP!BD61</f>
        <v>Estados Unidos</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Noruega</v>
      </c>
      <c r="F27" s="9" t="str">
        <f ca="1">+WORLDCUP!BD60</f>
        <v>Escocia</v>
      </c>
      <c r="G27" s="9" t="str">
        <f ca="1">+WORLDCUP!BD67</f>
        <v>Argelia</v>
      </c>
      <c r="H27" s="9" t="str">
        <f ca="1">+WORLDCUP!BD61</f>
        <v>Estados Unidos</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Cabo Verde</v>
      </c>
      <c r="H28" s="9" t="str">
        <f ca="1">+WORLDCUP!BD61</f>
        <v>Estados Unidos</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Noruega</v>
      </c>
      <c r="F29" s="9" t="str">
        <f ca="1">+WORLDCUP!BD60</f>
        <v>Escocia</v>
      </c>
      <c r="G29" s="9" t="str">
        <f ca="1">+WORLDCUP!BD65</f>
        <v>Cabo Verde</v>
      </c>
      <c r="H29" s="9" t="str">
        <f ca="1">+WORLDCUP!BD61</f>
        <v>Estados Unidos</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Cabo Verde</v>
      </c>
      <c r="H30" s="9" t="str">
        <f ca="1">+WORLDCUP!BD61</f>
        <v>Estados Unidos</v>
      </c>
      <c r="I30" s="9" t="str">
        <f ca="1">+WORLDCUP!BD69</f>
        <v>Ghana</v>
      </c>
      <c r="J30" s="9" t="str">
        <f ca="1">+WORLDCUP!BD66</f>
        <v>Noruega</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Cabo Verde</v>
      </c>
      <c r="H31" s="9" t="str">
        <f ca="1">+WORLDCUP!BD61</f>
        <v>Estados Unidos</v>
      </c>
      <c r="I31" s="9" t="str">
        <f ca="1">+WORLDCUP!BD66</f>
        <v>Noruega</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Estados Unidos</v>
      </c>
      <c r="G32" s="9" t="str">
        <f ca="1">+WORLDCUP!BD66</f>
        <v>Noruega</v>
      </c>
      <c r="H32" s="9" t="str">
        <f ca="1">+WORLDCUP!BD63</f>
        <v>Túnez</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Estados Unidos</v>
      </c>
      <c r="G33" s="9" t="str">
        <f ca="1">+WORLDCUP!BD65</f>
        <v>Cabo Verde</v>
      </c>
      <c r="H33" s="9" t="str">
        <f ca="1">+WORLDCUP!BD63</f>
        <v>Túnez</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Noruega</v>
      </c>
      <c r="F34" s="9" t="str">
        <f ca="1">+WORLDCUP!BD61</f>
        <v>Estados Unidos</v>
      </c>
      <c r="G34" s="9" t="str">
        <f ca="1">+WORLDCUP!BD65</f>
        <v>Cabo Verde</v>
      </c>
      <c r="H34" s="9" t="str">
        <f ca="1">+WORLDCUP!BD63</f>
        <v>Túnez</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Estados Unidos</v>
      </c>
      <c r="G35" s="9" t="str">
        <f ca="1">+WORLDCUP!BD65</f>
        <v>Cabo Verde</v>
      </c>
      <c r="H35" s="9" t="str">
        <f ca="1">+WORLDCUP!BD63</f>
        <v>Túnez</v>
      </c>
      <c r="I35" s="9" t="str">
        <f ca="1">+WORLDCUP!BD69</f>
        <v>Ghana</v>
      </c>
      <c r="J35" s="9" t="str">
        <f ca="1">+WORLDCUP!BD66</f>
        <v>Noruega</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Estados Unidos</v>
      </c>
      <c r="G36" s="9" t="str">
        <f ca="1">+WORLDCUP!BD65</f>
        <v>Cabo Verde</v>
      </c>
      <c r="H36" s="9" t="str">
        <f ca="1">+WORLDCUP!BD63</f>
        <v>Túnez</v>
      </c>
      <c r="I36" s="9" t="str">
        <f ca="1">+WORLDCUP!BD66</f>
        <v>Noruega</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Estados Unidos</v>
      </c>
      <c r="G37" s="9" t="str">
        <f ca="1">+WORLDCUP!BD67</f>
        <v>Argelia</v>
      </c>
      <c r="H37" s="9" t="str">
        <f ca="1">+WORLDCUP!BD63</f>
        <v>Túnez</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Estados Unidos</v>
      </c>
      <c r="G38" s="9" t="str">
        <f ca="1">+WORLDCUP!BD66</f>
        <v>Noruega</v>
      </c>
      <c r="H38" s="9" t="str">
        <f ca="1">+WORLDCUP!BD63</f>
        <v>Túnez</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Estados Unidos</v>
      </c>
      <c r="G39" s="9" t="str">
        <f ca="1">+WORLDCUP!BD67</f>
        <v>Argelia</v>
      </c>
      <c r="H39" s="9" t="str">
        <f ca="1">+WORLDCUP!BD63</f>
        <v>Túnez</v>
      </c>
      <c r="I39" s="9" t="str">
        <f ca="1">+WORLDCUP!BD69</f>
        <v>Ghana</v>
      </c>
      <c r="J39" s="9" t="str">
        <f ca="1">+WORLDCUP!BD66</f>
        <v>Noruega</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Estados Unidos</v>
      </c>
      <c r="G40" s="9" t="str">
        <f ca="1">+WORLDCUP!BD67</f>
        <v>Argelia</v>
      </c>
      <c r="H40" s="9" t="str">
        <f ca="1">+WORLDCUP!BD63</f>
        <v>Túnez</v>
      </c>
      <c r="I40" s="9" t="str">
        <f ca="1">+WORLDCUP!BD66</f>
        <v>Noruega</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Estados Unidos</v>
      </c>
      <c r="G41" s="9" t="str">
        <f ca="1">+WORLDCUP!BD65</f>
        <v>Cabo Verde</v>
      </c>
      <c r="H41" s="9" t="str">
        <f ca="1">+WORLDCUP!BD63</f>
        <v>Túnez</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Estados Unidos</v>
      </c>
      <c r="G42" s="9" t="str">
        <f ca="1">+WORLDCUP!BD65</f>
        <v>Cabo Verde</v>
      </c>
      <c r="H42" s="9" t="str">
        <f ca="1">+WORLDCUP!BD63</f>
        <v>Túnez</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Estados Unidos</v>
      </c>
      <c r="G43" s="9" t="str">
        <f ca="1">+WORLDCUP!BD65</f>
        <v>Cabo Verde</v>
      </c>
      <c r="H43" s="9" t="str">
        <f ca="1">+WORLDCUP!BD63</f>
        <v>Túnez</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Estados Unidos</v>
      </c>
      <c r="G44" s="9" t="str">
        <f ca="1">+WORLDCUP!BD65</f>
        <v>Cabo Verde</v>
      </c>
      <c r="H44" s="9" t="str">
        <f ca="1">+WORLDCUP!BD63</f>
        <v>Túnez</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Estados Unidos</v>
      </c>
      <c r="G45" s="9" t="str">
        <f ca="1">+WORLDCUP!BD65</f>
        <v>Cabo Verde</v>
      </c>
      <c r="H45" s="9" t="str">
        <f ca="1">+WORLDCUP!BD63</f>
        <v>Túnez</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Estados Unidos</v>
      </c>
      <c r="G46" s="9" t="str">
        <f ca="1">+WORLDCUP!BD65</f>
        <v>Cabo Verde</v>
      </c>
      <c r="H46" s="9" t="str">
        <f ca="1">+WORLDCUP!BD63</f>
        <v>Túnez</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Cabo Verde</v>
      </c>
      <c r="D47" s="9" t="str">
        <f ca="1">+WORLDCUP!BD67</f>
        <v>Argelia</v>
      </c>
      <c r="E47" s="9" t="str">
        <f ca="1">+WORLDCUP!BD59</f>
        <v>Bosnia y Herzegovina</v>
      </c>
      <c r="F47" s="9" t="str">
        <f ca="1">+WORLDCUP!BD63</f>
        <v>Túnez</v>
      </c>
      <c r="G47" s="9" t="str">
        <f ca="1">+WORLDCUP!BD66</f>
        <v>Noruega</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Noruega</v>
      </c>
      <c r="F48" s="9" t="str">
        <f ca="1">+WORLDCUP!BD59</f>
        <v>Bosnia y Herzegovina</v>
      </c>
      <c r="G48" s="9" t="str">
        <f ca="1">+WORLDCUP!BD65</f>
        <v>Cabo Verde</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Túnez</v>
      </c>
      <c r="G49" s="9" t="str">
        <f ca="1">+WORLDCUP!BD66</f>
        <v>Noruega</v>
      </c>
      <c r="H49" s="9" t="str">
        <f ca="1">+WORLDCUP!BD65</f>
        <v>Cabo Verde</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Túnez</v>
      </c>
      <c r="G50" s="9" t="str">
        <f ca="1">+WORLDCUP!BD66</f>
        <v>Noruega</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Túnez</v>
      </c>
      <c r="G51" s="9" t="str">
        <f ca="1">+WORLDCUP!BD65</f>
        <v>Cabo Verde</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Túnez</v>
      </c>
      <c r="G52" s="9" t="str">
        <f ca="1">+WORLDCUP!BD66</f>
        <v>Noruega</v>
      </c>
      <c r="H52" s="9" t="str">
        <f ca="1">+WORLDCUP!BD65</f>
        <v>Cabo Verde</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Túnez</v>
      </c>
      <c r="G53" s="9" t="str">
        <f ca="1">+WORLDCUP!BD65</f>
        <v>Cabo Verde</v>
      </c>
      <c r="H53" s="9" t="str">
        <f ca="1">+WORLDCUP!BD64</f>
        <v>Irán</v>
      </c>
      <c r="I53" s="9" t="str">
        <f ca="1">+WORLDCUP!BD69</f>
        <v>Ghana</v>
      </c>
      <c r="J53" s="9" t="str">
        <f ca="1">+WORLDCUP!BD66</f>
        <v>Noruega</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Túnez</v>
      </c>
      <c r="G54" s="9" t="str">
        <f ca="1">+WORLDCUP!BD65</f>
        <v>Cabo Verde</v>
      </c>
      <c r="H54" s="9" t="str">
        <f ca="1">+WORLDCUP!BD64</f>
        <v>Irán</v>
      </c>
      <c r="I54" s="9" t="str">
        <f ca="1">+WORLDCUP!BD66</f>
        <v>Noruega</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Cabo Verde</v>
      </c>
      <c r="D55" s="9" t="str">
        <f ca="1">+WORLDCUP!BD67</f>
        <v>Argelia</v>
      </c>
      <c r="E55" s="9" t="str">
        <f ca="1">+WORLDCUP!BD59</f>
        <v>Bosnia y Herzegovina</v>
      </c>
      <c r="F55" s="9" t="str">
        <f ca="1">+WORLDCUP!BD61</f>
        <v>Estados Unidos</v>
      </c>
      <c r="G55" s="9" t="str">
        <f ca="1">+WORLDCUP!BD66</f>
        <v>Noruega</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Cabo Verde</v>
      </c>
      <c r="D56" s="9" t="str">
        <f ca="1">+WORLDCUP!BD67</f>
        <v>Argelia</v>
      </c>
      <c r="E56" s="9" t="str">
        <f ca="1">+WORLDCUP!BD59</f>
        <v>Bosnia y Herzegovina</v>
      </c>
      <c r="F56" s="9" t="str">
        <f ca="1">+WORLDCUP!BD61</f>
        <v>Estados Unidos</v>
      </c>
      <c r="G56" s="9" t="str">
        <f ca="1">+WORLDCUP!BD66</f>
        <v>Noruega</v>
      </c>
      <c r="H56" s="9" t="str">
        <f ca="1">+WORLDCUP!BD63</f>
        <v>Túnez</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Noruega</v>
      </c>
      <c r="D57" s="9" t="str">
        <f ca="1">+WORLDCUP!BD64</f>
        <v>Irán</v>
      </c>
      <c r="E57" s="9" t="str">
        <f ca="1">+WORLDCUP!BD59</f>
        <v>Bosnia y Herzegovina</v>
      </c>
      <c r="F57" s="9" t="str">
        <f ca="1">+WORLDCUP!BD61</f>
        <v>Estados Unidos</v>
      </c>
      <c r="G57" s="9" t="str">
        <f ca="1">+WORLDCUP!BD67</f>
        <v>Argelia</v>
      </c>
      <c r="H57" s="9" t="str">
        <f ca="1">+WORLDCUP!BD63</f>
        <v>Túnez</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Cabo Verde</v>
      </c>
      <c r="D58" s="9" t="str">
        <f ca="1">+WORLDCUP!BD64</f>
        <v>Irán</v>
      </c>
      <c r="E58" s="9" t="str">
        <f ca="1">+WORLDCUP!BD59</f>
        <v>Bosnia y Herzegovina</v>
      </c>
      <c r="F58" s="9" t="str">
        <f ca="1">+WORLDCUP!BD61</f>
        <v>Estados Unidos</v>
      </c>
      <c r="G58" s="9" t="str">
        <f ca="1">+WORLDCUP!BD67</f>
        <v>Argelia</v>
      </c>
      <c r="H58" s="9" t="str">
        <f ca="1">+WORLDCUP!BD63</f>
        <v>Túnez</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Cabo Verde</v>
      </c>
      <c r="D59" s="9" t="str">
        <f ca="1">+WORLDCUP!BD64</f>
        <v>Irán</v>
      </c>
      <c r="E59" s="9" t="str">
        <f ca="1">+WORLDCUP!BD59</f>
        <v>Bosnia y Herzegovina</v>
      </c>
      <c r="F59" s="9" t="str">
        <f ca="1">+WORLDCUP!BD61</f>
        <v>Estados Unidos</v>
      </c>
      <c r="G59" s="9" t="str">
        <f ca="1">+WORLDCUP!BD66</f>
        <v>Noruega</v>
      </c>
      <c r="H59" s="9" t="str">
        <f ca="1">+WORLDCUP!BD63</f>
        <v>Túnez</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Cabo Verde</v>
      </c>
      <c r="D60" s="9" t="str">
        <f ca="1">+WORLDCUP!BD64</f>
        <v>Irán</v>
      </c>
      <c r="E60" s="9" t="str">
        <f ca="1">+WORLDCUP!BD59</f>
        <v>Bosnia y Herzegovina</v>
      </c>
      <c r="F60" s="9" t="str">
        <f ca="1">+WORLDCUP!BD61</f>
        <v>Estados Unidos</v>
      </c>
      <c r="G60" s="9" t="str">
        <f ca="1">+WORLDCUP!BD67</f>
        <v>Argelia</v>
      </c>
      <c r="H60" s="9" t="str">
        <f ca="1">+WORLDCUP!BD63</f>
        <v>Túnez</v>
      </c>
      <c r="I60" s="9" t="str">
        <f ca="1">+WORLDCUP!BD69</f>
        <v>Ghana</v>
      </c>
      <c r="J60" s="9" t="str">
        <f ca="1">+WORLDCUP!BD66</f>
        <v>Noruega</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Cabo Verde</v>
      </c>
      <c r="D61" s="9" t="str">
        <f ca="1">+WORLDCUP!BD64</f>
        <v>Irán</v>
      </c>
      <c r="E61" s="9" t="str">
        <f ca="1">+WORLDCUP!BD59</f>
        <v>Bosnia y Herzegovina</v>
      </c>
      <c r="F61" s="9" t="str">
        <f ca="1">+WORLDCUP!BD61</f>
        <v>Estados Unidos</v>
      </c>
      <c r="G61" s="9" t="str">
        <f ca="1">+WORLDCUP!BD67</f>
        <v>Argelia</v>
      </c>
      <c r="H61" s="9" t="str">
        <f ca="1">+WORLDCUP!BD63</f>
        <v>Túnez</v>
      </c>
      <c r="I61" s="9" t="str">
        <f ca="1">+WORLDCUP!BD66</f>
        <v>Noruega</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Estados Unidos</v>
      </c>
      <c r="G62" s="9" t="str">
        <f ca="1">+WORLDCUP!BD66</f>
        <v>Noruega</v>
      </c>
      <c r="H62" s="9" t="str">
        <f ca="1">+WORLDCUP!BD65</f>
        <v>Cabo Verde</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Estados Unidos</v>
      </c>
      <c r="G63" s="9" t="str">
        <f ca="1">+WORLDCUP!BD66</f>
        <v>Noruega</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Estados Unidos</v>
      </c>
      <c r="G64" s="9" t="str">
        <f ca="1">+WORLDCUP!BD65</f>
        <v>Cabo Verde</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Estados Unidos</v>
      </c>
      <c r="G65" s="9" t="str">
        <f ca="1">+WORLDCUP!BD66</f>
        <v>Noruega</v>
      </c>
      <c r="H65" s="9" t="str">
        <f ca="1">+WORLDCUP!BD65</f>
        <v>Cabo Verde</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Estados Unidos</v>
      </c>
      <c r="G66" s="9" t="str">
        <f ca="1">+WORLDCUP!BD65</f>
        <v>Cabo Verde</v>
      </c>
      <c r="H66" s="9" t="str">
        <f ca="1">+WORLDCUP!BD64</f>
        <v>Irán</v>
      </c>
      <c r="I66" s="9" t="str">
        <f ca="1">+WORLDCUP!BD69</f>
        <v>Ghana</v>
      </c>
      <c r="J66" s="9" t="str">
        <f ca="1">+WORLDCUP!BD66</f>
        <v>Noruega</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Estados Unidos</v>
      </c>
      <c r="G67" s="9" t="str">
        <f ca="1">+WORLDCUP!BD65</f>
        <v>Cabo Verde</v>
      </c>
      <c r="H67" s="9" t="str">
        <f ca="1">+WORLDCUP!BD64</f>
        <v>Irán</v>
      </c>
      <c r="I67" s="9" t="str">
        <f ca="1">+WORLDCUP!BD66</f>
        <v>Noruega</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Estados Unidos</v>
      </c>
      <c r="G68" s="9" t="str">
        <f ca="1">+WORLDCUP!BD66</f>
        <v>Noruega</v>
      </c>
      <c r="H68" s="9" t="str">
        <f ca="1">+WORLDCUP!BD63</f>
        <v>Túnez</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Estados Unidos</v>
      </c>
      <c r="G69" s="9" t="str">
        <f ca="1">+WORLDCUP!BD65</f>
        <v>Cabo Verde</v>
      </c>
      <c r="H69" s="9" t="str">
        <f ca="1">+WORLDCUP!BD63</f>
        <v>Túnez</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Noruega</v>
      </c>
      <c r="E70" s="9" t="str">
        <f ca="1">+WORLDCUP!BD59</f>
        <v>Bosnia y Herzegovina</v>
      </c>
      <c r="F70" s="9" t="str">
        <f ca="1">+WORLDCUP!BD61</f>
        <v>Estados Unidos</v>
      </c>
      <c r="G70" s="9" t="str">
        <f ca="1">+WORLDCUP!BD65</f>
        <v>Cabo Verde</v>
      </c>
      <c r="H70" s="9" t="str">
        <f ca="1">+WORLDCUP!BD63</f>
        <v>Túnez</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Estados Unidos</v>
      </c>
      <c r="G71" s="9" t="str">
        <f ca="1">+WORLDCUP!BD65</f>
        <v>Cabo Verde</v>
      </c>
      <c r="H71" s="9" t="str">
        <f ca="1">+WORLDCUP!BD63</f>
        <v>Túnez</v>
      </c>
      <c r="I71" s="9" t="str">
        <f ca="1">+WORLDCUP!BD69</f>
        <v>Ghana</v>
      </c>
      <c r="J71" s="9" t="str">
        <f ca="1">+WORLDCUP!BD66</f>
        <v>Noruega</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Estados Unidos</v>
      </c>
      <c r="G72" s="9" t="str">
        <f ca="1">+WORLDCUP!BD65</f>
        <v>Cabo Verde</v>
      </c>
      <c r="H72" s="9" t="str">
        <f ca="1">+WORLDCUP!BD63</f>
        <v>Túnez</v>
      </c>
      <c r="I72" s="9" t="str">
        <f ca="1">+WORLDCUP!BD66</f>
        <v>Noruega</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Estados Unidos</v>
      </c>
      <c r="G73" s="9" t="str">
        <f ca="1">+WORLDCUP!BD67</f>
        <v>Argelia</v>
      </c>
      <c r="H73" s="9" t="str">
        <f ca="1">+WORLDCUP!BD63</f>
        <v>Túnez</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Estados Unidos</v>
      </c>
      <c r="G74" s="9" t="str">
        <f ca="1">+WORLDCUP!BD66</f>
        <v>Noruega</v>
      </c>
      <c r="H74" s="9" t="str">
        <f ca="1">+WORLDCUP!BD63</f>
        <v>Túnez</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Estados Unidos</v>
      </c>
      <c r="G75" s="9" t="str">
        <f ca="1">+WORLDCUP!BD67</f>
        <v>Argelia</v>
      </c>
      <c r="H75" s="9" t="str">
        <f ca="1">+WORLDCUP!BD63</f>
        <v>Túnez</v>
      </c>
      <c r="I75" s="9" t="str">
        <f ca="1">+WORLDCUP!BD69</f>
        <v>Ghana</v>
      </c>
      <c r="J75" s="9" t="str">
        <f ca="1">+WORLDCUP!BD66</f>
        <v>Noruega</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Estados Unidos</v>
      </c>
      <c r="G76" s="9" t="str">
        <f ca="1">+WORLDCUP!BD67</f>
        <v>Argelia</v>
      </c>
      <c r="H76" s="9" t="str">
        <f ca="1">+WORLDCUP!BD63</f>
        <v>Túnez</v>
      </c>
      <c r="I76" s="9" t="str">
        <f ca="1">+WORLDCUP!BD66</f>
        <v>Noruega</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Estados Unidos</v>
      </c>
      <c r="G77" s="9" t="str">
        <f ca="1">+WORLDCUP!BD65</f>
        <v>Cabo Verde</v>
      </c>
      <c r="H77" s="9" t="str">
        <f ca="1">+WORLDCUP!BD63</f>
        <v>Túnez</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Cabo Verde</v>
      </c>
      <c r="D78" s="9" t="str">
        <f ca="1">+WORLDCUP!BD64</f>
        <v>Irán</v>
      </c>
      <c r="E78" s="9" t="str">
        <f ca="1">+WORLDCUP!BD59</f>
        <v>Bosnia y Herzegovina</v>
      </c>
      <c r="F78" s="9" t="str">
        <f ca="1">+WORLDCUP!BD61</f>
        <v>Estados Unidos</v>
      </c>
      <c r="G78" s="9" t="str">
        <f ca="1">+WORLDCUP!BD67</f>
        <v>Argelia</v>
      </c>
      <c r="H78" s="9" t="str">
        <f ca="1">+WORLDCUP!BD63</f>
        <v>Túnez</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Cabo Verde</v>
      </c>
      <c r="D79" s="9" t="str">
        <f ca="1">+WORLDCUP!BD64</f>
        <v>Irán</v>
      </c>
      <c r="E79" s="9" t="str">
        <f ca="1">+WORLDCUP!BD59</f>
        <v>Bosnia y Herzegovina</v>
      </c>
      <c r="F79" s="9" t="str">
        <f ca="1">+WORLDCUP!BD61</f>
        <v>Estados Unidos</v>
      </c>
      <c r="G79" s="9" t="str">
        <f ca="1">+WORLDCUP!BD67</f>
        <v>Argelia</v>
      </c>
      <c r="H79" s="9" t="str">
        <f ca="1">+WORLDCUP!BD63</f>
        <v>Túnez</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Estados Unidos</v>
      </c>
      <c r="G80" s="9" t="str">
        <f ca="1">+WORLDCUP!BD65</f>
        <v>Cabo Verde</v>
      </c>
      <c r="H80" s="9" t="str">
        <f ca="1">+WORLDCUP!BD63</f>
        <v>Túnez</v>
      </c>
      <c r="I80" s="9" t="str">
        <f ca="1">+WORLDCUP!BD69</f>
        <v>Ghana</v>
      </c>
      <c r="J80" s="9" t="str">
        <f ca="1">+WORLDCUP!BD66</f>
        <v>Noruega</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Estados Unidos</v>
      </c>
      <c r="G81" s="9" t="str">
        <f ca="1">+WORLDCUP!BD65</f>
        <v>Cabo Verde</v>
      </c>
      <c r="H81" s="9" t="str">
        <f ca="1">+WORLDCUP!BD63</f>
        <v>Túnez</v>
      </c>
      <c r="I81" s="9" t="str">
        <f ca="1">+WORLDCUP!BD66</f>
        <v>Noruega</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Cabo Verde</v>
      </c>
      <c r="D82" s="9" t="str">
        <f ca="1">+WORLDCUP!BD64</f>
        <v>Irán</v>
      </c>
      <c r="E82" s="9" t="str">
        <f ca="1">+WORLDCUP!BD59</f>
        <v>Bosnia y Herzegovina</v>
      </c>
      <c r="F82" s="9" t="str">
        <f ca="1">+WORLDCUP!BD61</f>
        <v>Estados Unidos</v>
      </c>
      <c r="G82" s="9" t="str">
        <f ca="1">+WORLDCUP!BD67</f>
        <v>Argelia</v>
      </c>
      <c r="H82" s="9" t="str">
        <f ca="1">+WORLDCUP!BD63</f>
        <v>Túnez</v>
      </c>
      <c r="I82" s="9" t="str">
        <f ca="1">+WORLDCUP!BD62</f>
        <v>Costa de Marfil</v>
      </c>
      <c r="J82" s="9" t="str">
        <f ca="1">+WORLDCUP!BD66</f>
        <v>Noruega</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Noruega</v>
      </c>
      <c r="H84" s="9" t="str">
        <f ca="1">+WORLDCUP!BD63</f>
        <v>Túnez</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Noruega</v>
      </c>
      <c r="D85" s="9" t="str">
        <f ca="1">+WORLDCUP!BD64</f>
        <v>Irán</v>
      </c>
      <c r="E85" s="9" t="str">
        <f ca="1">+WORLDCUP!BD59</f>
        <v>Bosnia y Herzegovina</v>
      </c>
      <c r="F85" s="9" t="str">
        <f ca="1">+WORLDCUP!BD60</f>
        <v>Escocia</v>
      </c>
      <c r="G85" s="9" t="str">
        <f ca="1">+WORLDCUP!BD67</f>
        <v>Argelia</v>
      </c>
      <c r="H85" s="9" t="str">
        <f ca="1">+WORLDCUP!BD63</f>
        <v>Túnez</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Cabo Verde</v>
      </c>
      <c r="D86" s="9" t="str">
        <f ca="1">+WORLDCUP!BD64</f>
        <v>Irán</v>
      </c>
      <c r="E86" s="9" t="str">
        <f ca="1">+WORLDCUP!BD59</f>
        <v>Bosnia y Herzegovina</v>
      </c>
      <c r="F86" s="9" t="str">
        <f ca="1">+WORLDCUP!BD60</f>
        <v>Escocia</v>
      </c>
      <c r="G86" s="9" t="str">
        <f ca="1">+WORLDCUP!BD67</f>
        <v>Argelia</v>
      </c>
      <c r="H86" s="9" t="str">
        <f ca="1">+WORLDCUP!BD63</f>
        <v>Túnez</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Cabo Verde</v>
      </c>
      <c r="D87" s="9" t="str">
        <f ca="1">+WORLDCUP!BD64</f>
        <v>Irán</v>
      </c>
      <c r="E87" s="9" t="str">
        <f ca="1">+WORLDCUP!BD59</f>
        <v>Bosnia y Herzegovina</v>
      </c>
      <c r="F87" s="9" t="str">
        <f ca="1">+WORLDCUP!BD60</f>
        <v>Escocia</v>
      </c>
      <c r="G87" s="9" t="str">
        <f ca="1">+WORLDCUP!BD66</f>
        <v>Noruega</v>
      </c>
      <c r="H87" s="9" t="str">
        <f ca="1">+WORLDCUP!BD63</f>
        <v>Túnez</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Cabo Verde</v>
      </c>
      <c r="D88" s="9" t="str">
        <f ca="1">+WORLDCUP!BD64</f>
        <v>Irán</v>
      </c>
      <c r="E88" s="9" t="str">
        <f ca="1">+WORLDCUP!BD59</f>
        <v>Bosnia y Herzegovina</v>
      </c>
      <c r="F88" s="9" t="str">
        <f ca="1">+WORLDCUP!BD60</f>
        <v>Escocia</v>
      </c>
      <c r="G88" s="9" t="str">
        <f ca="1">+WORLDCUP!BD67</f>
        <v>Argelia</v>
      </c>
      <c r="H88" s="9" t="str">
        <f ca="1">+WORLDCUP!BD63</f>
        <v>Túnez</v>
      </c>
      <c r="I88" s="9" t="str">
        <f ca="1">+WORLDCUP!BD69</f>
        <v>Ghana</v>
      </c>
      <c r="J88" s="9" t="str">
        <f ca="1">+WORLDCUP!BD66</f>
        <v>Noruega</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Cabo Verde</v>
      </c>
      <c r="D89" s="9" t="str">
        <f ca="1">+WORLDCUP!BD64</f>
        <v>Irán</v>
      </c>
      <c r="E89" s="9" t="str">
        <f ca="1">+WORLDCUP!BD59</f>
        <v>Bosnia y Herzegovina</v>
      </c>
      <c r="F89" s="9" t="str">
        <f ca="1">+WORLDCUP!BD60</f>
        <v>Escocia</v>
      </c>
      <c r="G89" s="9" t="str">
        <f ca="1">+WORLDCUP!BD67</f>
        <v>Argelia</v>
      </c>
      <c r="H89" s="9" t="str">
        <f ca="1">+WORLDCUP!BD63</f>
        <v>Túnez</v>
      </c>
      <c r="I89" s="9" t="str">
        <f ca="1">+WORLDCUP!BD66</f>
        <v>Noruega</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Noruega</v>
      </c>
      <c r="H90" s="9" t="str">
        <f ca="1">+WORLDCUP!BD65</f>
        <v>Cabo Verde</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Cabo Verde</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Cabo Verde</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Cabo Verde</v>
      </c>
      <c r="H94" s="9" t="str">
        <f ca="1">+WORLDCUP!BD64</f>
        <v>Irán</v>
      </c>
      <c r="I94" s="9" t="str">
        <f ca="1">+WORLDCUP!BD69</f>
        <v>Ghana</v>
      </c>
      <c r="J94" s="9" t="str">
        <f ca="1">+WORLDCUP!BD66</f>
        <v>Noruega</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Cabo Verde</v>
      </c>
      <c r="H95" s="9" t="str">
        <f ca="1">+WORLDCUP!BD64</f>
        <v>Irán</v>
      </c>
      <c r="I95" s="9" t="str">
        <f ca="1">+WORLDCUP!BD66</f>
        <v>Noruega</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Noruega</v>
      </c>
      <c r="H96" s="9" t="str">
        <f ca="1">+WORLDCUP!BD63</f>
        <v>Túnez</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Cabo Verde</v>
      </c>
      <c r="H97" s="9" t="str">
        <f ca="1">+WORLDCUP!BD63</f>
        <v>Túnez</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Cabo Verde</v>
      </c>
      <c r="H98" s="9" t="str">
        <f ca="1">+WORLDCUP!BD63</f>
        <v>Túnez</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Cabo Verde</v>
      </c>
      <c r="H99" s="9" t="str">
        <f ca="1">+WORLDCUP!BD63</f>
        <v>Túnez</v>
      </c>
      <c r="I99" s="9" t="str">
        <f ca="1">+WORLDCUP!BD69</f>
        <v>Ghana</v>
      </c>
      <c r="J99" s="9" t="str">
        <f ca="1">+WORLDCUP!BD66</f>
        <v>Noruega</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Cabo Verde</v>
      </c>
      <c r="H100" s="9" t="str">
        <f ca="1">+WORLDCUP!BD63</f>
        <v>Túnez</v>
      </c>
      <c r="I100" s="9" t="str">
        <f ca="1">+WORLDCUP!BD66</f>
        <v>Noruega</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Túnez</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Túnez</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Túnez</v>
      </c>
      <c r="I103" s="9" t="str">
        <f ca="1">+WORLDCUP!BD69</f>
        <v>Ghana</v>
      </c>
      <c r="J103" s="9" t="str">
        <f ca="1">+WORLDCUP!BD66</f>
        <v>Noruega</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Túnez</v>
      </c>
      <c r="I104" s="9" t="str">
        <f ca="1">+WORLDCUP!BD66</f>
        <v>Noruega</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Cabo Verde</v>
      </c>
      <c r="H105" s="9" t="str">
        <f ca="1">+WORLDCUP!BD63</f>
        <v>Túnez</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Cabo Verde</v>
      </c>
      <c r="D106" s="9" t="str">
        <f ca="1">+WORLDCUP!BD64</f>
        <v>Irán</v>
      </c>
      <c r="E106" s="9" t="str">
        <f ca="1">+WORLDCUP!BD59</f>
        <v>Bosnia y Herzegovina</v>
      </c>
      <c r="F106" s="9" t="str">
        <f ca="1">+WORLDCUP!BD60</f>
        <v>Escocia</v>
      </c>
      <c r="G106" s="9" t="str">
        <f ca="1">+WORLDCUP!BD67</f>
        <v>Argelia</v>
      </c>
      <c r="H106" s="9" t="str">
        <f ca="1">+WORLDCUP!BD63</f>
        <v>Túnez</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Cabo Verde</v>
      </c>
      <c r="D107" s="9" t="str">
        <f ca="1">+WORLDCUP!BD64</f>
        <v>Irán</v>
      </c>
      <c r="E107" s="9" t="str">
        <f ca="1">+WORLDCUP!BD59</f>
        <v>Bosnia y Herzegovina</v>
      </c>
      <c r="F107" s="9" t="str">
        <f ca="1">+WORLDCUP!BD60</f>
        <v>Escocia</v>
      </c>
      <c r="G107" s="9" t="str">
        <f ca="1">+WORLDCUP!BD67</f>
        <v>Argelia</v>
      </c>
      <c r="H107" s="9" t="str">
        <f ca="1">+WORLDCUP!BD63</f>
        <v>Túnez</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Cabo Verde</v>
      </c>
      <c r="H108" s="9" t="str">
        <f ca="1">+WORLDCUP!BD63</f>
        <v>Túnez</v>
      </c>
      <c r="I108" s="9" t="str">
        <f ca="1">+WORLDCUP!BD69</f>
        <v>Ghana</v>
      </c>
      <c r="J108" s="9" t="str">
        <f ca="1">+WORLDCUP!BD66</f>
        <v>Noruega</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Cabo Verde</v>
      </c>
      <c r="H109" s="9" t="str">
        <f ca="1">+WORLDCUP!BD63</f>
        <v>Túnez</v>
      </c>
      <c r="I109" s="9" t="str">
        <f ca="1">+WORLDCUP!BD66</f>
        <v>Noruega</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Cabo Verde</v>
      </c>
      <c r="D110" s="9" t="str">
        <f ca="1">+WORLDCUP!BD64</f>
        <v>Irán</v>
      </c>
      <c r="E110" s="9" t="str">
        <f ca="1">+WORLDCUP!BD59</f>
        <v>Bosnia y Herzegovina</v>
      </c>
      <c r="F110" s="9" t="str">
        <f ca="1">+WORLDCUP!BD60</f>
        <v>Escocia</v>
      </c>
      <c r="G110" s="9" t="str">
        <f ca="1">+WORLDCUP!BD67</f>
        <v>Argelia</v>
      </c>
      <c r="H110" s="9" t="str">
        <f ca="1">+WORLDCUP!BD63</f>
        <v>Túnez</v>
      </c>
      <c r="I110" s="9" t="str">
        <f ca="1">+WORLDCUP!BD62</f>
        <v>Costa de Marfil</v>
      </c>
      <c r="J110" s="9" t="str">
        <f ca="1">+WORLDCUP!BD66</f>
        <v>Noruega</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Noruega</v>
      </c>
      <c r="H111" s="9" t="str">
        <f ca="1">+WORLDCUP!BD61</f>
        <v>Estados Unidos</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Argelia</v>
      </c>
      <c r="H112" s="9" t="str">
        <f ca="1">+WORLDCUP!BD61</f>
        <v>Estados Unidos</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Cabo Verde</v>
      </c>
      <c r="D113" s="9" t="str">
        <f ca="1">+WORLDCUP!BD64</f>
        <v>Irán</v>
      </c>
      <c r="E113" s="9" t="str">
        <f ca="1">+WORLDCUP!BD59</f>
        <v>Bosnia y Herzegovina</v>
      </c>
      <c r="F113" s="9" t="str">
        <f ca="1">+WORLDCUP!BD60</f>
        <v>Escocia</v>
      </c>
      <c r="G113" s="9" t="str">
        <f ca="1">+WORLDCUP!BD67</f>
        <v>Argelia</v>
      </c>
      <c r="H113" s="9" t="str">
        <f ca="1">+WORLDCUP!BD61</f>
        <v>Estados Unidos</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Cabo Verde</v>
      </c>
      <c r="D114" s="9" t="str">
        <f ca="1">+WORLDCUP!BD64</f>
        <v>Irán</v>
      </c>
      <c r="E114" s="9" t="str">
        <f ca="1">+WORLDCUP!BD59</f>
        <v>Bosnia y Herzegovina</v>
      </c>
      <c r="F114" s="9" t="str">
        <f ca="1">+WORLDCUP!BD60</f>
        <v>Escocia</v>
      </c>
      <c r="G114" s="9" t="str">
        <f ca="1">+WORLDCUP!BD66</f>
        <v>Noruega</v>
      </c>
      <c r="H114" s="9" t="str">
        <f ca="1">+WORLDCUP!BD61</f>
        <v>Estados Unidos</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Cabo Verde</v>
      </c>
      <c r="D115" s="9" t="str">
        <f ca="1">+WORLDCUP!BD64</f>
        <v>Irán</v>
      </c>
      <c r="E115" s="9" t="str">
        <f ca="1">+WORLDCUP!BD59</f>
        <v>Bosnia y Herzegovina</v>
      </c>
      <c r="F115" s="9" t="str">
        <f ca="1">+WORLDCUP!BD60</f>
        <v>Escocia</v>
      </c>
      <c r="G115" s="9" t="str">
        <f ca="1">+WORLDCUP!BD67</f>
        <v>Argelia</v>
      </c>
      <c r="H115" s="9" t="str">
        <f ca="1">+WORLDCUP!BD61</f>
        <v>Estados Unidos</v>
      </c>
      <c r="I115" s="9" t="str">
        <f ca="1">+WORLDCUP!BD69</f>
        <v>Ghana</v>
      </c>
      <c r="J115" s="9" t="str">
        <f ca="1">+WORLDCUP!BD66</f>
        <v>Noruega</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Cabo Verde</v>
      </c>
      <c r="D116" s="9" t="str">
        <f ca="1">+WORLDCUP!BD64</f>
        <v>Irán</v>
      </c>
      <c r="E116" s="9" t="str">
        <f ca="1">+WORLDCUP!BD59</f>
        <v>Bosnia y Herzegovina</v>
      </c>
      <c r="F116" s="9" t="str">
        <f ca="1">+WORLDCUP!BD60</f>
        <v>Escocia</v>
      </c>
      <c r="G116" s="9" t="str">
        <f ca="1">+WORLDCUP!BD67</f>
        <v>Argelia</v>
      </c>
      <c r="H116" s="9" t="str">
        <f ca="1">+WORLDCUP!BD61</f>
        <v>Estados Unidos</v>
      </c>
      <c r="I116" s="9" t="str">
        <f ca="1">+WORLDCUP!BD66</f>
        <v>Noruega</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Estados Unidos</v>
      </c>
      <c r="G117" s="9" t="str">
        <f ca="1">+WORLDCUP!BD66</f>
        <v>Noruega</v>
      </c>
      <c r="H117" s="9" t="str">
        <f ca="1">+WORLDCUP!BD63</f>
        <v>Túnez</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Estados Unidos</v>
      </c>
      <c r="G118" s="9" t="str">
        <f ca="1">+WORLDCUP!BD65</f>
        <v>Cabo Verde</v>
      </c>
      <c r="H118" s="9" t="str">
        <f ca="1">+WORLDCUP!BD63</f>
        <v>Túnez</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Noruega</v>
      </c>
      <c r="E119" s="9" t="str">
        <f ca="1">+WORLDCUP!BD59</f>
        <v>Bosnia y Herzegovina</v>
      </c>
      <c r="F119" s="9" t="str">
        <f ca="1">+WORLDCUP!BD61</f>
        <v>Estados Unidos</v>
      </c>
      <c r="G119" s="9" t="str">
        <f ca="1">+WORLDCUP!BD65</f>
        <v>Cabo Verde</v>
      </c>
      <c r="H119" s="9" t="str">
        <f ca="1">+WORLDCUP!BD63</f>
        <v>Túnez</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Estados Unidos</v>
      </c>
      <c r="G120" s="9" t="str">
        <f ca="1">+WORLDCUP!BD65</f>
        <v>Cabo Verde</v>
      </c>
      <c r="H120" s="9" t="str">
        <f ca="1">+WORLDCUP!BD63</f>
        <v>Túnez</v>
      </c>
      <c r="I120" s="9" t="str">
        <f ca="1">+WORLDCUP!BD69</f>
        <v>Ghana</v>
      </c>
      <c r="J120" s="9" t="str">
        <f ca="1">+WORLDCUP!BD66</f>
        <v>Noruega</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Estados Unidos</v>
      </c>
      <c r="G121" s="9" t="str">
        <f ca="1">+WORLDCUP!BD65</f>
        <v>Cabo Verde</v>
      </c>
      <c r="H121" s="9" t="str">
        <f ca="1">+WORLDCUP!BD63</f>
        <v>Túnez</v>
      </c>
      <c r="I121" s="9" t="str">
        <f ca="1">+WORLDCUP!BD66</f>
        <v>Noruega</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Estados Unidos</v>
      </c>
      <c r="G122" s="9" t="str">
        <f ca="1">+WORLDCUP!BD67</f>
        <v>Argelia</v>
      </c>
      <c r="H122" s="9" t="str">
        <f ca="1">+WORLDCUP!BD63</f>
        <v>Túnez</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Estados Unidos</v>
      </c>
      <c r="G123" s="9" t="str">
        <f ca="1">+WORLDCUP!BD66</f>
        <v>Noruega</v>
      </c>
      <c r="H123" s="9" t="str">
        <f ca="1">+WORLDCUP!BD63</f>
        <v>Túnez</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Estados Unidos</v>
      </c>
      <c r="G124" s="9" t="str">
        <f ca="1">+WORLDCUP!BD67</f>
        <v>Argelia</v>
      </c>
      <c r="H124" s="9" t="str">
        <f ca="1">+WORLDCUP!BD63</f>
        <v>Túnez</v>
      </c>
      <c r="I124" s="9" t="str">
        <f ca="1">+WORLDCUP!BD69</f>
        <v>Ghana</v>
      </c>
      <c r="J124" s="9" t="str">
        <f ca="1">+WORLDCUP!BD66</f>
        <v>Noruega</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Estados Unidos</v>
      </c>
      <c r="G125" s="9" t="str">
        <f ca="1">+WORLDCUP!BD67</f>
        <v>Argelia</v>
      </c>
      <c r="H125" s="9" t="str">
        <f ca="1">+WORLDCUP!BD63</f>
        <v>Túnez</v>
      </c>
      <c r="I125" s="9" t="str">
        <f ca="1">+WORLDCUP!BD66</f>
        <v>Noruega</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Estados Unidos</v>
      </c>
      <c r="G126" s="9" t="str">
        <f ca="1">+WORLDCUP!BD65</f>
        <v>Cabo Verde</v>
      </c>
      <c r="H126" s="9" t="str">
        <f ca="1">+WORLDCUP!BD63</f>
        <v>Túnez</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Estados Unidos</v>
      </c>
      <c r="G127" s="9" t="str">
        <f ca="1">+WORLDCUP!BD65</f>
        <v>Cabo Verde</v>
      </c>
      <c r="H127" s="9" t="str">
        <f ca="1">+WORLDCUP!BD63</f>
        <v>Túnez</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Cabo Verde</v>
      </c>
      <c r="D128" s="9" t="str">
        <f ca="1">+WORLDCUP!BD64</f>
        <v>Irán</v>
      </c>
      <c r="E128" s="9" t="str">
        <f ca="1">+WORLDCUP!BD59</f>
        <v>Bosnia y Herzegovina</v>
      </c>
      <c r="F128" s="9" t="str">
        <f ca="1">+WORLDCUP!BD60</f>
        <v>Escocia</v>
      </c>
      <c r="G128" s="9" t="str">
        <f ca="1">+WORLDCUP!BD67</f>
        <v>Argelia</v>
      </c>
      <c r="H128" s="9" t="str">
        <f ca="1">+WORLDCUP!BD63</f>
        <v>Túnez</v>
      </c>
      <c r="I128" s="9" t="str">
        <f ca="1">+WORLDCUP!BD61</f>
        <v>Estados Unidos</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Estados Unidos</v>
      </c>
      <c r="G129" s="9" t="str">
        <f ca="1">+WORLDCUP!BD65</f>
        <v>Cabo Verde</v>
      </c>
      <c r="H129" s="9" t="str">
        <f ca="1">+WORLDCUP!BD63</f>
        <v>Túnez</v>
      </c>
      <c r="I129" s="9" t="str">
        <f ca="1">+WORLDCUP!BD69</f>
        <v>Ghana</v>
      </c>
      <c r="J129" s="9" t="str">
        <f ca="1">+WORLDCUP!BD66</f>
        <v>Noruega</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Estados Unidos</v>
      </c>
      <c r="G130" s="9" t="str">
        <f ca="1">+WORLDCUP!BD65</f>
        <v>Cabo Verde</v>
      </c>
      <c r="H130" s="9" t="str">
        <f ca="1">+WORLDCUP!BD63</f>
        <v>Túnez</v>
      </c>
      <c r="I130" s="9" t="str">
        <f ca="1">+WORLDCUP!BD66</f>
        <v>Noruega</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Cabo Verde</v>
      </c>
      <c r="D131" s="9" t="str">
        <f ca="1">+WORLDCUP!BD64</f>
        <v>Irán</v>
      </c>
      <c r="E131" s="9" t="str">
        <f ca="1">+WORLDCUP!BD59</f>
        <v>Bosnia y Herzegovina</v>
      </c>
      <c r="F131" s="9" t="str">
        <f ca="1">+WORLDCUP!BD60</f>
        <v>Escocia</v>
      </c>
      <c r="G131" s="9" t="str">
        <f ca="1">+WORLDCUP!BD67</f>
        <v>Argelia</v>
      </c>
      <c r="H131" s="9" t="str">
        <f ca="1">+WORLDCUP!BD63</f>
        <v>Túnez</v>
      </c>
      <c r="I131" s="9" t="str">
        <f ca="1">+WORLDCUP!BD61</f>
        <v>Estados Unidos</v>
      </c>
      <c r="J131" s="9" t="str">
        <f ca="1">+WORLDCUP!BD66</f>
        <v>Noruega</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Noruega</v>
      </c>
      <c r="H132" s="9" t="str">
        <f ca="1">+WORLDCUP!BD61</f>
        <v>Estados Unidos</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Cabo Verde</v>
      </c>
      <c r="H133" s="9" t="str">
        <f ca="1">+WORLDCUP!BD61</f>
        <v>Estados Unidos</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Cabo Verde</v>
      </c>
      <c r="H134" s="9" t="str">
        <f ca="1">+WORLDCUP!BD61</f>
        <v>Estados Unidos</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Cabo Verde</v>
      </c>
      <c r="H135" s="9" t="str">
        <f ca="1">+WORLDCUP!BD61</f>
        <v>Estados Unidos</v>
      </c>
      <c r="I135" s="9" t="str">
        <f ca="1">+WORLDCUP!BD69</f>
        <v>Ghana</v>
      </c>
      <c r="J135" s="9" t="str">
        <f ca="1">+WORLDCUP!BD66</f>
        <v>Noruega</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Cabo Verde</v>
      </c>
      <c r="H136" s="9" t="str">
        <f ca="1">+WORLDCUP!BD61</f>
        <v>Estados Unidos</v>
      </c>
      <c r="I136" s="9" t="str">
        <f ca="1">+WORLDCUP!BD66</f>
        <v>Noruega</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Estados Unidos</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Estados Unidos</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Estados Unidos</v>
      </c>
      <c r="I139" s="9" t="str">
        <f ca="1">+WORLDCUP!BD69</f>
        <v>Ghana</v>
      </c>
      <c r="J139" s="9" t="str">
        <f ca="1">+WORLDCUP!BD66</f>
        <v>Noruega</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Estados Unidos</v>
      </c>
      <c r="I140" s="9" t="str">
        <f ca="1">+WORLDCUP!BD66</f>
        <v>Noruega</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Cabo Verde</v>
      </c>
      <c r="H141" s="9" t="str">
        <f ca="1">+WORLDCUP!BD61</f>
        <v>Estados Unidos</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Cabo Verde</v>
      </c>
      <c r="D142" s="9" t="str">
        <f ca="1">+WORLDCUP!BD64</f>
        <v>Irán</v>
      </c>
      <c r="E142" s="9" t="str">
        <f ca="1">+WORLDCUP!BD59</f>
        <v>Bosnia y Herzegovina</v>
      </c>
      <c r="F142" s="9" t="str">
        <f ca="1">+WORLDCUP!BD60</f>
        <v>Escocia</v>
      </c>
      <c r="G142" s="9" t="str">
        <f ca="1">+WORLDCUP!BD67</f>
        <v>Argelia</v>
      </c>
      <c r="H142" s="9" t="str">
        <f ca="1">+WORLDCUP!BD61</f>
        <v>Estados Unidos</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Cabo Verde</v>
      </c>
      <c r="D143" s="9" t="str">
        <f ca="1">+WORLDCUP!BD64</f>
        <v>Irán</v>
      </c>
      <c r="E143" s="9" t="str">
        <f ca="1">+WORLDCUP!BD59</f>
        <v>Bosnia y Herzegovina</v>
      </c>
      <c r="F143" s="9" t="str">
        <f ca="1">+WORLDCUP!BD60</f>
        <v>Escocia</v>
      </c>
      <c r="G143" s="9" t="str">
        <f ca="1">+WORLDCUP!BD67</f>
        <v>Argelia</v>
      </c>
      <c r="H143" s="9" t="str">
        <f ca="1">+WORLDCUP!BD61</f>
        <v>Estados Unidos</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Cabo Verde</v>
      </c>
      <c r="H144" s="9" t="str">
        <f ca="1">+WORLDCUP!BD61</f>
        <v>Estados Unidos</v>
      </c>
      <c r="I144" s="9" t="str">
        <f ca="1">+WORLDCUP!BD69</f>
        <v>Ghana</v>
      </c>
      <c r="J144" s="9" t="str">
        <f ca="1">+WORLDCUP!BD66</f>
        <v>Noruega</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Cabo Verde</v>
      </c>
      <c r="H145" s="9" t="str">
        <f ca="1">+WORLDCUP!BD61</f>
        <v>Estados Unidos</v>
      </c>
      <c r="I145" s="9" t="str">
        <f ca="1">+WORLDCUP!BD66</f>
        <v>Noruega</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Cabo Verde</v>
      </c>
      <c r="D146" s="9" t="str">
        <f ca="1">+WORLDCUP!BD64</f>
        <v>Irán</v>
      </c>
      <c r="E146" s="9" t="str">
        <f ca="1">+WORLDCUP!BD59</f>
        <v>Bosnia y Herzegovina</v>
      </c>
      <c r="F146" s="9" t="str">
        <f ca="1">+WORLDCUP!BD60</f>
        <v>Escocia</v>
      </c>
      <c r="G146" s="9" t="str">
        <f ca="1">+WORLDCUP!BD67</f>
        <v>Argelia</v>
      </c>
      <c r="H146" s="9" t="str">
        <f ca="1">+WORLDCUP!BD61</f>
        <v>Estados Unidos</v>
      </c>
      <c r="I146" s="9" t="str">
        <f ca="1">+WORLDCUP!BD62</f>
        <v>Costa de Marfil</v>
      </c>
      <c r="J146" s="9" t="str">
        <f ca="1">+WORLDCUP!BD66</f>
        <v>Noruega</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Estados Unidos</v>
      </c>
      <c r="G147" s="9" t="str">
        <f ca="1">+WORLDCUP!BD62</f>
        <v>Costa de Marfil</v>
      </c>
      <c r="H147" s="9" t="str">
        <f ca="1">+WORLDCUP!BD63</f>
        <v>Túnez</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Estados Unidos</v>
      </c>
      <c r="G148" s="9" t="str">
        <f ca="1">+WORLDCUP!BD66</f>
        <v>Noruega</v>
      </c>
      <c r="H148" s="9" t="str">
        <f ca="1">+WORLDCUP!BD63</f>
        <v>Túnez</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Estados Unidos</v>
      </c>
      <c r="G149" s="9" t="str">
        <f ca="1">+WORLDCUP!BD62</f>
        <v>Costa de Marfil</v>
      </c>
      <c r="H149" s="9" t="str">
        <f ca="1">+WORLDCUP!BD63</f>
        <v>Túnez</v>
      </c>
      <c r="I149" s="9" t="str">
        <f ca="1">+WORLDCUP!BD69</f>
        <v>Ghana</v>
      </c>
      <c r="J149" s="9" t="str">
        <f ca="1">+WORLDCUP!BD66</f>
        <v>Noruega</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Estados Unidos</v>
      </c>
      <c r="G150" s="9" t="str">
        <f ca="1">+WORLDCUP!BD62</f>
        <v>Costa de Marfil</v>
      </c>
      <c r="H150" s="9" t="str">
        <f ca="1">+WORLDCUP!BD63</f>
        <v>Túnez</v>
      </c>
      <c r="I150" s="9" t="str">
        <f ca="1">+WORLDCUP!BD66</f>
        <v>Noruega</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Estados Unidos</v>
      </c>
      <c r="G151" s="9" t="str">
        <f ca="1">+WORLDCUP!BD65</f>
        <v>Cabo Verde</v>
      </c>
      <c r="H151" s="9" t="str">
        <f ca="1">+WORLDCUP!BD63</f>
        <v>Túnez</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Estados Unidos</v>
      </c>
      <c r="G152" s="9" t="str">
        <f ca="1">+WORLDCUP!BD65</f>
        <v>Cabo Verde</v>
      </c>
      <c r="H152" s="9" t="str">
        <f ca="1">+WORLDCUP!BD63</f>
        <v>Túnez</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Estados Unidos</v>
      </c>
      <c r="G153" s="9" t="str">
        <f ca="1">+WORLDCUP!BD65</f>
        <v>Cabo Verde</v>
      </c>
      <c r="H153" s="9" t="str">
        <f ca="1">+WORLDCUP!BD63</f>
        <v>Túnez</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Estados Unidos</v>
      </c>
      <c r="G154" s="9" t="str">
        <f ca="1">+WORLDCUP!BD65</f>
        <v>Cabo Verde</v>
      </c>
      <c r="H154" s="9" t="str">
        <f ca="1">+WORLDCUP!BD63</f>
        <v>Túnez</v>
      </c>
      <c r="I154" s="9" t="str">
        <f ca="1">+WORLDCUP!BD69</f>
        <v>Ghana</v>
      </c>
      <c r="J154" s="9" t="str">
        <f ca="1">+WORLDCUP!BD66</f>
        <v>Noruega</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Estados Unidos</v>
      </c>
      <c r="G155" s="9" t="str">
        <f ca="1">+WORLDCUP!BD65</f>
        <v>Cabo Verde</v>
      </c>
      <c r="H155" s="9" t="str">
        <f ca="1">+WORLDCUP!BD63</f>
        <v>Túnez</v>
      </c>
      <c r="I155" s="9" t="str">
        <f ca="1">+WORLDCUP!BD66</f>
        <v>Noruega</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Estados Unidos</v>
      </c>
      <c r="G156" s="9" t="str">
        <f ca="1">+WORLDCUP!BD65</f>
        <v>Cabo Verde</v>
      </c>
      <c r="H156" s="9" t="str">
        <f ca="1">+WORLDCUP!BD63</f>
        <v>Túnez</v>
      </c>
      <c r="I156" s="9" t="str">
        <f ca="1">+WORLDCUP!BD62</f>
        <v>Costa de Marfil</v>
      </c>
      <c r="J156" s="9" t="str">
        <f ca="1">+WORLDCUP!BD66</f>
        <v>Noruega</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Estados Unidos</v>
      </c>
      <c r="G157" s="9" t="str">
        <f ca="1">+WORLDCUP!BD62</f>
        <v>Costa de Marfil</v>
      </c>
      <c r="H157" s="9" t="str">
        <f ca="1">+WORLDCUP!BD63</f>
        <v>Túnez</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Estados Unidos</v>
      </c>
      <c r="G158" s="9" t="str">
        <f ca="1">+WORLDCUP!BD67</f>
        <v>Argelia</v>
      </c>
      <c r="H158" s="9" t="str">
        <f ca="1">+WORLDCUP!BD63</f>
        <v>Túnez</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Estados Unidos</v>
      </c>
      <c r="G159" s="9" t="str">
        <f ca="1">+WORLDCUP!BD67</f>
        <v>Argelia</v>
      </c>
      <c r="H159" s="9" t="str">
        <f ca="1">+WORLDCUP!BD63</f>
        <v>Túnez</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Estados Unidos</v>
      </c>
      <c r="G160" s="9" t="str">
        <f ca="1">+WORLDCUP!BD62</f>
        <v>Costa de Marfil</v>
      </c>
      <c r="H160" s="9" t="str">
        <f ca="1">+WORLDCUP!BD63</f>
        <v>Túnez</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Estados Unidos</v>
      </c>
      <c r="G161" s="9" t="str">
        <f ca="1">+WORLDCUP!BD62</f>
        <v>Costa de Marfil</v>
      </c>
      <c r="H161" s="9" t="str">
        <f ca="1">+WORLDCUP!BD63</f>
        <v>Túnez</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Estados Unidos</v>
      </c>
      <c r="G162" s="9" t="str">
        <f ca="1">+WORLDCUP!BD67</f>
        <v>Argelia</v>
      </c>
      <c r="H162" s="9" t="str">
        <f ca="1">+WORLDCUP!BD63</f>
        <v>Túnez</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Estados Unidos</v>
      </c>
      <c r="G163" s="9" t="str">
        <f ca="1">+WORLDCUP!BD65</f>
        <v>Cabo Verde</v>
      </c>
      <c r="H163" s="9" t="str">
        <f ca="1">+WORLDCUP!BD63</f>
        <v>Túnez</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Estados Unidos</v>
      </c>
      <c r="G164" s="9" t="str">
        <f ca="1">+WORLDCUP!BD65</f>
        <v>Cabo Verde</v>
      </c>
      <c r="H164" s="9" t="str">
        <f ca="1">+WORLDCUP!BD63</f>
        <v>Túnez</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Irán</v>
      </c>
      <c r="E165" s="9" t="str">
        <f ca="1">+WORLDCUP!BD59</f>
        <v>Bosnia y Herzegovina</v>
      </c>
      <c r="F165" s="9" t="str">
        <f ca="1">+WORLDCUP!BD60</f>
        <v>Escocia</v>
      </c>
      <c r="G165" s="9" t="str">
        <f ca="1">+WORLDCUP!BD67</f>
        <v>Argelia</v>
      </c>
      <c r="H165" s="9" t="str">
        <f ca="1">+WORLDCUP!BD63</f>
        <v>Túnez</v>
      </c>
      <c r="I165" s="9" t="str">
        <f ca="1">+WORLDCUP!BD61</f>
        <v>Estados Unidos</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Estados Unidos</v>
      </c>
      <c r="G166" s="9" t="str">
        <f ca="1">+WORLDCUP!BD65</f>
        <v>Cabo Verde</v>
      </c>
      <c r="H166" s="9" t="str">
        <f ca="1">+WORLDCUP!BD63</f>
        <v>Túnez</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Cabo Verde</v>
      </c>
      <c r="D167" s="9" t="str">
        <f ca="1">+WORLDCUP!BD67</f>
        <v>Argelia</v>
      </c>
      <c r="E167" s="9" t="str">
        <f ca="1">+WORLDCUP!BD66</f>
        <v>Noruega</v>
      </c>
      <c r="F167" s="9" t="str">
        <f ca="1">+WORLDCUP!BD63</f>
        <v>Túnez</v>
      </c>
      <c r="G167" s="9" t="str">
        <f ca="1">+WORLDCUP!BD58</f>
        <v>Sudáfrica</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Noruega</v>
      </c>
      <c r="F168" s="9" t="str">
        <f ca="1">+WORLDCUP!BD58</f>
        <v>Sudáfrica</v>
      </c>
      <c r="G168" s="9" t="str">
        <f ca="1">+WORLDCUP!BD65</f>
        <v>Cabo Verde</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Noruega</v>
      </c>
      <c r="F169" s="9" t="str">
        <f ca="1">+WORLDCUP!BD63</f>
        <v>Túnez</v>
      </c>
      <c r="G169" s="9" t="str">
        <f ca="1">+WORLDCUP!BD58</f>
        <v>Sudáfrica</v>
      </c>
      <c r="H169" s="9" t="str">
        <f ca="1">+WORLDCUP!BD65</f>
        <v>Cabo Verde</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Noruega</v>
      </c>
      <c r="F170" s="9" t="str">
        <f ca="1">+WORLDCUP!BD63</f>
        <v>Túnez</v>
      </c>
      <c r="G170" s="9" t="str">
        <f ca="1">+WORLDCUP!BD58</f>
        <v>Sudáfrica</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Túnez</v>
      </c>
      <c r="G171" s="9" t="str">
        <f ca="1">+WORLDCUP!BD58</f>
        <v>Sudáfrica</v>
      </c>
      <c r="H171" s="9" t="str">
        <f ca="1">+WORLDCUP!BD65</f>
        <v>Cabo Verde</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Noruega</v>
      </c>
      <c r="F172" s="9" t="str">
        <f ca="1">+WORLDCUP!BD63</f>
        <v>Túnez</v>
      </c>
      <c r="G172" s="9" t="str">
        <f ca="1">+WORLDCUP!BD58</f>
        <v>Sudáfrica</v>
      </c>
      <c r="H172" s="9" t="str">
        <f ca="1">+WORLDCUP!BD65</f>
        <v>Cabo Verde</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Túnez</v>
      </c>
      <c r="G173" s="9" t="str">
        <f ca="1">+WORLDCUP!BD58</f>
        <v>Sudáfrica</v>
      </c>
      <c r="H173" s="9" t="str">
        <f ca="1">+WORLDCUP!BD65</f>
        <v>Cabo Verde</v>
      </c>
      <c r="I173" s="9" t="str">
        <f ca="1">+WORLDCUP!BD69</f>
        <v>Ghana</v>
      </c>
      <c r="J173" s="9" t="str">
        <f ca="1">+WORLDCUP!BD66</f>
        <v>Noruega</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Túnez</v>
      </c>
      <c r="G174" s="9" t="str">
        <f ca="1">+WORLDCUP!BD58</f>
        <v>Sudáfrica</v>
      </c>
      <c r="H174" s="9" t="str">
        <f ca="1">+WORLDCUP!BD65</f>
        <v>Cabo Verde</v>
      </c>
      <c r="I174" s="9" t="str">
        <f ca="1">+WORLDCUP!BD66</f>
        <v>Noruega</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Cabo Verde</v>
      </c>
      <c r="D175" s="9" t="str">
        <f ca="1">+WORLDCUP!BD67</f>
        <v>Argelia</v>
      </c>
      <c r="E175" s="9" t="str">
        <f ca="1">+WORLDCUP!BD66</f>
        <v>Noruega</v>
      </c>
      <c r="F175" s="9" t="str">
        <f ca="1">+WORLDCUP!BD61</f>
        <v>Estados Unidos</v>
      </c>
      <c r="G175" s="9" t="str">
        <f ca="1">+WORLDCUP!BD58</f>
        <v>Sudáfrica</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Cabo Verde</v>
      </c>
      <c r="D176" s="9" t="str">
        <f ca="1">+WORLDCUP!BD67</f>
        <v>Argelia</v>
      </c>
      <c r="E176" s="9" t="str">
        <f ca="1">+WORLDCUP!BD66</f>
        <v>Noruega</v>
      </c>
      <c r="F176" s="9" t="str">
        <f ca="1">+WORLDCUP!BD61</f>
        <v>Estados Unidos</v>
      </c>
      <c r="G176" s="9" t="str">
        <f ca="1">+WORLDCUP!BD58</f>
        <v>Sudáfrica</v>
      </c>
      <c r="H176" s="9" t="str">
        <f ca="1">+WORLDCUP!BD63</f>
        <v>Túnez</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Noruega</v>
      </c>
      <c r="D177" s="9" t="str">
        <f ca="1">+WORLDCUP!BD64</f>
        <v>Irán</v>
      </c>
      <c r="E177" s="9" t="str">
        <f ca="1">+WORLDCUP!BD67</f>
        <v>Argelia</v>
      </c>
      <c r="F177" s="9" t="str">
        <f ca="1">+WORLDCUP!BD61</f>
        <v>Estados Unidos</v>
      </c>
      <c r="G177" s="9" t="str">
        <f ca="1">+WORLDCUP!BD58</f>
        <v>Sudáfrica</v>
      </c>
      <c r="H177" s="9" t="str">
        <f ca="1">+WORLDCUP!BD63</f>
        <v>Túnez</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Cabo Verde</v>
      </c>
      <c r="D178" s="9" t="str">
        <f ca="1">+WORLDCUP!BD64</f>
        <v>Irán</v>
      </c>
      <c r="E178" s="9" t="str">
        <f ca="1">+WORLDCUP!BD67</f>
        <v>Argelia</v>
      </c>
      <c r="F178" s="9" t="str">
        <f ca="1">+WORLDCUP!BD61</f>
        <v>Estados Unidos</v>
      </c>
      <c r="G178" s="9" t="str">
        <f ca="1">+WORLDCUP!BD58</f>
        <v>Sudáfrica</v>
      </c>
      <c r="H178" s="9" t="str">
        <f ca="1">+WORLDCUP!BD63</f>
        <v>Túnez</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Cabo Verde</v>
      </c>
      <c r="D179" s="9" t="str">
        <f ca="1">+WORLDCUP!BD64</f>
        <v>Irán</v>
      </c>
      <c r="E179" s="9" t="str">
        <f ca="1">+WORLDCUP!BD66</f>
        <v>Noruega</v>
      </c>
      <c r="F179" s="9" t="str">
        <f ca="1">+WORLDCUP!BD61</f>
        <v>Estados Unidos</v>
      </c>
      <c r="G179" s="9" t="str">
        <f ca="1">+WORLDCUP!BD58</f>
        <v>Sudáfrica</v>
      </c>
      <c r="H179" s="9" t="str">
        <f ca="1">+WORLDCUP!BD63</f>
        <v>Túnez</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Cabo Verde</v>
      </c>
      <c r="D180" s="9" t="str">
        <f ca="1">+WORLDCUP!BD64</f>
        <v>Irán</v>
      </c>
      <c r="E180" s="9" t="str">
        <f ca="1">+WORLDCUP!BD67</f>
        <v>Argelia</v>
      </c>
      <c r="F180" s="9" t="str">
        <f ca="1">+WORLDCUP!BD61</f>
        <v>Estados Unidos</v>
      </c>
      <c r="G180" s="9" t="str">
        <f ca="1">+WORLDCUP!BD58</f>
        <v>Sudáfrica</v>
      </c>
      <c r="H180" s="9" t="str">
        <f ca="1">+WORLDCUP!BD63</f>
        <v>Túnez</v>
      </c>
      <c r="I180" s="9" t="str">
        <f ca="1">+WORLDCUP!BD69</f>
        <v>Ghana</v>
      </c>
      <c r="J180" s="9" t="str">
        <f ca="1">+WORLDCUP!BD66</f>
        <v>Noruega</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Cabo Verde</v>
      </c>
      <c r="D181" s="9" t="str">
        <f ca="1">+WORLDCUP!BD64</f>
        <v>Irán</v>
      </c>
      <c r="E181" s="9" t="str">
        <f ca="1">+WORLDCUP!BD67</f>
        <v>Argelia</v>
      </c>
      <c r="F181" s="9" t="str">
        <f ca="1">+WORLDCUP!BD61</f>
        <v>Estados Unidos</v>
      </c>
      <c r="G181" s="9" t="str">
        <f ca="1">+WORLDCUP!BD58</f>
        <v>Sudáfrica</v>
      </c>
      <c r="H181" s="9" t="str">
        <f ca="1">+WORLDCUP!BD63</f>
        <v>Túnez</v>
      </c>
      <c r="I181" s="9" t="str">
        <f ca="1">+WORLDCUP!BD66</f>
        <v>Noruega</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Noruega</v>
      </c>
      <c r="F182" s="9" t="str">
        <f ca="1">+WORLDCUP!BD61</f>
        <v>Estados Unidos</v>
      </c>
      <c r="G182" s="9" t="str">
        <f ca="1">+WORLDCUP!BD58</f>
        <v>Sudáfrica</v>
      </c>
      <c r="H182" s="9" t="str">
        <f ca="1">+WORLDCUP!BD65</f>
        <v>Cabo Verde</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Noruega</v>
      </c>
      <c r="F183" s="9" t="str">
        <f ca="1">+WORLDCUP!BD61</f>
        <v>Estados Unidos</v>
      </c>
      <c r="G183" s="9" t="str">
        <f ca="1">+WORLDCUP!BD58</f>
        <v>Sudáfrica</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Estados Unidos</v>
      </c>
      <c r="G184" s="9" t="str">
        <f ca="1">+WORLDCUP!BD58</f>
        <v>Sudáfrica</v>
      </c>
      <c r="H184" s="9" t="str">
        <f ca="1">+WORLDCUP!BD65</f>
        <v>Cabo Verde</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Noruega</v>
      </c>
      <c r="F185" s="9" t="str">
        <f ca="1">+WORLDCUP!BD61</f>
        <v>Estados Unidos</v>
      </c>
      <c r="G185" s="9" t="str">
        <f ca="1">+WORLDCUP!BD58</f>
        <v>Sudáfrica</v>
      </c>
      <c r="H185" s="9" t="str">
        <f ca="1">+WORLDCUP!BD65</f>
        <v>Cabo Verde</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Estados Unidos</v>
      </c>
      <c r="G186" s="9" t="str">
        <f ca="1">+WORLDCUP!BD58</f>
        <v>Sudáfrica</v>
      </c>
      <c r="H186" s="9" t="str">
        <f ca="1">+WORLDCUP!BD65</f>
        <v>Cabo Verde</v>
      </c>
      <c r="I186" s="9" t="str">
        <f ca="1">+WORLDCUP!BD69</f>
        <v>Ghana</v>
      </c>
      <c r="J186" s="9" t="str">
        <f ca="1">+WORLDCUP!BD66</f>
        <v>Noruega</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Estados Unidos</v>
      </c>
      <c r="G187" s="9" t="str">
        <f ca="1">+WORLDCUP!BD58</f>
        <v>Sudáfrica</v>
      </c>
      <c r="H187" s="9" t="str">
        <f ca="1">+WORLDCUP!BD65</f>
        <v>Cabo Verde</v>
      </c>
      <c r="I187" s="9" t="str">
        <f ca="1">+WORLDCUP!BD66</f>
        <v>Noruega</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Noruega</v>
      </c>
      <c r="F188" s="9" t="str">
        <f ca="1">+WORLDCUP!BD61</f>
        <v>Estados Unidos</v>
      </c>
      <c r="G188" s="9" t="str">
        <f ca="1">+WORLDCUP!BD58</f>
        <v>Sudáfrica</v>
      </c>
      <c r="H188" s="9" t="str">
        <f ca="1">+WORLDCUP!BD63</f>
        <v>Túnez</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Cabo Verde</v>
      </c>
      <c r="D189" s="9" t="str">
        <f ca="1">+WORLDCUP!BD67</f>
        <v>Argelia</v>
      </c>
      <c r="E189" s="9" t="str">
        <f ca="1">+WORLDCUP!BD62</f>
        <v>Costa de Marfil</v>
      </c>
      <c r="F189" s="9" t="str">
        <f ca="1">+WORLDCUP!BD61</f>
        <v>Estados Unidos</v>
      </c>
      <c r="G189" s="9" t="str">
        <f ca="1">+WORLDCUP!BD58</f>
        <v>Sudáfrica</v>
      </c>
      <c r="H189" s="9" t="str">
        <f ca="1">+WORLDCUP!BD63</f>
        <v>Túnez</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Cabo Verde</v>
      </c>
      <c r="D190" s="9" t="str">
        <f ca="1">+WORLDCUP!BD62</f>
        <v>Costa de Marfil</v>
      </c>
      <c r="E190" s="9" t="str">
        <f ca="1">+WORLDCUP!BD66</f>
        <v>Noruega</v>
      </c>
      <c r="F190" s="9" t="str">
        <f ca="1">+WORLDCUP!BD61</f>
        <v>Estados Unidos</v>
      </c>
      <c r="G190" s="9" t="str">
        <f ca="1">+WORLDCUP!BD58</f>
        <v>Sudáfrica</v>
      </c>
      <c r="H190" s="9" t="str">
        <f ca="1">+WORLDCUP!BD63</f>
        <v>Túnez</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Cabo Verde</v>
      </c>
      <c r="D191" s="9" t="str">
        <f ca="1">+WORLDCUP!BD67</f>
        <v>Argelia</v>
      </c>
      <c r="E191" s="9" t="str">
        <f ca="1">+WORLDCUP!BD62</f>
        <v>Costa de Marfil</v>
      </c>
      <c r="F191" s="9" t="str">
        <f ca="1">+WORLDCUP!BD61</f>
        <v>Estados Unidos</v>
      </c>
      <c r="G191" s="9" t="str">
        <f ca="1">+WORLDCUP!BD58</f>
        <v>Sudáfrica</v>
      </c>
      <c r="H191" s="9" t="str">
        <f ca="1">+WORLDCUP!BD63</f>
        <v>Túnez</v>
      </c>
      <c r="I191" s="9" t="str">
        <f ca="1">+WORLDCUP!BD69</f>
        <v>Ghana</v>
      </c>
      <c r="J191" s="9" t="str">
        <f ca="1">+WORLDCUP!BD66</f>
        <v>Noruega</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Cabo Verde</v>
      </c>
      <c r="D192" s="9" t="str">
        <f ca="1">+WORLDCUP!BD67</f>
        <v>Argelia</v>
      </c>
      <c r="E192" s="9" t="str">
        <f ca="1">+WORLDCUP!BD62</f>
        <v>Costa de Marfil</v>
      </c>
      <c r="F192" s="9" t="str">
        <f ca="1">+WORLDCUP!BD61</f>
        <v>Estados Unidos</v>
      </c>
      <c r="G192" s="9" t="str">
        <f ca="1">+WORLDCUP!BD58</f>
        <v>Sudáfrica</v>
      </c>
      <c r="H192" s="9" t="str">
        <f ca="1">+WORLDCUP!BD63</f>
        <v>Túnez</v>
      </c>
      <c r="I192" s="9" t="str">
        <f ca="1">+WORLDCUP!BD66</f>
        <v>Noruega</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Estados Unidos</v>
      </c>
      <c r="G193" s="9" t="str">
        <f ca="1">+WORLDCUP!BD58</f>
        <v>Sudáfrica</v>
      </c>
      <c r="H193" s="9" t="str">
        <f ca="1">+WORLDCUP!BD63</f>
        <v>Túnez</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Noruega</v>
      </c>
      <c r="F194" s="9" t="str">
        <f ca="1">+WORLDCUP!BD61</f>
        <v>Estados Unidos</v>
      </c>
      <c r="G194" s="9" t="str">
        <f ca="1">+WORLDCUP!BD58</f>
        <v>Sudáfrica</v>
      </c>
      <c r="H194" s="9" t="str">
        <f ca="1">+WORLDCUP!BD63</f>
        <v>Túnez</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Estados Unidos</v>
      </c>
      <c r="G195" s="9" t="str">
        <f ca="1">+WORLDCUP!BD58</f>
        <v>Sudáfrica</v>
      </c>
      <c r="H195" s="9" t="str">
        <f ca="1">+WORLDCUP!BD63</f>
        <v>Túnez</v>
      </c>
      <c r="I195" s="9" t="str">
        <f ca="1">+WORLDCUP!BD69</f>
        <v>Ghana</v>
      </c>
      <c r="J195" s="9" t="str">
        <f ca="1">+WORLDCUP!BD66</f>
        <v>Noruega</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Estados Unidos</v>
      </c>
      <c r="G196" s="9" t="str">
        <f ca="1">+WORLDCUP!BD58</f>
        <v>Sudáfrica</v>
      </c>
      <c r="H196" s="9" t="str">
        <f ca="1">+WORLDCUP!BD63</f>
        <v>Túnez</v>
      </c>
      <c r="I196" s="9" t="str">
        <f ca="1">+WORLDCUP!BD66</f>
        <v>Noruega</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Cabo Verde</v>
      </c>
      <c r="D197" s="9" t="str">
        <f ca="1">+WORLDCUP!BD64</f>
        <v>Irán</v>
      </c>
      <c r="E197" s="9" t="str">
        <f ca="1">+WORLDCUP!BD62</f>
        <v>Costa de Marfil</v>
      </c>
      <c r="F197" s="9" t="str">
        <f ca="1">+WORLDCUP!BD61</f>
        <v>Estados Unidos</v>
      </c>
      <c r="G197" s="9" t="str">
        <f ca="1">+WORLDCUP!BD58</f>
        <v>Sudáfrica</v>
      </c>
      <c r="H197" s="9" t="str">
        <f ca="1">+WORLDCUP!BD63</f>
        <v>Túnez</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Cabo Verde</v>
      </c>
      <c r="D198" s="9" t="str">
        <f ca="1">+WORLDCUP!BD64</f>
        <v>Irán</v>
      </c>
      <c r="E198" s="9" t="str">
        <f ca="1">+WORLDCUP!BD67</f>
        <v>Argelia</v>
      </c>
      <c r="F198" s="9" t="str">
        <f ca="1">+WORLDCUP!BD61</f>
        <v>Estados Unidos</v>
      </c>
      <c r="G198" s="9" t="str">
        <f ca="1">+WORLDCUP!BD58</f>
        <v>Sudáfrica</v>
      </c>
      <c r="H198" s="9" t="str">
        <f ca="1">+WORLDCUP!BD63</f>
        <v>Túnez</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Cabo Verde</v>
      </c>
      <c r="D199" s="9" t="str">
        <f ca="1">+WORLDCUP!BD64</f>
        <v>Irán</v>
      </c>
      <c r="E199" s="9" t="str">
        <f ca="1">+WORLDCUP!BD67</f>
        <v>Argelia</v>
      </c>
      <c r="F199" s="9" t="str">
        <f ca="1">+WORLDCUP!BD61</f>
        <v>Estados Unidos</v>
      </c>
      <c r="G199" s="9" t="str">
        <f ca="1">+WORLDCUP!BD58</f>
        <v>Sudáfrica</v>
      </c>
      <c r="H199" s="9" t="str">
        <f ca="1">+WORLDCUP!BD63</f>
        <v>Túnez</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Cabo Verde</v>
      </c>
      <c r="D200" s="9" t="str">
        <f ca="1">+WORLDCUP!BD64</f>
        <v>Irán</v>
      </c>
      <c r="E200" s="9" t="str">
        <f ca="1">+WORLDCUP!BD62</f>
        <v>Costa de Marfil</v>
      </c>
      <c r="F200" s="9" t="str">
        <f ca="1">+WORLDCUP!BD61</f>
        <v>Estados Unidos</v>
      </c>
      <c r="G200" s="9" t="str">
        <f ca="1">+WORLDCUP!BD58</f>
        <v>Sudáfrica</v>
      </c>
      <c r="H200" s="9" t="str">
        <f ca="1">+WORLDCUP!BD63</f>
        <v>Túnez</v>
      </c>
      <c r="I200" s="9" t="str">
        <f ca="1">+WORLDCUP!BD69</f>
        <v>Ghana</v>
      </c>
      <c r="J200" s="9" t="str">
        <f ca="1">+WORLDCUP!BD66</f>
        <v>Noruega</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Cabo Verde</v>
      </c>
      <c r="D201" s="9" t="str">
        <f ca="1">+WORLDCUP!BD64</f>
        <v>Irán</v>
      </c>
      <c r="E201" s="9" t="str">
        <f ca="1">+WORLDCUP!BD62</f>
        <v>Costa de Marfil</v>
      </c>
      <c r="F201" s="9" t="str">
        <f ca="1">+WORLDCUP!BD61</f>
        <v>Estados Unidos</v>
      </c>
      <c r="G201" s="9" t="str">
        <f ca="1">+WORLDCUP!BD58</f>
        <v>Sudáfrica</v>
      </c>
      <c r="H201" s="9" t="str">
        <f ca="1">+WORLDCUP!BD63</f>
        <v>Túnez</v>
      </c>
      <c r="I201" s="9" t="str">
        <f ca="1">+WORLDCUP!BD66</f>
        <v>Noruega</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Cabo Verde</v>
      </c>
      <c r="D202" s="9" t="str">
        <f ca="1">+WORLDCUP!BD64</f>
        <v>Irán</v>
      </c>
      <c r="E202" s="9" t="str">
        <f ca="1">+WORLDCUP!BD67</f>
        <v>Argelia</v>
      </c>
      <c r="F202" s="9" t="str">
        <f ca="1">+WORLDCUP!BD61</f>
        <v>Estados Unidos</v>
      </c>
      <c r="G202" s="9" t="str">
        <f ca="1">+WORLDCUP!BD58</f>
        <v>Sudáfrica</v>
      </c>
      <c r="H202" s="9" t="str">
        <f ca="1">+WORLDCUP!BD63</f>
        <v>Túnez</v>
      </c>
      <c r="I202" s="9" t="str">
        <f ca="1">+WORLDCUP!BD62</f>
        <v>Costa de Marfil</v>
      </c>
      <c r="J202" s="9" t="str">
        <f ca="1">+WORLDCUP!BD66</f>
        <v>Noruega</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Cabo Verde</v>
      </c>
      <c r="D203" s="9" t="str">
        <f ca="1">+WORLDCUP!BD67</f>
        <v>Argelia</v>
      </c>
      <c r="E203" s="9" t="str">
        <f ca="1">+WORLDCUP!BD66</f>
        <v>Noruega</v>
      </c>
      <c r="F203" s="9" t="str">
        <f ca="1">+WORLDCUP!BD60</f>
        <v>Escocia</v>
      </c>
      <c r="G203" s="9" t="str">
        <f ca="1">+WORLDCUP!BD58</f>
        <v>Sudáfrica</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Cabo Verde</v>
      </c>
      <c r="D204" s="9" t="str">
        <f ca="1">+WORLDCUP!BD67</f>
        <v>Argelia</v>
      </c>
      <c r="E204" s="9" t="str">
        <f ca="1">+WORLDCUP!BD66</f>
        <v>Noruega</v>
      </c>
      <c r="F204" s="9" t="str">
        <f ca="1">+WORLDCUP!BD60</f>
        <v>Escocia</v>
      </c>
      <c r="G204" s="9" t="str">
        <f ca="1">+WORLDCUP!BD58</f>
        <v>Sudáfrica</v>
      </c>
      <c r="H204" s="9" t="str">
        <f ca="1">+WORLDCUP!BD63</f>
        <v>Túnez</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Noruega</v>
      </c>
      <c r="D205" s="9" t="str">
        <f ca="1">+WORLDCUP!BD64</f>
        <v>Irán</v>
      </c>
      <c r="E205" s="9" t="str">
        <f ca="1">+WORLDCUP!BD67</f>
        <v>Argelia</v>
      </c>
      <c r="F205" s="9" t="str">
        <f ca="1">+WORLDCUP!BD60</f>
        <v>Escocia</v>
      </c>
      <c r="G205" s="9" t="str">
        <f ca="1">+WORLDCUP!BD58</f>
        <v>Sudáfrica</v>
      </c>
      <c r="H205" s="9" t="str">
        <f ca="1">+WORLDCUP!BD63</f>
        <v>Túnez</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Cabo Verde</v>
      </c>
      <c r="D206" s="9" t="str">
        <f ca="1">+WORLDCUP!BD64</f>
        <v>Irán</v>
      </c>
      <c r="E206" s="9" t="str">
        <f ca="1">+WORLDCUP!BD67</f>
        <v>Argelia</v>
      </c>
      <c r="F206" s="9" t="str">
        <f ca="1">+WORLDCUP!BD60</f>
        <v>Escocia</v>
      </c>
      <c r="G206" s="9" t="str">
        <f ca="1">+WORLDCUP!BD58</f>
        <v>Sudáfrica</v>
      </c>
      <c r="H206" s="9" t="str">
        <f ca="1">+WORLDCUP!BD63</f>
        <v>Túnez</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Cabo Verde</v>
      </c>
      <c r="D207" s="9" t="str">
        <f ca="1">+WORLDCUP!BD64</f>
        <v>Irán</v>
      </c>
      <c r="E207" s="9" t="str">
        <f ca="1">+WORLDCUP!BD66</f>
        <v>Noruega</v>
      </c>
      <c r="F207" s="9" t="str">
        <f ca="1">+WORLDCUP!BD60</f>
        <v>Escocia</v>
      </c>
      <c r="G207" s="9" t="str">
        <f ca="1">+WORLDCUP!BD58</f>
        <v>Sudáfrica</v>
      </c>
      <c r="H207" s="9" t="str">
        <f ca="1">+WORLDCUP!BD63</f>
        <v>Túnez</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Cabo Verde</v>
      </c>
      <c r="D208" s="9" t="str">
        <f ca="1">+WORLDCUP!BD64</f>
        <v>Irán</v>
      </c>
      <c r="E208" s="9" t="str">
        <f ca="1">+WORLDCUP!BD67</f>
        <v>Argelia</v>
      </c>
      <c r="F208" s="9" t="str">
        <f ca="1">+WORLDCUP!BD60</f>
        <v>Escocia</v>
      </c>
      <c r="G208" s="9" t="str">
        <f ca="1">+WORLDCUP!BD58</f>
        <v>Sudáfrica</v>
      </c>
      <c r="H208" s="9" t="str">
        <f ca="1">+WORLDCUP!BD63</f>
        <v>Túnez</v>
      </c>
      <c r="I208" s="9" t="str">
        <f ca="1">+WORLDCUP!BD69</f>
        <v>Ghana</v>
      </c>
      <c r="J208" s="9" t="str">
        <f ca="1">+WORLDCUP!BD66</f>
        <v>Noruega</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Cabo Verde</v>
      </c>
      <c r="D209" s="9" t="str">
        <f ca="1">+WORLDCUP!BD64</f>
        <v>Irán</v>
      </c>
      <c r="E209" s="9" t="str">
        <f ca="1">+WORLDCUP!BD67</f>
        <v>Argelia</v>
      </c>
      <c r="F209" s="9" t="str">
        <f ca="1">+WORLDCUP!BD60</f>
        <v>Escocia</v>
      </c>
      <c r="G209" s="9" t="str">
        <f ca="1">+WORLDCUP!BD58</f>
        <v>Sudáfrica</v>
      </c>
      <c r="H209" s="9" t="str">
        <f ca="1">+WORLDCUP!BD63</f>
        <v>Túnez</v>
      </c>
      <c r="I209" s="9" t="str">
        <f ca="1">+WORLDCUP!BD66</f>
        <v>Noruega</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Noruega</v>
      </c>
      <c r="F210" s="9" t="str">
        <f ca="1">+WORLDCUP!BD60</f>
        <v>Escocia</v>
      </c>
      <c r="G210" s="9" t="str">
        <f ca="1">+WORLDCUP!BD58</f>
        <v>Sudáfrica</v>
      </c>
      <c r="H210" s="9" t="str">
        <f ca="1">+WORLDCUP!BD65</f>
        <v>Cabo Verde</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Noruega</v>
      </c>
      <c r="F211" s="9" t="str">
        <f ca="1">+WORLDCUP!BD60</f>
        <v>Escocia</v>
      </c>
      <c r="G211" s="9" t="str">
        <f ca="1">+WORLDCUP!BD58</f>
        <v>Sudáfrica</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Sudáfrica</v>
      </c>
      <c r="H212" s="9" t="str">
        <f ca="1">+WORLDCUP!BD65</f>
        <v>Cabo Verde</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Noruega</v>
      </c>
      <c r="F213" s="9" t="str">
        <f ca="1">+WORLDCUP!BD60</f>
        <v>Escocia</v>
      </c>
      <c r="G213" s="9" t="str">
        <f ca="1">+WORLDCUP!BD58</f>
        <v>Sudáfrica</v>
      </c>
      <c r="H213" s="9" t="str">
        <f ca="1">+WORLDCUP!BD65</f>
        <v>Cabo Verde</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Sudáfrica</v>
      </c>
      <c r="H214" s="9" t="str">
        <f ca="1">+WORLDCUP!BD65</f>
        <v>Cabo Verde</v>
      </c>
      <c r="I214" s="9" t="str">
        <f ca="1">+WORLDCUP!BD69</f>
        <v>Ghana</v>
      </c>
      <c r="J214" s="9" t="str">
        <f ca="1">+WORLDCUP!BD66</f>
        <v>Noruega</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Sudáfrica</v>
      </c>
      <c r="H215" s="9" t="str">
        <f ca="1">+WORLDCUP!BD65</f>
        <v>Cabo Verde</v>
      </c>
      <c r="I215" s="9" t="str">
        <f ca="1">+WORLDCUP!BD66</f>
        <v>Noruega</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Noruega</v>
      </c>
      <c r="F216" s="9" t="str">
        <f ca="1">+WORLDCUP!BD60</f>
        <v>Escocia</v>
      </c>
      <c r="G216" s="9" t="str">
        <f ca="1">+WORLDCUP!BD58</f>
        <v>Sudáfrica</v>
      </c>
      <c r="H216" s="9" t="str">
        <f ca="1">+WORLDCUP!BD63</f>
        <v>Túnez</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Cabo Verde</v>
      </c>
      <c r="D217" s="9" t="str">
        <f ca="1">+WORLDCUP!BD67</f>
        <v>Argelia</v>
      </c>
      <c r="E217" s="9" t="str">
        <f ca="1">+WORLDCUP!BD62</f>
        <v>Costa de Marfil</v>
      </c>
      <c r="F217" s="9" t="str">
        <f ca="1">+WORLDCUP!BD60</f>
        <v>Escocia</v>
      </c>
      <c r="G217" s="9" t="str">
        <f ca="1">+WORLDCUP!BD58</f>
        <v>Sudáfrica</v>
      </c>
      <c r="H217" s="9" t="str">
        <f ca="1">+WORLDCUP!BD63</f>
        <v>Túnez</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Cabo Verde</v>
      </c>
      <c r="D218" s="9" t="str">
        <f ca="1">+WORLDCUP!BD62</f>
        <v>Costa de Marfil</v>
      </c>
      <c r="E218" s="9" t="str">
        <f ca="1">+WORLDCUP!BD66</f>
        <v>Noruega</v>
      </c>
      <c r="F218" s="9" t="str">
        <f ca="1">+WORLDCUP!BD60</f>
        <v>Escocia</v>
      </c>
      <c r="G218" s="9" t="str">
        <f ca="1">+WORLDCUP!BD58</f>
        <v>Sudáfrica</v>
      </c>
      <c r="H218" s="9" t="str">
        <f ca="1">+WORLDCUP!BD63</f>
        <v>Túnez</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Cabo Verde</v>
      </c>
      <c r="D219" s="9" t="str">
        <f ca="1">+WORLDCUP!BD67</f>
        <v>Argelia</v>
      </c>
      <c r="E219" s="9" t="str">
        <f ca="1">+WORLDCUP!BD62</f>
        <v>Costa de Marfil</v>
      </c>
      <c r="F219" s="9" t="str">
        <f ca="1">+WORLDCUP!BD60</f>
        <v>Escocia</v>
      </c>
      <c r="G219" s="9" t="str">
        <f ca="1">+WORLDCUP!BD58</f>
        <v>Sudáfrica</v>
      </c>
      <c r="H219" s="9" t="str">
        <f ca="1">+WORLDCUP!BD63</f>
        <v>Túnez</v>
      </c>
      <c r="I219" s="9" t="str">
        <f ca="1">+WORLDCUP!BD69</f>
        <v>Ghana</v>
      </c>
      <c r="J219" s="9" t="str">
        <f ca="1">+WORLDCUP!BD66</f>
        <v>Noruega</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Cabo Verde</v>
      </c>
      <c r="D220" s="9" t="str">
        <f ca="1">+WORLDCUP!BD67</f>
        <v>Argelia</v>
      </c>
      <c r="E220" s="9" t="str">
        <f ca="1">+WORLDCUP!BD62</f>
        <v>Costa de Marfil</v>
      </c>
      <c r="F220" s="9" t="str">
        <f ca="1">+WORLDCUP!BD60</f>
        <v>Escocia</v>
      </c>
      <c r="G220" s="9" t="str">
        <f ca="1">+WORLDCUP!BD58</f>
        <v>Sudáfrica</v>
      </c>
      <c r="H220" s="9" t="str">
        <f ca="1">+WORLDCUP!BD63</f>
        <v>Túnez</v>
      </c>
      <c r="I220" s="9" t="str">
        <f ca="1">+WORLDCUP!BD66</f>
        <v>Noruega</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Sudáfrica</v>
      </c>
      <c r="H221" s="9" t="str">
        <f ca="1">+WORLDCUP!BD63</f>
        <v>Túnez</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Noruega</v>
      </c>
      <c r="F222" s="9" t="str">
        <f ca="1">+WORLDCUP!BD60</f>
        <v>Escocia</v>
      </c>
      <c r="G222" s="9" t="str">
        <f ca="1">+WORLDCUP!BD58</f>
        <v>Sudáfrica</v>
      </c>
      <c r="H222" s="9" t="str">
        <f ca="1">+WORLDCUP!BD63</f>
        <v>Túnez</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Sudáfrica</v>
      </c>
      <c r="H223" s="9" t="str">
        <f ca="1">+WORLDCUP!BD63</f>
        <v>Túnez</v>
      </c>
      <c r="I223" s="9" t="str">
        <f ca="1">+WORLDCUP!BD69</f>
        <v>Ghana</v>
      </c>
      <c r="J223" s="9" t="str">
        <f ca="1">+WORLDCUP!BD66</f>
        <v>Noruega</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Sudáfrica</v>
      </c>
      <c r="H224" s="9" t="str">
        <f ca="1">+WORLDCUP!BD63</f>
        <v>Túnez</v>
      </c>
      <c r="I224" s="9" t="str">
        <f ca="1">+WORLDCUP!BD66</f>
        <v>Noruega</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Cabo Verde</v>
      </c>
      <c r="D225" s="9" t="str">
        <f ca="1">+WORLDCUP!BD64</f>
        <v>Irán</v>
      </c>
      <c r="E225" s="9" t="str">
        <f ca="1">+WORLDCUP!BD62</f>
        <v>Costa de Marfil</v>
      </c>
      <c r="F225" s="9" t="str">
        <f ca="1">+WORLDCUP!BD60</f>
        <v>Escocia</v>
      </c>
      <c r="G225" s="9" t="str">
        <f ca="1">+WORLDCUP!BD58</f>
        <v>Sudáfrica</v>
      </c>
      <c r="H225" s="9" t="str">
        <f ca="1">+WORLDCUP!BD63</f>
        <v>Túnez</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Cabo Verde</v>
      </c>
      <c r="D226" s="9" t="str">
        <f ca="1">+WORLDCUP!BD64</f>
        <v>Irán</v>
      </c>
      <c r="E226" s="9" t="str">
        <f ca="1">+WORLDCUP!BD67</f>
        <v>Argelia</v>
      </c>
      <c r="F226" s="9" t="str">
        <f ca="1">+WORLDCUP!BD60</f>
        <v>Escocia</v>
      </c>
      <c r="G226" s="9" t="str">
        <f ca="1">+WORLDCUP!BD58</f>
        <v>Sudáfrica</v>
      </c>
      <c r="H226" s="9" t="str">
        <f ca="1">+WORLDCUP!BD63</f>
        <v>Túnez</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Cabo Verde</v>
      </c>
      <c r="D227" s="9" t="str">
        <f ca="1">+WORLDCUP!BD64</f>
        <v>Irán</v>
      </c>
      <c r="E227" s="9" t="str">
        <f ca="1">+WORLDCUP!BD67</f>
        <v>Argelia</v>
      </c>
      <c r="F227" s="9" t="str">
        <f ca="1">+WORLDCUP!BD60</f>
        <v>Escocia</v>
      </c>
      <c r="G227" s="9" t="str">
        <f ca="1">+WORLDCUP!BD58</f>
        <v>Sudáfrica</v>
      </c>
      <c r="H227" s="9" t="str">
        <f ca="1">+WORLDCUP!BD63</f>
        <v>Túnez</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Cabo Verde</v>
      </c>
      <c r="D228" s="9" t="str">
        <f ca="1">+WORLDCUP!BD64</f>
        <v>Irán</v>
      </c>
      <c r="E228" s="9" t="str">
        <f ca="1">+WORLDCUP!BD62</f>
        <v>Costa de Marfil</v>
      </c>
      <c r="F228" s="9" t="str">
        <f ca="1">+WORLDCUP!BD60</f>
        <v>Escocia</v>
      </c>
      <c r="G228" s="9" t="str">
        <f ca="1">+WORLDCUP!BD58</f>
        <v>Sudáfrica</v>
      </c>
      <c r="H228" s="9" t="str">
        <f ca="1">+WORLDCUP!BD63</f>
        <v>Túnez</v>
      </c>
      <c r="I228" s="9" t="str">
        <f ca="1">+WORLDCUP!BD69</f>
        <v>Ghana</v>
      </c>
      <c r="J228" s="9" t="str">
        <f ca="1">+WORLDCUP!BD66</f>
        <v>Noruega</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Cabo Verde</v>
      </c>
      <c r="D229" s="9" t="str">
        <f ca="1">+WORLDCUP!BD64</f>
        <v>Irán</v>
      </c>
      <c r="E229" s="9" t="str">
        <f ca="1">+WORLDCUP!BD62</f>
        <v>Costa de Marfil</v>
      </c>
      <c r="F229" s="9" t="str">
        <f ca="1">+WORLDCUP!BD60</f>
        <v>Escocia</v>
      </c>
      <c r="G229" s="9" t="str">
        <f ca="1">+WORLDCUP!BD58</f>
        <v>Sudáfrica</v>
      </c>
      <c r="H229" s="9" t="str">
        <f ca="1">+WORLDCUP!BD63</f>
        <v>Túnez</v>
      </c>
      <c r="I229" s="9" t="str">
        <f ca="1">+WORLDCUP!BD66</f>
        <v>Noruega</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Cabo Verde</v>
      </c>
      <c r="D230" s="9" t="str">
        <f ca="1">+WORLDCUP!BD64</f>
        <v>Irán</v>
      </c>
      <c r="E230" s="9" t="str">
        <f ca="1">+WORLDCUP!BD67</f>
        <v>Argelia</v>
      </c>
      <c r="F230" s="9" t="str">
        <f ca="1">+WORLDCUP!BD60</f>
        <v>Escocia</v>
      </c>
      <c r="G230" s="9" t="str">
        <f ca="1">+WORLDCUP!BD58</f>
        <v>Sudáfrica</v>
      </c>
      <c r="H230" s="9" t="str">
        <f ca="1">+WORLDCUP!BD63</f>
        <v>Túnez</v>
      </c>
      <c r="I230" s="9" t="str">
        <f ca="1">+WORLDCUP!BD62</f>
        <v>Costa de Marfil</v>
      </c>
      <c r="J230" s="9" t="str">
        <f ca="1">+WORLDCUP!BD66</f>
        <v>Noruega</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Cabo Verde</v>
      </c>
      <c r="D231" s="9" t="str">
        <f ca="1">+WORLDCUP!BD67</f>
        <v>Argelia</v>
      </c>
      <c r="E231" s="9" t="str">
        <f ca="1">+WORLDCUP!BD66</f>
        <v>Noruega</v>
      </c>
      <c r="F231" s="9" t="str">
        <f ca="1">+WORLDCUP!BD60</f>
        <v>Escocia</v>
      </c>
      <c r="G231" s="9" t="str">
        <f ca="1">+WORLDCUP!BD58</f>
        <v>Sudáfrica</v>
      </c>
      <c r="H231" s="9" t="str">
        <f ca="1">+WORLDCUP!BD61</f>
        <v>Estados Unidos</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Noruega</v>
      </c>
      <c r="D232" s="9" t="str">
        <f ca="1">+WORLDCUP!BD64</f>
        <v>Irán</v>
      </c>
      <c r="E232" s="9" t="str">
        <f ca="1">+WORLDCUP!BD67</f>
        <v>Argelia</v>
      </c>
      <c r="F232" s="9" t="str">
        <f ca="1">+WORLDCUP!BD60</f>
        <v>Escocia</v>
      </c>
      <c r="G232" s="9" t="str">
        <f ca="1">+WORLDCUP!BD58</f>
        <v>Sudáfrica</v>
      </c>
      <c r="H232" s="9" t="str">
        <f ca="1">+WORLDCUP!BD61</f>
        <v>Estados Unidos</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Cabo Verde</v>
      </c>
      <c r="D233" s="9" t="str">
        <f ca="1">+WORLDCUP!BD64</f>
        <v>Irán</v>
      </c>
      <c r="E233" s="9" t="str">
        <f ca="1">+WORLDCUP!BD67</f>
        <v>Argelia</v>
      </c>
      <c r="F233" s="9" t="str">
        <f ca="1">+WORLDCUP!BD60</f>
        <v>Escocia</v>
      </c>
      <c r="G233" s="9" t="str">
        <f ca="1">+WORLDCUP!BD58</f>
        <v>Sudáfrica</v>
      </c>
      <c r="H233" s="9" t="str">
        <f ca="1">+WORLDCUP!BD61</f>
        <v>Estados Unidos</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Cabo Verde</v>
      </c>
      <c r="D234" s="9" t="str">
        <f ca="1">+WORLDCUP!BD64</f>
        <v>Irán</v>
      </c>
      <c r="E234" s="9" t="str">
        <f ca="1">+WORLDCUP!BD66</f>
        <v>Noruega</v>
      </c>
      <c r="F234" s="9" t="str">
        <f ca="1">+WORLDCUP!BD60</f>
        <v>Escocia</v>
      </c>
      <c r="G234" s="9" t="str">
        <f ca="1">+WORLDCUP!BD58</f>
        <v>Sudáfrica</v>
      </c>
      <c r="H234" s="9" t="str">
        <f ca="1">+WORLDCUP!BD61</f>
        <v>Estados Unidos</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Cabo Verde</v>
      </c>
      <c r="D235" s="9" t="str">
        <f ca="1">+WORLDCUP!BD64</f>
        <v>Irán</v>
      </c>
      <c r="E235" s="9" t="str">
        <f ca="1">+WORLDCUP!BD67</f>
        <v>Argelia</v>
      </c>
      <c r="F235" s="9" t="str">
        <f ca="1">+WORLDCUP!BD60</f>
        <v>Escocia</v>
      </c>
      <c r="G235" s="9" t="str">
        <f ca="1">+WORLDCUP!BD58</f>
        <v>Sudáfrica</v>
      </c>
      <c r="H235" s="9" t="str">
        <f ca="1">+WORLDCUP!BD61</f>
        <v>Estados Unidos</v>
      </c>
      <c r="I235" s="9" t="str">
        <f ca="1">+WORLDCUP!BD69</f>
        <v>Ghana</v>
      </c>
      <c r="J235" s="9" t="str">
        <f ca="1">+WORLDCUP!BD66</f>
        <v>Noruega</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Cabo Verde</v>
      </c>
      <c r="D236" s="9" t="str">
        <f ca="1">+WORLDCUP!BD64</f>
        <v>Irán</v>
      </c>
      <c r="E236" s="9" t="str">
        <f ca="1">+WORLDCUP!BD67</f>
        <v>Argelia</v>
      </c>
      <c r="F236" s="9" t="str">
        <f ca="1">+WORLDCUP!BD60</f>
        <v>Escocia</v>
      </c>
      <c r="G236" s="9" t="str">
        <f ca="1">+WORLDCUP!BD58</f>
        <v>Sudáfrica</v>
      </c>
      <c r="H236" s="9" t="str">
        <f ca="1">+WORLDCUP!BD61</f>
        <v>Estados Unidos</v>
      </c>
      <c r="I236" s="9" t="str">
        <f ca="1">+WORLDCUP!BD66</f>
        <v>Noruega</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Noruega</v>
      </c>
      <c r="F237" s="9" t="str">
        <f ca="1">+WORLDCUP!BD61</f>
        <v>Estados Unidos</v>
      </c>
      <c r="G237" s="9" t="str">
        <f ca="1">+WORLDCUP!BD58</f>
        <v>Sudáfrica</v>
      </c>
      <c r="H237" s="9" t="str">
        <f ca="1">+WORLDCUP!BD63</f>
        <v>Túnez</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Cabo Verde</v>
      </c>
      <c r="D238" s="9" t="str">
        <f ca="1">+WORLDCUP!BD67</f>
        <v>Argelia</v>
      </c>
      <c r="E238" s="9" t="str">
        <f ca="1">+WORLDCUP!BD63</f>
        <v>Túnez</v>
      </c>
      <c r="F238" s="9" t="str">
        <f ca="1">+WORLDCUP!BD60</f>
        <v>Escocia</v>
      </c>
      <c r="G238" s="9" t="str">
        <f ca="1">+WORLDCUP!BD58</f>
        <v>Sudáfrica</v>
      </c>
      <c r="H238" s="9" t="str">
        <f ca="1">+WORLDCUP!BD61</f>
        <v>Estados Unidos</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Cabo Verde</v>
      </c>
      <c r="D239" s="9" t="str">
        <f ca="1">+WORLDCUP!BD63</f>
        <v>Túnez</v>
      </c>
      <c r="E239" s="9" t="str">
        <f ca="1">+WORLDCUP!BD66</f>
        <v>Noruega</v>
      </c>
      <c r="F239" s="9" t="str">
        <f ca="1">+WORLDCUP!BD60</f>
        <v>Escocia</v>
      </c>
      <c r="G239" s="9" t="str">
        <f ca="1">+WORLDCUP!BD58</f>
        <v>Sudáfrica</v>
      </c>
      <c r="H239" s="9" t="str">
        <f ca="1">+WORLDCUP!BD61</f>
        <v>Estados Unidos</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Cabo Verde</v>
      </c>
      <c r="D240" s="9" t="str">
        <f ca="1">+WORLDCUP!BD67</f>
        <v>Argelia</v>
      </c>
      <c r="E240" s="9" t="str">
        <f ca="1">+WORLDCUP!BD63</f>
        <v>Túnez</v>
      </c>
      <c r="F240" s="9" t="str">
        <f ca="1">+WORLDCUP!BD60</f>
        <v>Escocia</v>
      </c>
      <c r="G240" s="9" t="str">
        <f ca="1">+WORLDCUP!BD58</f>
        <v>Sudáfrica</v>
      </c>
      <c r="H240" s="9" t="str">
        <f ca="1">+WORLDCUP!BD61</f>
        <v>Estados Unidos</v>
      </c>
      <c r="I240" s="9" t="str">
        <f ca="1">+WORLDCUP!BD69</f>
        <v>Ghana</v>
      </c>
      <c r="J240" s="9" t="str">
        <f ca="1">+WORLDCUP!BD66</f>
        <v>Noruega</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Cabo Verde</v>
      </c>
      <c r="D241" s="9" t="str">
        <f ca="1">+WORLDCUP!BD67</f>
        <v>Argelia</v>
      </c>
      <c r="E241" s="9" t="str">
        <f ca="1">+WORLDCUP!BD63</f>
        <v>Túnez</v>
      </c>
      <c r="F241" s="9" t="str">
        <f ca="1">+WORLDCUP!BD60</f>
        <v>Escocia</v>
      </c>
      <c r="G241" s="9" t="str">
        <f ca="1">+WORLDCUP!BD58</f>
        <v>Sudáfrica</v>
      </c>
      <c r="H241" s="9" t="str">
        <f ca="1">+WORLDCUP!BD61</f>
        <v>Estados Unidos</v>
      </c>
      <c r="I241" s="9" t="str">
        <f ca="1">+WORLDCUP!BD66</f>
        <v>Noruega</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Estados Unidos</v>
      </c>
      <c r="G242" s="9" t="str">
        <f ca="1">+WORLDCUP!BD58</f>
        <v>Sudáfrica</v>
      </c>
      <c r="H242" s="9" t="str">
        <f ca="1">+WORLDCUP!BD63</f>
        <v>Túnez</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Noruega</v>
      </c>
      <c r="F243" s="9" t="str">
        <f ca="1">+WORLDCUP!BD61</f>
        <v>Estados Unidos</v>
      </c>
      <c r="G243" s="9" t="str">
        <f ca="1">+WORLDCUP!BD58</f>
        <v>Sudáfrica</v>
      </c>
      <c r="H243" s="9" t="str">
        <f ca="1">+WORLDCUP!BD63</f>
        <v>Túnez</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Estados Unidos</v>
      </c>
      <c r="G244" s="9" t="str">
        <f ca="1">+WORLDCUP!BD58</f>
        <v>Sudáfrica</v>
      </c>
      <c r="H244" s="9" t="str">
        <f ca="1">+WORLDCUP!BD63</f>
        <v>Túnez</v>
      </c>
      <c r="I244" s="9" t="str">
        <f ca="1">+WORLDCUP!BD69</f>
        <v>Ghana</v>
      </c>
      <c r="J244" s="9" t="str">
        <f ca="1">+WORLDCUP!BD66</f>
        <v>Noruega</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Estados Unidos</v>
      </c>
      <c r="G245" s="9" t="str">
        <f ca="1">+WORLDCUP!BD58</f>
        <v>Sudáfrica</v>
      </c>
      <c r="H245" s="9" t="str">
        <f ca="1">+WORLDCUP!BD63</f>
        <v>Túnez</v>
      </c>
      <c r="I245" s="9" t="str">
        <f ca="1">+WORLDCUP!BD66</f>
        <v>Noruega</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Cabo Verde</v>
      </c>
      <c r="D246" s="9" t="str">
        <f ca="1">+WORLDCUP!BD64</f>
        <v>Irán</v>
      </c>
      <c r="E246" s="9" t="str">
        <f ca="1">+WORLDCUP!BD63</f>
        <v>Túnez</v>
      </c>
      <c r="F246" s="9" t="str">
        <f ca="1">+WORLDCUP!BD60</f>
        <v>Escocia</v>
      </c>
      <c r="G246" s="9" t="str">
        <f ca="1">+WORLDCUP!BD58</f>
        <v>Sudáfrica</v>
      </c>
      <c r="H246" s="9" t="str">
        <f ca="1">+WORLDCUP!BD61</f>
        <v>Estados Unidos</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Estados Unidos</v>
      </c>
      <c r="G247" s="9" t="str">
        <f ca="1">+WORLDCUP!BD58</f>
        <v>Sudáfrica</v>
      </c>
      <c r="H247" s="9" t="str">
        <f ca="1">+WORLDCUP!BD63</f>
        <v>Túnez</v>
      </c>
      <c r="I247" s="9" t="str">
        <f ca="1">+WORLDCUP!BD69</f>
        <v>Ghana</v>
      </c>
      <c r="J247" s="9" t="str">
        <f ca="1">+WORLDCUP!BD65</f>
        <v>Cabo Verde</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Cabo Verde</v>
      </c>
      <c r="D248" s="9" t="str">
        <f ca="1">+WORLDCUP!BD64</f>
        <v>Irán</v>
      </c>
      <c r="E248" s="9" t="str">
        <f ca="1">+WORLDCUP!BD67</f>
        <v>Argelia</v>
      </c>
      <c r="F248" s="9" t="str">
        <f ca="1">+WORLDCUP!BD60</f>
        <v>Escocia</v>
      </c>
      <c r="G248" s="9" t="str">
        <f ca="1">+WORLDCUP!BD58</f>
        <v>Sudáfrica</v>
      </c>
      <c r="H248" s="9" t="str">
        <f ca="1">+WORLDCUP!BD63</f>
        <v>Túnez</v>
      </c>
      <c r="I248" s="9" t="str">
        <f ca="1">+WORLDCUP!BD61</f>
        <v>Estados Unidos</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Cabo Verde</v>
      </c>
      <c r="D249" s="9" t="str">
        <f ca="1">+WORLDCUP!BD64</f>
        <v>Irán</v>
      </c>
      <c r="E249" s="9" t="str">
        <f ca="1">+WORLDCUP!BD63</f>
        <v>Túnez</v>
      </c>
      <c r="F249" s="9" t="str">
        <f ca="1">+WORLDCUP!BD60</f>
        <v>Escocia</v>
      </c>
      <c r="G249" s="9" t="str">
        <f ca="1">+WORLDCUP!BD58</f>
        <v>Sudáfrica</v>
      </c>
      <c r="H249" s="9" t="str">
        <f ca="1">+WORLDCUP!BD61</f>
        <v>Estados Unidos</v>
      </c>
      <c r="I249" s="9" t="str">
        <f ca="1">+WORLDCUP!BD69</f>
        <v>Ghana</v>
      </c>
      <c r="J249" s="9" t="str">
        <f ca="1">+WORLDCUP!BD66</f>
        <v>Noruega</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Cabo Verde</v>
      </c>
      <c r="D250" s="9" t="str">
        <f ca="1">+WORLDCUP!BD64</f>
        <v>Irán</v>
      </c>
      <c r="E250" s="9" t="str">
        <f ca="1">+WORLDCUP!BD63</f>
        <v>Túnez</v>
      </c>
      <c r="F250" s="9" t="str">
        <f ca="1">+WORLDCUP!BD60</f>
        <v>Escocia</v>
      </c>
      <c r="G250" s="9" t="str">
        <f ca="1">+WORLDCUP!BD58</f>
        <v>Sudáfrica</v>
      </c>
      <c r="H250" s="9" t="str">
        <f ca="1">+WORLDCUP!BD61</f>
        <v>Estados Unidos</v>
      </c>
      <c r="I250" s="9" t="str">
        <f ca="1">+WORLDCUP!BD66</f>
        <v>Noruega</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Cabo Verde</v>
      </c>
      <c r="D251" s="9" t="str">
        <f ca="1">+WORLDCUP!BD64</f>
        <v>Irán</v>
      </c>
      <c r="E251" s="9" t="str">
        <f ca="1">+WORLDCUP!BD67</f>
        <v>Argelia</v>
      </c>
      <c r="F251" s="9" t="str">
        <f ca="1">+WORLDCUP!BD60</f>
        <v>Escocia</v>
      </c>
      <c r="G251" s="9" t="str">
        <f ca="1">+WORLDCUP!BD58</f>
        <v>Sudáfrica</v>
      </c>
      <c r="H251" s="9" t="str">
        <f ca="1">+WORLDCUP!BD63</f>
        <v>Túnez</v>
      </c>
      <c r="I251" s="9" t="str">
        <f ca="1">+WORLDCUP!BD61</f>
        <v>Estados Unidos</v>
      </c>
      <c r="J251" s="9" t="str">
        <f ca="1">+WORLDCUP!BD66</f>
        <v>Noruega</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Noruega</v>
      </c>
      <c r="F252" s="9" t="str">
        <f ca="1">+WORLDCUP!BD60</f>
        <v>Escocia</v>
      </c>
      <c r="G252" s="9" t="str">
        <f ca="1">+WORLDCUP!BD58</f>
        <v>Sudáfrica</v>
      </c>
      <c r="H252" s="9" t="str">
        <f ca="1">+WORLDCUP!BD61</f>
        <v>Estados Unidos</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Cabo Verde</v>
      </c>
      <c r="D253" s="9" t="str">
        <f ca="1">+WORLDCUP!BD67</f>
        <v>Argelia</v>
      </c>
      <c r="E253" s="9" t="str">
        <f ca="1">+WORLDCUP!BD62</f>
        <v>Costa de Marfil</v>
      </c>
      <c r="F253" s="9" t="str">
        <f ca="1">+WORLDCUP!BD60</f>
        <v>Escocia</v>
      </c>
      <c r="G253" s="9" t="str">
        <f ca="1">+WORLDCUP!BD58</f>
        <v>Sudáfrica</v>
      </c>
      <c r="H253" s="9" t="str">
        <f ca="1">+WORLDCUP!BD61</f>
        <v>Estados Unidos</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Cabo Verde</v>
      </c>
      <c r="D254" s="9" t="str">
        <f ca="1">+WORLDCUP!BD62</f>
        <v>Costa de Marfil</v>
      </c>
      <c r="E254" s="9" t="str">
        <f ca="1">+WORLDCUP!BD66</f>
        <v>Noruega</v>
      </c>
      <c r="F254" s="9" t="str">
        <f ca="1">+WORLDCUP!BD60</f>
        <v>Escocia</v>
      </c>
      <c r="G254" s="9" t="str">
        <f ca="1">+WORLDCUP!BD58</f>
        <v>Sudáfrica</v>
      </c>
      <c r="H254" s="9" t="str">
        <f ca="1">+WORLDCUP!BD61</f>
        <v>Estados Unidos</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Cabo Verde</v>
      </c>
      <c r="D255" s="9" t="str">
        <f ca="1">+WORLDCUP!BD67</f>
        <v>Argelia</v>
      </c>
      <c r="E255" s="9" t="str">
        <f ca="1">+WORLDCUP!BD62</f>
        <v>Costa de Marfil</v>
      </c>
      <c r="F255" s="9" t="str">
        <f ca="1">+WORLDCUP!BD60</f>
        <v>Escocia</v>
      </c>
      <c r="G255" s="9" t="str">
        <f ca="1">+WORLDCUP!BD58</f>
        <v>Sudáfrica</v>
      </c>
      <c r="H255" s="9" t="str">
        <f ca="1">+WORLDCUP!BD61</f>
        <v>Estados Unidos</v>
      </c>
      <c r="I255" s="9" t="str">
        <f ca="1">+WORLDCUP!BD69</f>
        <v>Ghana</v>
      </c>
      <c r="J255" s="9" t="str">
        <f ca="1">+WORLDCUP!BD66</f>
        <v>Noruega</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Cabo Verde</v>
      </c>
      <c r="D256" s="9" t="str">
        <f ca="1">+WORLDCUP!BD67</f>
        <v>Argelia</v>
      </c>
      <c r="E256" s="9" t="str">
        <f ca="1">+WORLDCUP!BD62</f>
        <v>Costa de Marfil</v>
      </c>
      <c r="F256" s="9" t="str">
        <f ca="1">+WORLDCUP!BD60</f>
        <v>Escocia</v>
      </c>
      <c r="G256" s="9" t="str">
        <f ca="1">+WORLDCUP!BD58</f>
        <v>Sudáfrica</v>
      </c>
      <c r="H256" s="9" t="str">
        <f ca="1">+WORLDCUP!BD61</f>
        <v>Estados Unidos</v>
      </c>
      <c r="I256" s="9" t="str">
        <f ca="1">+WORLDCUP!BD66</f>
        <v>Noruega</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Sudáfrica</v>
      </c>
      <c r="H257" s="9" t="str">
        <f ca="1">+WORLDCUP!BD61</f>
        <v>Estados Unidos</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Noruega</v>
      </c>
      <c r="F258" s="9" t="str">
        <f ca="1">+WORLDCUP!BD60</f>
        <v>Escocia</v>
      </c>
      <c r="G258" s="9" t="str">
        <f ca="1">+WORLDCUP!BD58</f>
        <v>Sudáfrica</v>
      </c>
      <c r="H258" s="9" t="str">
        <f ca="1">+WORLDCUP!BD61</f>
        <v>Estados Unidos</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Sudáfrica</v>
      </c>
      <c r="H259" s="9" t="str">
        <f ca="1">+WORLDCUP!BD61</f>
        <v>Estados Unidos</v>
      </c>
      <c r="I259" s="9" t="str">
        <f ca="1">+WORLDCUP!BD69</f>
        <v>Ghana</v>
      </c>
      <c r="J259" s="9" t="str">
        <f ca="1">+WORLDCUP!BD66</f>
        <v>Noruega</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Sudáfrica</v>
      </c>
      <c r="H260" s="9" t="str">
        <f ca="1">+WORLDCUP!BD61</f>
        <v>Estados Unidos</v>
      </c>
      <c r="I260" s="9" t="str">
        <f ca="1">+WORLDCUP!BD66</f>
        <v>Noruega</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Cabo Verde</v>
      </c>
      <c r="D261" s="9" t="str">
        <f ca="1">+WORLDCUP!BD64</f>
        <v>Irán</v>
      </c>
      <c r="E261" s="9" t="str">
        <f ca="1">+WORLDCUP!BD62</f>
        <v>Costa de Marfil</v>
      </c>
      <c r="F261" s="9" t="str">
        <f ca="1">+WORLDCUP!BD60</f>
        <v>Escocia</v>
      </c>
      <c r="G261" s="9" t="str">
        <f ca="1">+WORLDCUP!BD58</f>
        <v>Sudáfrica</v>
      </c>
      <c r="H261" s="9" t="str">
        <f ca="1">+WORLDCUP!BD61</f>
        <v>Estados Unidos</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Cabo Verde</v>
      </c>
      <c r="D262" s="9" t="str">
        <f ca="1">+WORLDCUP!BD64</f>
        <v>Irán</v>
      </c>
      <c r="E262" s="9" t="str">
        <f ca="1">+WORLDCUP!BD67</f>
        <v>Argelia</v>
      </c>
      <c r="F262" s="9" t="str">
        <f ca="1">+WORLDCUP!BD60</f>
        <v>Escocia</v>
      </c>
      <c r="G262" s="9" t="str">
        <f ca="1">+WORLDCUP!BD58</f>
        <v>Sudáfrica</v>
      </c>
      <c r="H262" s="9" t="str">
        <f ca="1">+WORLDCUP!BD61</f>
        <v>Estados Unidos</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Cabo Verde</v>
      </c>
      <c r="D263" s="9" t="str">
        <f ca="1">+WORLDCUP!BD64</f>
        <v>Irán</v>
      </c>
      <c r="E263" s="9" t="str">
        <f ca="1">+WORLDCUP!BD67</f>
        <v>Argelia</v>
      </c>
      <c r="F263" s="9" t="str">
        <f ca="1">+WORLDCUP!BD60</f>
        <v>Escocia</v>
      </c>
      <c r="G263" s="9" t="str">
        <f ca="1">+WORLDCUP!BD58</f>
        <v>Sudáfrica</v>
      </c>
      <c r="H263" s="9" t="str">
        <f ca="1">+WORLDCUP!BD61</f>
        <v>Estados Unidos</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Cabo Verde</v>
      </c>
      <c r="D264" s="9" t="str">
        <f ca="1">+WORLDCUP!BD64</f>
        <v>Irán</v>
      </c>
      <c r="E264" s="9" t="str">
        <f ca="1">+WORLDCUP!BD62</f>
        <v>Costa de Marfil</v>
      </c>
      <c r="F264" s="9" t="str">
        <f ca="1">+WORLDCUP!BD60</f>
        <v>Escocia</v>
      </c>
      <c r="G264" s="9" t="str">
        <f ca="1">+WORLDCUP!BD58</f>
        <v>Sudáfrica</v>
      </c>
      <c r="H264" s="9" t="str">
        <f ca="1">+WORLDCUP!BD61</f>
        <v>Estados Unidos</v>
      </c>
      <c r="I264" s="9" t="str">
        <f ca="1">+WORLDCUP!BD69</f>
        <v>Ghana</v>
      </c>
      <c r="J264" s="9" t="str">
        <f ca="1">+WORLDCUP!BD66</f>
        <v>Noruega</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Cabo Verde</v>
      </c>
      <c r="D265" s="9" t="str">
        <f ca="1">+WORLDCUP!BD64</f>
        <v>Irán</v>
      </c>
      <c r="E265" s="9" t="str">
        <f ca="1">+WORLDCUP!BD62</f>
        <v>Costa de Marfil</v>
      </c>
      <c r="F265" s="9" t="str">
        <f ca="1">+WORLDCUP!BD60</f>
        <v>Escocia</v>
      </c>
      <c r="G265" s="9" t="str">
        <f ca="1">+WORLDCUP!BD58</f>
        <v>Sudáfrica</v>
      </c>
      <c r="H265" s="9" t="str">
        <f ca="1">+WORLDCUP!BD61</f>
        <v>Estados Unidos</v>
      </c>
      <c r="I265" s="9" t="str">
        <f ca="1">+WORLDCUP!BD66</f>
        <v>Noruega</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Cabo Verde</v>
      </c>
      <c r="D266" s="9" t="str">
        <f ca="1">+WORLDCUP!BD64</f>
        <v>Irán</v>
      </c>
      <c r="E266" s="9" t="str">
        <f ca="1">+WORLDCUP!BD67</f>
        <v>Argelia</v>
      </c>
      <c r="F266" s="9" t="str">
        <f ca="1">+WORLDCUP!BD60</f>
        <v>Escocia</v>
      </c>
      <c r="G266" s="9" t="str">
        <f ca="1">+WORLDCUP!BD58</f>
        <v>Sudáfrica</v>
      </c>
      <c r="H266" s="9" t="str">
        <f ca="1">+WORLDCUP!BD61</f>
        <v>Estados Unidos</v>
      </c>
      <c r="I266" s="9" t="str">
        <f ca="1">+WORLDCUP!BD62</f>
        <v>Costa de Marfil</v>
      </c>
      <c r="J266" s="9" t="str">
        <f ca="1">+WORLDCUP!BD66</f>
        <v>Noruega</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Estados Unidos</v>
      </c>
      <c r="G267" s="9" t="str">
        <f ca="1">+WORLDCUP!BD58</f>
        <v>Sudáfrica</v>
      </c>
      <c r="H267" s="9" t="str">
        <f ca="1">+WORLDCUP!BD63</f>
        <v>Túnez</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Noruega</v>
      </c>
      <c r="F268" s="9" t="str">
        <f ca="1">+WORLDCUP!BD61</f>
        <v>Estados Unidos</v>
      </c>
      <c r="G268" s="9" t="str">
        <f ca="1">+WORLDCUP!BD58</f>
        <v>Sudáfrica</v>
      </c>
      <c r="H268" s="9" t="str">
        <f ca="1">+WORLDCUP!BD63</f>
        <v>Túnez</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Estados Unidos</v>
      </c>
      <c r="G269" s="9" t="str">
        <f ca="1">+WORLDCUP!BD58</f>
        <v>Sudáfrica</v>
      </c>
      <c r="H269" s="9" t="str">
        <f ca="1">+WORLDCUP!BD63</f>
        <v>Túnez</v>
      </c>
      <c r="I269" s="9" t="str">
        <f ca="1">+WORLDCUP!BD69</f>
        <v>Ghana</v>
      </c>
      <c r="J269" s="9" t="str">
        <f ca="1">+WORLDCUP!BD66</f>
        <v>Noruega</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Estados Unidos</v>
      </c>
      <c r="G270" s="9" t="str">
        <f ca="1">+WORLDCUP!BD58</f>
        <v>Sudáfrica</v>
      </c>
      <c r="H270" s="9" t="str">
        <f ca="1">+WORLDCUP!BD63</f>
        <v>Túnez</v>
      </c>
      <c r="I270" s="9" t="str">
        <f ca="1">+WORLDCUP!BD66</f>
        <v>Noruega</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Cabo Verde</v>
      </c>
      <c r="D271" s="9" t="str">
        <f ca="1">+WORLDCUP!BD62</f>
        <v>Costa de Marfil</v>
      </c>
      <c r="E271" s="9" t="str">
        <f ca="1">+WORLDCUP!BD63</f>
        <v>Túnez</v>
      </c>
      <c r="F271" s="9" t="str">
        <f ca="1">+WORLDCUP!BD60</f>
        <v>Escocia</v>
      </c>
      <c r="G271" s="9" t="str">
        <f ca="1">+WORLDCUP!BD58</f>
        <v>Sudáfrica</v>
      </c>
      <c r="H271" s="9" t="str">
        <f ca="1">+WORLDCUP!BD61</f>
        <v>Estados Unidos</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Cabo Verde</v>
      </c>
      <c r="D272" s="9" t="str">
        <f ca="1">+WORLDCUP!BD67</f>
        <v>Argelia</v>
      </c>
      <c r="E272" s="9" t="str">
        <f ca="1">+WORLDCUP!BD63</f>
        <v>Túnez</v>
      </c>
      <c r="F272" s="9" t="str">
        <f ca="1">+WORLDCUP!BD60</f>
        <v>Escocia</v>
      </c>
      <c r="G272" s="9" t="str">
        <f ca="1">+WORLDCUP!BD58</f>
        <v>Sudáfrica</v>
      </c>
      <c r="H272" s="9" t="str">
        <f ca="1">+WORLDCUP!BD61</f>
        <v>Estados Unidos</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Cabo Verde</v>
      </c>
      <c r="D273" s="9" t="str">
        <f ca="1">+WORLDCUP!BD67</f>
        <v>Argelia</v>
      </c>
      <c r="E273" s="9" t="str">
        <f ca="1">+WORLDCUP!BD62</f>
        <v>Costa de Marfil</v>
      </c>
      <c r="F273" s="9" t="str">
        <f ca="1">+WORLDCUP!BD60</f>
        <v>Escocia</v>
      </c>
      <c r="G273" s="9" t="str">
        <f ca="1">+WORLDCUP!BD58</f>
        <v>Sudáfrica</v>
      </c>
      <c r="H273" s="9" t="str">
        <f ca="1">+WORLDCUP!BD63</f>
        <v>Túnez</v>
      </c>
      <c r="I273" s="9" t="str">
        <f ca="1">+WORLDCUP!BD61</f>
        <v>Estados Unidos</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Cabo Verde</v>
      </c>
      <c r="D274" s="9" t="str">
        <f ca="1">+WORLDCUP!BD62</f>
        <v>Costa de Marfil</v>
      </c>
      <c r="E274" s="9" t="str">
        <f ca="1">+WORLDCUP!BD63</f>
        <v>Túnez</v>
      </c>
      <c r="F274" s="9" t="str">
        <f ca="1">+WORLDCUP!BD60</f>
        <v>Escocia</v>
      </c>
      <c r="G274" s="9" t="str">
        <f ca="1">+WORLDCUP!BD58</f>
        <v>Sudáfrica</v>
      </c>
      <c r="H274" s="9" t="str">
        <f ca="1">+WORLDCUP!BD61</f>
        <v>Estados Unidos</v>
      </c>
      <c r="I274" s="9" t="str">
        <f ca="1">+WORLDCUP!BD69</f>
        <v>Ghana</v>
      </c>
      <c r="J274" s="9" t="str">
        <f ca="1">+WORLDCUP!BD66</f>
        <v>Noruega</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Cabo Verde</v>
      </c>
      <c r="D275" s="9" t="str">
        <f ca="1">+WORLDCUP!BD62</f>
        <v>Costa de Marfil</v>
      </c>
      <c r="E275" s="9" t="str">
        <f ca="1">+WORLDCUP!BD63</f>
        <v>Túnez</v>
      </c>
      <c r="F275" s="9" t="str">
        <f ca="1">+WORLDCUP!BD60</f>
        <v>Escocia</v>
      </c>
      <c r="G275" s="9" t="str">
        <f ca="1">+WORLDCUP!BD58</f>
        <v>Sudáfrica</v>
      </c>
      <c r="H275" s="9" t="str">
        <f ca="1">+WORLDCUP!BD61</f>
        <v>Estados Unidos</v>
      </c>
      <c r="I275" s="9" t="str">
        <f ca="1">+WORLDCUP!BD66</f>
        <v>Noruega</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Cabo Verde</v>
      </c>
      <c r="D276" s="9" t="str">
        <f ca="1">+WORLDCUP!BD67</f>
        <v>Argelia</v>
      </c>
      <c r="E276" s="9" t="str">
        <f ca="1">+WORLDCUP!BD62</f>
        <v>Costa de Marfil</v>
      </c>
      <c r="F276" s="9" t="str">
        <f ca="1">+WORLDCUP!BD60</f>
        <v>Escocia</v>
      </c>
      <c r="G276" s="9" t="str">
        <f ca="1">+WORLDCUP!BD58</f>
        <v>Sudáfrica</v>
      </c>
      <c r="H276" s="9" t="str">
        <f ca="1">+WORLDCUP!BD63</f>
        <v>Túnez</v>
      </c>
      <c r="I276" s="9" t="str">
        <f ca="1">+WORLDCUP!BD61</f>
        <v>Estados Unidos</v>
      </c>
      <c r="J276" s="9" t="str">
        <f ca="1">+WORLDCUP!BD66</f>
        <v>Noruega</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Sudáfrica</v>
      </c>
      <c r="H277" s="9" t="str">
        <f ca="1">+WORLDCUP!BD63</f>
        <v>Túnez</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Estados Unidos</v>
      </c>
      <c r="G278" s="9" t="str">
        <f ca="1">+WORLDCUP!BD58</f>
        <v>Sudáfrica</v>
      </c>
      <c r="H278" s="9" t="str">
        <f ca="1">+WORLDCUP!BD63</f>
        <v>Túnez</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Estados Unidos</v>
      </c>
      <c r="G279" s="9" t="str">
        <f ca="1">+WORLDCUP!BD58</f>
        <v>Sudáfrica</v>
      </c>
      <c r="H279" s="9" t="str">
        <f ca="1">+WORLDCUP!BD63</f>
        <v>Túnez</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Sudáfrica</v>
      </c>
      <c r="H280" s="9" t="str">
        <f ca="1">+WORLDCUP!BD63</f>
        <v>Túnez</v>
      </c>
      <c r="I280" s="9" t="str">
        <f ca="1">+WORLDCUP!BD69</f>
        <v>Ghana</v>
      </c>
      <c r="J280" s="9" t="str">
        <f ca="1">+WORLDCUP!BD66</f>
        <v>Noruega</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Sudáfrica</v>
      </c>
      <c r="H281" s="9" t="str">
        <f ca="1">+WORLDCUP!BD63</f>
        <v>Túnez</v>
      </c>
      <c r="I281" s="9" t="str">
        <f ca="1">+WORLDCUP!BD66</f>
        <v>Noruega</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Estados Unidos</v>
      </c>
      <c r="G282" s="9" t="str">
        <f ca="1">+WORLDCUP!BD58</f>
        <v>Sudáfrica</v>
      </c>
      <c r="H282" s="9" t="str">
        <f ca="1">+WORLDCUP!BD63</f>
        <v>Túnez</v>
      </c>
      <c r="I282" s="9" t="str">
        <f ca="1">+WORLDCUP!BD62</f>
        <v>Costa de Marfil</v>
      </c>
      <c r="J282" s="9" t="str">
        <f ca="1">+WORLDCUP!BD66</f>
        <v>Noruega</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Cabo Verde</v>
      </c>
      <c r="D283" s="9" t="str">
        <f ca="1">+WORLDCUP!BD64</f>
        <v>Irán</v>
      </c>
      <c r="E283" s="9" t="str">
        <f ca="1">+WORLDCUP!BD63</f>
        <v>Túnez</v>
      </c>
      <c r="F283" s="9" t="str">
        <f ca="1">+WORLDCUP!BD60</f>
        <v>Escocia</v>
      </c>
      <c r="G283" s="9" t="str">
        <f ca="1">+WORLDCUP!BD58</f>
        <v>Sudáfrica</v>
      </c>
      <c r="H283" s="9" t="str">
        <f ca="1">+WORLDCUP!BD61</f>
        <v>Estados Unidos</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Cabo Verde</v>
      </c>
      <c r="D284" s="9" t="str">
        <f ca="1">+WORLDCUP!BD64</f>
        <v>Irán</v>
      </c>
      <c r="E284" s="9" t="str">
        <f ca="1">+WORLDCUP!BD62</f>
        <v>Costa de Marfil</v>
      </c>
      <c r="F284" s="9" t="str">
        <f ca="1">+WORLDCUP!BD60</f>
        <v>Escocia</v>
      </c>
      <c r="G284" s="9" t="str">
        <f ca="1">+WORLDCUP!BD58</f>
        <v>Sudáfrica</v>
      </c>
      <c r="H284" s="9" t="str">
        <f ca="1">+WORLDCUP!BD63</f>
        <v>Túnez</v>
      </c>
      <c r="I284" s="9" t="str">
        <f ca="1">+WORLDCUP!BD61</f>
        <v>Estados Unidos</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Cabo Verde</v>
      </c>
      <c r="D285" s="9" t="str">
        <f ca="1">+WORLDCUP!BD64</f>
        <v>Irán</v>
      </c>
      <c r="E285" s="9" t="str">
        <f ca="1">+WORLDCUP!BD67</f>
        <v>Argelia</v>
      </c>
      <c r="F285" s="9" t="str">
        <f ca="1">+WORLDCUP!BD60</f>
        <v>Escocia</v>
      </c>
      <c r="G285" s="9" t="str">
        <f ca="1">+WORLDCUP!BD58</f>
        <v>Sudáfrica</v>
      </c>
      <c r="H285" s="9" t="str">
        <f ca="1">+WORLDCUP!BD63</f>
        <v>Túnez</v>
      </c>
      <c r="I285" s="9" t="str">
        <f ca="1">+WORLDCUP!BD61</f>
        <v>Estados Unidos</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Cabo Verde</v>
      </c>
      <c r="D286" s="9" t="str">
        <f ca="1">+WORLDCUP!BD64</f>
        <v>Irán</v>
      </c>
      <c r="E286" s="9" t="str">
        <f ca="1">+WORLDCUP!BD62</f>
        <v>Costa de Marfil</v>
      </c>
      <c r="F286" s="9" t="str">
        <f ca="1">+WORLDCUP!BD60</f>
        <v>Escocia</v>
      </c>
      <c r="G286" s="9" t="str">
        <f ca="1">+WORLDCUP!BD58</f>
        <v>Sudáfrica</v>
      </c>
      <c r="H286" s="9" t="str">
        <f ca="1">+WORLDCUP!BD63</f>
        <v>Túnez</v>
      </c>
      <c r="I286" s="9" t="str">
        <f ca="1">+WORLDCUP!BD61</f>
        <v>Estados Unidos</v>
      </c>
      <c r="J286" s="9" t="str">
        <f ca="1">+WORLDCUP!BD66</f>
        <v>Noruega</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Cabo Verde</v>
      </c>
      <c r="D287" s="9" t="str">
        <f ca="1">+WORLDCUP!BD67</f>
        <v>Argelia</v>
      </c>
      <c r="E287" s="9" t="str">
        <f ca="1">+WORLDCUP!BD59</f>
        <v>Bosnia y Herzegovina</v>
      </c>
      <c r="F287" s="9" t="str">
        <f ca="1">+WORLDCUP!BD58</f>
        <v>Sudáfrica</v>
      </c>
      <c r="G287" s="9" t="str">
        <f ca="1">+WORLDCUP!BD66</f>
        <v>Noruega</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Cabo Verde</v>
      </c>
      <c r="D288" s="9" t="str">
        <f ca="1">+WORLDCUP!BD67</f>
        <v>Argelia</v>
      </c>
      <c r="E288" s="9" t="str">
        <f ca="1">+WORLDCUP!BD59</f>
        <v>Bosnia y Herzegovina</v>
      </c>
      <c r="F288" s="9" t="str">
        <f ca="1">+WORLDCUP!BD58</f>
        <v>Sudáfrica</v>
      </c>
      <c r="G288" s="9" t="str">
        <f ca="1">+WORLDCUP!BD66</f>
        <v>Noruega</v>
      </c>
      <c r="H288" s="9" t="str">
        <f ca="1">+WORLDCUP!BD63</f>
        <v>Túnez</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Noruega</v>
      </c>
      <c r="D289" s="9" t="str">
        <f ca="1">+WORLDCUP!BD67</f>
        <v>Argelia</v>
      </c>
      <c r="E289" s="9" t="str">
        <f ca="1">+WORLDCUP!BD59</f>
        <v>Bosnia y Herzegovina</v>
      </c>
      <c r="F289" s="9" t="str">
        <f ca="1">+WORLDCUP!BD63</f>
        <v>Túnez</v>
      </c>
      <c r="G289" s="9" t="str">
        <f ca="1">+WORLDCUP!BD58</f>
        <v>Sudáfrica</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Cabo Verde</v>
      </c>
      <c r="D290" s="9" t="str">
        <f ca="1">+WORLDCUP!BD67</f>
        <v>Argelia</v>
      </c>
      <c r="E290" s="9" t="str">
        <f ca="1">+WORLDCUP!BD59</f>
        <v>Bosnia y Herzegovina</v>
      </c>
      <c r="F290" s="9" t="str">
        <f ca="1">+WORLDCUP!BD63</f>
        <v>Túnez</v>
      </c>
      <c r="G290" s="9" t="str">
        <f ca="1">+WORLDCUP!BD58</f>
        <v>Sudáfrica</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Cabo Verde</v>
      </c>
      <c r="D291" s="9" t="str">
        <f ca="1">+WORLDCUP!BD64</f>
        <v>Irán</v>
      </c>
      <c r="E291" s="9" t="str">
        <f ca="1">+WORLDCUP!BD59</f>
        <v>Bosnia y Herzegovina</v>
      </c>
      <c r="F291" s="9" t="str">
        <f ca="1">+WORLDCUP!BD58</f>
        <v>Sudáfrica</v>
      </c>
      <c r="G291" s="9" t="str">
        <f ca="1">+WORLDCUP!BD66</f>
        <v>Noruega</v>
      </c>
      <c r="H291" s="9" t="str">
        <f ca="1">+WORLDCUP!BD63</f>
        <v>Túnez</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Cabo Verde</v>
      </c>
      <c r="D292" s="9" t="str">
        <f ca="1">+WORLDCUP!BD67</f>
        <v>Argelia</v>
      </c>
      <c r="E292" s="9" t="str">
        <f ca="1">+WORLDCUP!BD59</f>
        <v>Bosnia y Herzegovina</v>
      </c>
      <c r="F292" s="9" t="str">
        <f ca="1">+WORLDCUP!BD63</f>
        <v>Túnez</v>
      </c>
      <c r="G292" s="9" t="str">
        <f ca="1">+WORLDCUP!BD58</f>
        <v>Sudáfrica</v>
      </c>
      <c r="H292" s="9" t="str">
        <f ca="1">+WORLDCUP!BD64</f>
        <v>Irán</v>
      </c>
      <c r="I292" s="9" t="str">
        <f ca="1">+WORLDCUP!BD69</f>
        <v>Ghana</v>
      </c>
      <c r="J292" s="9" t="str">
        <f ca="1">+WORLDCUP!BD66</f>
        <v>Noruega</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Cabo Verde</v>
      </c>
      <c r="D293" s="9" t="str">
        <f ca="1">+WORLDCUP!BD67</f>
        <v>Argelia</v>
      </c>
      <c r="E293" s="9" t="str">
        <f ca="1">+WORLDCUP!BD59</f>
        <v>Bosnia y Herzegovina</v>
      </c>
      <c r="F293" s="9" t="str">
        <f ca="1">+WORLDCUP!BD63</f>
        <v>Túnez</v>
      </c>
      <c r="G293" s="9" t="str">
        <f ca="1">+WORLDCUP!BD58</f>
        <v>Sudáfrica</v>
      </c>
      <c r="H293" s="9" t="str">
        <f ca="1">+WORLDCUP!BD64</f>
        <v>Irán</v>
      </c>
      <c r="I293" s="9" t="str">
        <f ca="1">+WORLDCUP!BD66</f>
        <v>Noruega</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Sudáfrica</v>
      </c>
      <c r="G294" s="9" t="str">
        <f ca="1">+WORLDCUP!BD66</f>
        <v>Noruega</v>
      </c>
      <c r="H294" s="9" t="str">
        <f ca="1">+WORLDCUP!BD65</f>
        <v>Cabo Verde</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Sudáfrica</v>
      </c>
      <c r="G295" s="9" t="str">
        <f ca="1">+WORLDCUP!BD66</f>
        <v>Noruega</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Sudáfrica</v>
      </c>
      <c r="G296" s="9" t="str">
        <f ca="1">+WORLDCUP!BD65</f>
        <v>Cabo Verde</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Sudáfrica</v>
      </c>
      <c r="G297" s="9" t="str">
        <f ca="1">+WORLDCUP!BD66</f>
        <v>Noruega</v>
      </c>
      <c r="H297" s="9" t="str">
        <f ca="1">+WORLDCUP!BD65</f>
        <v>Cabo Verde</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Sudáfrica</v>
      </c>
      <c r="G298" s="9" t="str">
        <f ca="1">+WORLDCUP!BD65</f>
        <v>Cabo Verde</v>
      </c>
      <c r="H298" s="9" t="str">
        <f ca="1">+WORLDCUP!BD64</f>
        <v>Irán</v>
      </c>
      <c r="I298" s="9" t="str">
        <f ca="1">+WORLDCUP!BD69</f>
        <v>Ghana</v>
      </c>
      <c r="J298" s="9" t="str">
        <f ca="1">+WORLDCUP!BD66</f>
        <v>Noruega</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Sudáfrica</v>
      </c>
      <c r="G299" s="9" t="str">
        <f ca="1">+WORLDCUP!BD65</f>
        <v>Cabo Verde</v>
      </c>
      <c r="H299" s="9" t="str">
        <f ca="1">+WORLDCUP!BD64</f>
        <v>Irán</v>
      </c>
      <c r="I299" s="9" t="str">
        <f ca="1">+WORLDCUP!BD66</f>
        <v>Noruega</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Sudáfrica</v>
      </c>
      <c r="G300" s="9" t="str">
        <f ca="1">+WORLDCUP!BD66</f>
        <v>Noruega</v>
      </c>
      <c r="H300" s="9" t="str">
        <f ca="1">+WORLDCUP!BD63</f>
        <v>Túnez</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Túnez</v>
      </c>
      <c r="G301" s="9" t="str">
        <f ca="1">+WORLDCUP!BD58</f>
        <v>Sudáfrica</v>
      </c>
      <c r="H301" s="9" t="str">
        <f ca="1">+WORLDCUP!BD65</f>
        <v>Cabo Verde</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Noruega</v>
      </c>
      <c r="E302" s="9" t="str">
        <f ca="1">+WORLDCUP!BD59</f>
        <v>Bosnia y Herzegovina</v>
      </c>
      <c r="F302" s="9" t="str">
        <f ca="1">+WORLDCUP!BD63</f>
        <v>Túnez</v>
      </c>
      <c r="G302" s="9" t="str">
        <f ca="1">+WORLDCUP!BD58</f>
        <v>Sudáfrica</v>
      </c>
      <c r="H302" s="9" t="str">
        <f ca="1">+WORLDCUP!BD65</f>
        <v>Cabo Verde</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Túnez</v>
      </c>
      <c r="G303" s="9" t="str">
        <f ca="1">+WORLDCUP!BD58</f>
        <v>Sudáfrica</v>
      </c>
      <c r="H303" s="9" t="str">
        <f ca="1">+WORLDCUP!BD65</f>
        <v>Cabo Verde</v>
      </c>
      <c r="I303" s="9" t="str">
        <f ca="1">+WORLDCUP!BD69</f>
        <v>Ghana</v>
      </c>
      <c r="J303" s="9" t="str">
        <f ca="1">+WORLDCUP!BD66</f>
        <v>Noruega</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Túnez</v>
      </c>
      <c r="G304" s="9" t="str">
        <f ca="1">+WORLDCUP!BD58</f>
        <v>Sudáfrica</v>
      </c>
      <c r="H304" s="9" t="str">
        <f ca="1">+WORLDCUP!BD65</f>
        <v>Cabo Verde</v>
      </c>
      <c r="I304" s="9" t="str">
        <f ca="1">+WORLDCUP!BD66</f>
        <v>Noruega</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Túnez</v>
      </c>
      <c r="G305" s="9" t="str">
        <f ca="1">+WORLDCUP!BD58</f>
        <v>Sudáfrica</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Sudáfrica</v>
      </c>
      <c r="G306" s="9" t="str">
        <f ca="1">+WORLDCUP!BD66</f>
        <v>Noruega</v>
      </c>
      <c r="H306" s="9" t="str">
        <f ca="1">+WORLDCUP!BD63</f>
        <v>Túnez</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Túnez</v>
      </c>
      <c r="G307" s="9" t="str">
        <f ca="1">+WORLDCUP!BD58</f>
        <v>Sudáfrica</v>
      </c>
      <c r="H307" s="9" t="str">
        <f ca="1">+WORLDCUP!BD64</f>
        <v>Irán</v>
      </c>
      <c r="I307" s="9" t="str">
        <f ca="1">+WORLDCUP!BD69</f>
        <v>Ghana</v>
      </c>
      <c r="J307" s="9" t="str">
        <f ca="1">+WORLDCUP!BD66</f>
        <v>Noruega</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Túnez</v>
      </c>
      <c r="G308" s="9" t="str">
        <f ca="1">+WORLDCUP!BD58</f>
        <v>Sudáfrica</v>
      </c>
      <c r="H308" s="9" t="str">
        <f ca="1">+WORLDCUP!BD64</f>
        <v>Irán</v>
      </c>
      <c r="I308" s="9" t="str">
        <f ca="1">+WORLDCUP!BD66</f>
        <v>Noruega</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Túnez</v>
      </c>
      <c r="G309" s="9" t="str">
        <f ca="1">+WORLDCUP!BD58</f>
        <v>Sudáfrica</v>
      </c>
      <c r="H309" s="9" t="str">
        <f ca="1">+WORLDCUP!BD65</f>
        <v>Cabo Verde</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Cabo Verde</v>
      </c>
      <c r="D310" s="9" t="str">
        <f ca="1">+WORLDCUP!BD67</f>
        <v>Argelia</v>
      </c>
      <c r="E310" s="9" t="str">
        <f ca="1">+WORLDCUP!BD59</f>
        <v>Bosnia y Herzegovina</v>
      </c>
      <c r="F310" s="9" t="str">
        <f ca="1">+WORLDCUP!BD63</f>
        <v>Túnez</v>
      </c>
      <c r="G310" s="9" t="str">
        <f ca="1">+WORLDCUP!BD58</f>
        <v>Sudáfrica</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Cabo Verde</v>
      </c>
      <c r="D311" s="9" t="str">
        <f ca="1">+WORLDCUP!BD67</f>
        <v>Argelia</v>
      </c>
      <c r="E311" s="9" t="str">
        <f ca="1">+WORLDCUP!BD59</f>
        <v>Bosnia y Herzegovina</v>
      </c>
      <c r="F311" s="9" t="str">
        <f ca="1">+WORLDCUP!BD63</f>
        <v>Túnez</v>
      </c>
      <c r="G311" s="9" t="str">
        <f ca="1">+WORLDCUP!BD58</f>
        <v>Sudáfrica</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Túnez</v>
      </c>
      <c r="G312" s="9" t="str">
        <f ca="1">+WORLDCUP!BD58</f>
        <v>Sudáfrica</v>
      </c>
      <c r="H312" s="9" t="str">
        <f ca="1">+WORLDCUP!BD65</f>
        <v>Cabo Verde</v>
      </c>
      <c r="I312" s="9" t="str">
        <f ca="1">+WORLDCUP!BD69</f>
        <v>Ghana</v>
      </c>
      <c r="J312" s="9" t="str">
        <f ca="1">+WORLDCUP!BD66</f>
        <v>Noruega</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Túnez</v>
      </c>
      <c r="G313" s="9" t="str">
        <f ca="1">+WORLDCUP!BD58</f>
        <v>Sudáfrica</v>
      </c>
      <c r="H313" s="9" t="str">
        <f ca="1">+WORLDCUP!BD65</f>
        <v>Cabo Verde</v>
      </c>
      <c r="I313" s="9" t="str">
        <f ca="1">+WORLDCUP!BD66</f>
        <v>Noruega</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Cabo Verde</v>
      </c>
      <c r="D314" s="9" t="str">
        <f ca="1">+WORLDCUP!BD67</f>
        <v>Argelia</v>
      </c>
      <c r="E314" s="9" t="str">
        <f ca="1">+WORLDCUP!BD59</f>
        <v>Bosnia y Herzegovina</v>
      </c>
      <c r="F314" s="9" t="str">
        <f ca="1">+WORLDCUP!BD63</f>
        <v>Túnez</v>
      </c>
      <c r="G314" s="9" t="str">
        <f ca="1">+WORLDCUP!BD58</f>
        <v>Sudáfrica</v>
      </c>
      <c r="H314" s="9" t="str">
        <f ca="1">+WORLDCUP!BD64</f>
        <v>Irán</v>
      </c>
      <c r="I314" s="9" t="str">
        <f ca="1">+WORLDCUP!BD62</f>
        <v>Costa de Marfil</v>
      </c>
      <c r="J314" s="9" t="str">
        <f ca="1">+WORLDCUP!BD66</f>
        <v>Noruega</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Noruega</v>
      </c>
      <c r="D315" s="9" t="str">
        <f ca="1">+WORLDCUP!BD67</f>
        <v>Argelia</v>
      </c>
      <c r="E315" s="9" t="str">
        <f ca="1">+WORLDCUP!BD59</f>
        <v>Bosnia y Herzegovina</v>
      </c>
      <c r="F315" s="9" t="str">
        <f ca="1">+WORLDCUP!BD61</f>
        <v>Estados Unidos</v>
      </c>
      <c r="G315" s="9" t="str">
        <f ca="1">+WORLDCUP!BD58</f>
        <v>Sudáfrica</v>
      </c>
      <c r="H315" s="9" t="str">
        <f ca="1">+WORLDCUP!BD65</f>
        <v>Cabo Verde</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Noruega</v>
      </c>
      <c r="D316" s="9" t="str">
        <f ca="1">+WORLDCUP!BD67</f>
        <v>Argelia</v>
      </c>
      <c r="E316" s="9" t="str">
        <f ca="1">+WORLDCUP!BD59</f>
        <v>Bosnia y Herzegovina</v>
      </c>
      <c r="F316" s="9" t="str">
        <f ca="1">+WORLDCUP!BD61</f>
        <v>Estados Unidos</v>
      </c>
      <c r="G316" s="9" t="str">
        <f ca="1">+WORLDCUP!BD58</f>
        <v>Sudáfrica</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Cabo Verde</v>
      </c>
      <c r="D317" s="9" t="str">
        <f ca="1">+WORLDCUP!BD67</f>
        <v>Argelia</v>
      </c>
      <c r="E317" s="9" t="str">
        <f ca="1">+WORLDCUP!BD59</f>
        <v>Bosnia y Herzegovina</v>
      </c>
      <c r="F317" s="9" t="str">
        <f ca="1">+WORLDCUP!BD61</f>
        <v>Estados Unidos</v>
      </c>
      <c r="G317" s="9" t="str">
        <f ca="1">+WORLDCUP!BD58</f>
        <v>Sudáfrica</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Noruega</v>
      </c>
      <c r="D318" s="9" t="str">
        <f ca="1">+WORLDCUP!BD64</f>
        <v>Irán</v>
      </c>
      <c r="E318" s="9" t="str">
        <f ca="1">+WORLDCUP!BD59</f>
        <v>Bosnia y Herzegovina</v>
      </c>
      <c r="F318" s="9" t="str">
        <f ca="1">+WORLDCUP!BD61</f>
        <v>Estados Unidos</v>
      </c>
      <c r="G318" s="9" t="str">
        <f ca="1">+WORLDCUP!BD58</f>
        <v>Sudáfrica</v>
      </c>
      <c r="H318" s="9" t="str">
        <f ca="1">+WORLDCUP!BD65</f>
        <v>Cabo Verde</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Cabo Verde</v>
      </c>
      <c r="D319" s="9" t="str">
        <f ca="1">+WORLDCUP!BD67</f>
        <v>Argelia</v>
      </c>
      <c r="E319" s="9" t="str">
        <f ca="1">+WORLDCUP!BD59</f>
        <v>Bosnia y Herzegovina</v>
      </c>
      <c r="F319" s="9" t="str">
        <f ca="1">+WORLDCUP!BD61</f>
        <v>Estados Unidos</v>
      </c>
      <c r="G319" s="9" t="str">
        <f ca="1">+WORLDCUP!BD58</f>
        <v>Sudáfrica</v>
      </c>
      <c r="H319" s="9" t="str">
        <f ca="1">+WORLDCUP!BD64</f>
        <v>Irán</v>
      </c>
      <c r="I319" s="9" t="str">
        <f ca="1">+WORLDCUP!BD69</f>
        <v>Ghana</v>
      </c>
      <c r="J319" s="9" t="str">
        <f ca="1">+WORLDCUP!BD66</f>
        <v>Noruega</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Cabo Verde</v>
      </c>
      <c r="D320" s="9" t="str">
        <f ca="1">+WORLDCUP!BD67</f>
        <v>Argelia</v>
      </c>
      <c r="E320" s="9" t="str">
        <f ca="1">+WORLDCUP!BD59</f>
        <v>Bosnia y Herzegovina</v>
      </c>
      <c r="F320" s="9" t="str">
        <f ca="1">+WORLDCUP!BD61</f>
        <v>Estados Unidos</v>
      </c>
      <c r="G320" s="9" t="str">
        <f ca="1">+WORLDCUP!BD58</f>
        <v>Sudáfrica</v>
      </c>
      <c r="H320" s="9" t="str">
        <f ca="1">+WORLDCUP!BD64</f>
        <v>Irán</v>
      </c>
      <c r="I320" s="9" t="str">
        <f ca="1">+WORLDCUP!BD66</f>
        <v>Noruega</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Noruega</v>
      </c>
      <c r="D321" s="9" t="str">
        <f ca="1">+WORLDCUP!BD67</f>
        <v>Argelia</v>
      </c>
      <c r="E321" s="9" t="str">
        <f ca="1">+WORLDCUP!BD59</f>
        <v>Bosnia y Herzegovina</v>
      </c>
      <c r="F321" s="9" t="str">
        <f ca="1">+WORLDCUP!BD61</f>
        <v>Estados Unidos</v>
      </c>
      <c r="G321" s="9" t="str">
        <f ca="1">+WORLDCUP!BD58</f>
        <v>Sudáfrica</v>
      </c>
      <c r="H321" s="9" t="str">
        <f ca="1">+WORLDCUP!BD63</f>
        <v>Túnez</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Cabo Verde</v>
      </c>
      <c r="D322" s="9" t="str">
        <f ca="1">+WORLDCUP!BD67</f>
        <v>Argelia</v>
      </c>
      <c r="E322" s="9" t="str">
        <f ca="1">+WORLDCUP!BD59</f>
        <v>Bosnia y Herzegovina</v>
      </c>
      <c r="F322" s="9" t="str">
        <f ca="1">+WORLDCUP!BD61</f>
        <v>Estados Unidos</v>
      </c>
      <c r="G322" s="9" t="str">
        <f ca="1">+WORLDCUP!BD58</f>
        <v>Sudáfrica</v>
      </c>
      <c r="H322" s="9" t="str">
        <f ca="1">+WORLDCUP!BD63</f>
        <v>Túnez</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Cabo Verde</v>
      </c>
      <c r="D323" s="9" t="str">
        <f ca="1">+WORLDCUP!BD66</f>
        <v>Noruega</v>
      </c>
      <c r="E323" s="9" t="str">
        <f ca="1">+WORLDCUP!BD59</f>
        <v>Bosnia y Herzegovina</v>
      </c>
      <c r="F323" s="9" t="str">
        <f ca="1">+WORLDCUP!BD61</f>
        <v>Estados Unidos</v>
      </c>
      <c r="G323" s="9" t="str">
        <f ca="1">+WORLDCUP!BD58</f>
        <v>Sudáfrica</v>
      </c>
      <c r="H323" s="9" t="str">
        <f ca="1">+WORLDCUP!BD63</f>
        <v>Túnez</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Cabo Verde</v>
      </c>
      <c r="D324" s="9" t="str">
        <f ca="1">+WORLDCUP!BD67</f>
        <v>Argelia</v>
      </c>
      <c r="E324" s="9" t="str">
        <f ca="1">+WORLDCUP!BD59</f>
        <v>Bosnia y Herzegovina</v>
      </c>
      <c r="F324" s="9" t="str">
        <f ca="1">+WORLDCUP!BD61</f>
        <v>Estados Unidos</v>
      </c>
      <c r="G324" s="9" t="str">
        <f ca="1">+WORLDCUP!BD58</f>
        <v>Sudáfrica</v>
      </c>
      <c r="H324" s="9" t="str">
        <f ca="1">+WORLDCUP!BD63</f>
        <v>Túnez</v>
      </c>
      <c r="I324" s="9" t="str">
        <f ca="1">+WORLDCUP!BD69</f>
        <v>Ghana</v>
      </c>
      <c r="J324" s="9" t="str">
        <f ca="1">+WORLDCUP!BD66</f>
        <v>Noruega</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Cabo Verde</v>
      </c>
      <c r="D325" s="9" t="str">
        <f ca="1">+WORLDCUP!BD67</f>
        <v>Argelia</v>
      </c>
      <c r="E325" s="9" t="str">
        <f ca="1">+WORLDCUP!BD59</f>
        <v>Bosnia y Herzegovina</v>
      </c>
      <c r="F325" s="9" t="str">
        <f ca="1">+WORLDCUP!BD61</f>
        <v>Estados Unidos</v>
      </c>
      <c r="G325" s="9" t="str">
        <f ca="1">+WORLDCUP!BD58</f>
        <v>Sudáfrica</v>
      </c>
      <c r="H325" s="9" t="str">
        <f ca="1">+WORLDCUP!BD63</f>
        <v>Túnez</v>
      </c>
      <c r="I325" s="9" t="str">
        <f ca="1">+WORLDCUP!BD66</f>
        <v>Noruega</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Túnez</v>
      </c>
      <c r="D326" s="9" t="str">
        <f ca="1">+WORLDCUP!BD67</f>
        <v>Argelia</v>
      </c>
      <c r="E326" s="9" t="str">
        <f ca="1">+WORLDCUP!BD59</f>
        <v>Bosnia y Herzegovina</v>
      </c>
      <c r="F326" s="9" t="str">
        <f ca="1">+WORLDCUP!BD61</f>
        <v>Estados Unidos</v>
      </c>
      <c r="G326" s="9" t="str">
        <f ca="1">+WORLDCUP!BD58</f>
        <v>Sudáfrica</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Noruega</v>
      </c>
      <c r="D327" s="9" t="str">
        <f ca="1">+WORLDCUP!BD64</f>
        <v>Irán</v>
      </c>
      <c r="E327" s="9" t="str">
        <f ca="1">+WORLDCUP!BD59</f>
        <v>Bosnia y Herzegovina</v>
      </c>
      <c r="F327" s="9" t="str">
        <f ca="1">+WORLDCUP!BD61</f>
        <v>Estados Unidos</v>
      </c>
      <c r="G327" s="9" t="str">
        <f ca="1">+WORLDCUP!BD58</f>
        <v>Sudáfrica</v>
      </c>
      <c r="H327" s="9" t="str">
        <f ca="1">+WORLDCUP!BD63</f>
        <v>Túnez</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Túnez</v>
      </c>
      <c r="D328" s="9" t="str">
        <f ca="1">+WORLDCUP!BD67</f>
        <v>Argelia</v>
      </c>
      <c r="E328" s="9" t="str">
        <f ca="1">+WORLDCUP!BD59</f>
        <v>Bosnia y Herzegovina</v>
      </c>
      <c r="F328" s="9" t="str">
        <f ca="1">+WORLDCUP!BD61</f>
        <v>Estados Unidos</v>
      </c>
      <c r="G328" s="9" t="str">
        <f ca="1">+WORLDCUP!BD58</f>
        <v>Sudáfrica</v>
      </c>
      <c r="H328" s="9" t="str">
        <f ca="1">+WORLDCUP!BD64</f>
        <v>Irán</v>
      </c>
      <c r="I328" s="9" t="str">
        <f ca="1">+WORLDCUP!BD69</f>
        <v>Ghana</v>
      </c>
      <c r="J328" s="9" t="str">
        <f ca="1">+WORLDCUP!BD66</f>
        <v>Noruega</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Túnez</v>
      </c>
      <c r="D329" s="9" t="str">
        <f ca="1">+WORLDCUP!BD67</f>
        <v>Argelia</v>
      </c>
      <c r="E329" s="9" t="str">
        <f ca="1">+WORLDCUP!BD59</f>
        <v>Bosnia y Herzegovina</v>
      </c>
      <c r="F329" s="9" t="str">
        <f ca="1">+WORLDCUP!BD61</f>
        <v>Estados Unidos</v>
      </c>
      <c r="G329" s="9" t="str">
        <f ca="1">+WORLDCUP!BD58</f>
        <v>Sudáfrica</v>
      </c>
      <c r="H329" s="9" t="str">
        <f ca="1">+WORLDCUP!BD64</f>
        <v>Irán</v>
      </c>
      <c r="I329" s="9" t="str">
        <f ca="1">+WORLDCUP!BD66</f>
        <v>Noruega</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Cabo Verde</v>
      </c>
      <c r="D330" s="9" t="str">
        <f ca="1">+WORLDCUP!BD64</f>
        <v>Irán</v>
      </c>
      <c r="E330" s="9" t="str">
        <f ca="1">+WORLDCUP!BD59</f>
        <v>Bosnia y Herzegovina</v>
      </c>
      <c r="F330" s="9" t="str">
        <f ca="1">+WORLDCUP!BD61</f>
        <v>Estados Unidos</v>
      </c>
      <c r="G330" s="9" t="str">
        <f ca="1">+WORLDCUP!BD58</f>
        <v>Sudáfrica</v>
      </c>
      <c r="H330" s="9" t="str">
        <f ca="1">+WORLDCUP!BD63</f>
        <v>Túnez</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Cabo Verde</v>
      </c>
      <c r="D331" s="9" t="str">
        <f ca="1">+WORLDCUP!BD64</f>
        <v>Irán</v>
      </c>
      <c r="E331" s="9" t="str">
        <f ca="1">+WORLDCUP!BD59</f>
        <v>Bosnia y Herzegovina</v>
      </c>
      <c r="F331" s="9" t="str">
        <f ca="1">+WORLDCUP!BD61</f>
        <v>Estados Unidos</v>
      </c>
      <c r="G331" s="9" t="str">
        <f ca="1">+WORLDCUP!BD58</f>
        <v>Sudáfrica</v>
      </c>
      <c r="H331" s="9" t="str">
        <f ca="1">+WORLDCUP!BD63</f>
        <v>Túnez</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Cabo Verde</v>
      </c>
      <c r="D332" s="9" t="str">
        <f ca="1">+WORLDCUP!BD64</f>
        <v>Irán</v>
      </c>
      <c r="E332" s="9" t="str">
        <f ca="1">+WORLDCUP!BD59</f>
        <v>Bosnia y Herzegovina</v>
      </c>
      <c r="F332" s="9" t="str">
        <f ca="1">+WORLDCUP!BD61</f>
        <v>Estados Unidos</v>
      </c>
      <c r="G332" s="9" t="str">
        <f ca="1">+WORLDCUP!BD58</f>
        <v>Sudáfrica</v>
      </c>
      <c r="H332" s="9" t="str">
        <f ca="1">+WORLDCUP!BD63</f>
        <v>Túnez</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Cabo Verde</v>
      </c>
      <c r="D333" s="9" t="str">
        <f ca="1">+WORLDCUP!BD64</f>
        <v>Irán</v>
      </c>
      <c r="E333" s="9" t="str">
        <f ca="1">+WORLDCUP!BD59</f>
        <v>Bosnia y Herzegovina</v>
      </c>
      <c r="F333" s="9" t="str">
        <f ca="1">+WORLDCUP!BD61</f>
        <v>Estados Unidos</v>
      </c>
      <c r="G333" s="9" t="str">
        <f ca="1">+WORLDCUP!BD58</f>
        <v>Sudáfrica</v>
      </c>
      <c r="H333" s="9" t="str">
        <f ca="1">+WORLDCUP!BD63</f>
        <v>Túnez</v>
      </c>
      <c r="I333" s="9" t="str">
        <f ca="1">+WORLDCUP!BD69</f>
        <v>Ghana</v>
      </c>
      <c r="J333" s="9" t="str">
        <f ca="1">+WORLDCUP!BD66</f>
        <v>Noruega</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Cabo Verde</v>
      </c>
      <c r="D334" s="9" t="str">
        <f ca="1">+WORLDCUP!BD64</f>
        <v>Irán</v>
      </c>
      <c r="E334" s="9" t="str">
        <f ca="1">+WORLDCUP!BD59</f>
        <v>Bosnia y Herzegovina</v>
      </c>
      <c r="F334" s="9" t="str">
        <f ca="1">+WORLDCUP!BD61</f>
        <v>Estados Unidos</v>
      </c>
      <c r="G334" s="9" t="str">
        <f ca="1">+WORLDCUP!BD58</f>
        <v>Sudáfrica</v>
      </c>
      <c r="H334" s="9" t="str">
        <f ca="1">+WORLDCUP!BD63</f>
        <v>Túnez</v>
      </c>
      <c r="I334" s="9" t="str">
        <f ca="1">+WORLDCUP!BD66</f>
        <v>Noruega</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Cabo Verde</v>
      </c>
      <c r="D335" s="9" t="str">
        <f ca="1">+WORLDCUP!BD64</f>
        <v>Irán</v>
      </c>
      <c r="E335" s="9" t="str">
        <f ca="1">+WORLDCUP!BD59</f>
        <v>Bosnia y Herzegovina</v>
      </c>
      <c r="F335" s="9" t="str">
        <f ca="1">+WORLDCUP!BD61</f>
        <v>Estados Unidos</v>
      </c>
      <c r="G335" s="9" t="str">
        <f ca="1">+WORLDCUP!BD58</f>
        <v>Sudáfrica</v>
      </c>
      <c r="H335" s="9" t="str">
        <f ca="1">+WORLDCUP!BD63</f>
        <v>Túnez</v>
      </c>
      <c r="I335" s="9" t="str">
        <f ca="1">+WORLDCUP!BD66</f>
        <v>Noruega</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Sudáfrica</v>
      </c>
      <c r="G336" s="9" t="str">
        <f ca="1">+WORLDCUP!BD66</f>
        <v>Noruega</v>
      </c>
      <c r="H336" s="9" t="str">
        <f ca="1">+WORLDCUP!BD61</f>
        <v>Estados Unidos</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Estados Unidos</v>
      </c>
      <c r="G337" s="9" t="str">
        <f ca="1">+WORLDCUP!BD58</f>
        <v>Sudáfrica</v>
      </c>
      <c r="H337" s="9" t="str">
        <f ca="1">+WORLDCUP!BD65</f>
        <v>Cabo Verde</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Noruega</v>
      </c>
      <c r="E338" s="9" t="str">
        <f ca="1">+WORLDCUP!BD59</f>
        <v>Bosnia y Herzegovina</v>
      </c>
      <c r="F338" s="9" t="str">
        <f ca="1">+WORLDCUP!BD61</f>
        <v>Estados Unidos</v>
      </c>
      <c r="G338" s="9" t="str">
        <f ca="1">+WORLDCUP!BD58</f>
        <v>Sudáfrica</v>
      </c>
      <c r="H338" s="9" t="str">
        <f ca="1">+WORLDCUP!BD65</f>
        <v>Cabo Verde</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Estados Unidos</v>
      </c>
      <c r="G339" s="9" t="str">
        <f ca="1">+WORLDCUP!BD58</f>
        <v>Sudáfrica</v>
      </c>
      <c r="H339" s="9" t="str">
        <f ca="1">+WORLDCUP!BD65</f>
        <v>Cabo Verde</v>
      </c>
      <c r="I339" s="9" t="str">
        <f ca="1">+WORLDCUP!BD69</f>
        <v>Ghana</v>
      </c>
      <c r="J339" s="9" t="str">
        <f ca="1">+WORLDCUP!BD66</f>
        <v>Noruega</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Estados Unidos</v>
      </c>
      <c r="G340" s="9" t="str">
        <f ca="1">+WORLDCUP!BD58</f>
        <v>Sudáfrica</v>
      </c>
      <c r="H340" s="9" t="str">
        <f ca="1">+WORLDCUP!BD65</f>
        <v>Cabo Verde</v>
      </c>
      <c r="I340" s="9" t="str">
        <f ca="1">+WORLDCUP!BD66</f>
        <v>Noruega</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Estados Unidos</v>
      </c>
      <c r="G341" s="9" t="str">
        <f ca="1">+WORLDCUP!BD58</f>
        <v>Sudáfrica</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Sudáfrica</v>
      </c>
      <c r="G342" s="9" t="str">
        <f ca="1">+WORLDCUP!BD66</f>
        <v>Noruega</v>
      </c>
      <c r="H342" s="9" t="str">
        <f ca="1">+WORLDCUP!BD61</f>
        <v>Estados Unidos</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Estados Unidos</v>
      </c>
      <c r="G343" s="9" t="str">
        <f ca="1">+WORLDCUP!BD58</f>
        <v>Sudáfrica</v>
      </c>
      <c r="H343" s="9" t="str">
        <f ca="1">+WORLDCUP!BD64</f>
        <v>Irán</v>
      </c>
      <c r="I343" s="9" t="str">
        <f ca="1">+WORLDCUP!BD69</f>
        <v>Ghana</v>
      </c>
      <c r="J343" s="9" t="str">
        <f ca="1">+WORLDCUP!BD66</f>
        <v>Noruega</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Estados Unidos</v>
      </c>
      <c r="G344" s="9" t="str">
        <f ca="1">+WORLDCUP!BD58</f>
        <v>Sudáfrica</v>
      </c>
      <c r="H344" s="9" t="str">
        <f ca="1">+WORLDCUP!BD64</f>
        <v>Irán</v>
      </c>
      <c r="I344" s="9" t="str">
        <f ca="1">+WORLDCUP!BD66</f>
        <v>Noruega</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Estados Unidos</v>
      </c>
      <c r="G345" s="9" t="str">
        <f ca="1">+WORLDCUP!BD58</f>
        <v>Sudáfrica</v>
      </c>
      <c r="H345" s="9" t="str">
        <f ca="1">+WORLDCUP!BD65</f>
        <v>Cabo Verde</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Cabo Verde</v>
      </c>
      <c r="D346" s="9" t="str">
        <f ca="1">+WORLDCUP!BD67</f>
        <v>Argelia</v>
      </c>
      <c r="E346" s="9" t="str">
        <f ca="1">+WORLDCUP!BD59</f>
        <v>Bosnia y Herzegovina</v>
      </c>
      <c r="F346" s="9" t="str">
        <f ca="1">+WORLDCUP!BD61</f>
        <v>Estados Unidos</v>
      </c>
      <c r="G346" s="9" t="str">
        <f ca="1">+WORLDCUP!BD58</f>
        <v>Sudáfrica</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Cabo Verde</v>
      </c>
      <c r="D347" s="9" t="str">
        <f ca="1">+WORLDCUP!BD67</f>
        <v>Argelia</v>
      </c>
      <c r="E347" s="9" t="str">
        <f ca="1">+WORLDCUP!BD59</f>
        <v>Bosnia y Herzegovina</v>
      </c>
      <c r="F347" s="9" t="str">
        <f ca="1">+WORLDCUP!BD61</f>
        <v>Estados Unidos</v>
      </c>
      <c r="G347" s="9" t="str">
        <f ca="1">+WORLDCUP!BD58</f>
        <v>Sudáfrica</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Estados Unidos</v>
      </c>
      <c r="G348" s="9" t="str">
        <f ca="1">+WORLDCUP!BD58</f>
        <v>Sudáfrica</v>
      </c>
      <c r="H348" s="9" t="str">
        <f ca="1">+WORLDCUP!BD65</f>
        <v>Cabo Verde</v>
      </c>
      <c r="I348" s="9" t="str">
        <f ca="1">+WORLDCUP!BD69</f>
        <v>Ghana</v>
      </c>
      <c r="J348" s="9" t="str">
        <f ca="1">+WORLDCUP!BD66</f>
        <v>Noruega</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Estados Unidos</v>
      </c>
      <c r="G349" s="9" t="str">
        <f ca="1">+WORLDCUP!BD58</f>
        <v>Sudáfrica</v>
      </c>
      <c r="H349" s="9" t="str">
        <f ca="1">+WORLDCUP!BD65</f>
        <v>Cabo Verde</v>
      </c>
      <c r="I349" s="9" t="str">
        <f ca="1">+WORLDCUP!BD66</f>
        <v>Noruega</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Cabo Verde</v>
      </c>
      <c r="D350" s="9" t="str">
        <f ca="1">+WORLDCUP!BD67</f>
        <v>Argelia</v>
      </c>
      <c r="E350" s="9" t="str">
        <f ca="1">+WORLDCUP!BD59</f>
        <v>Bosnia y Herzegovina</v>
      </c>
      <c r="F350" s="9" t="str">
        <f ca="1">+WORLDCUP!BD61</f>
        <v>Estados Unidos</v>
      </c>
      <c r="G350" s="9" t="str">
        <f ca="1">+WORLDCUP!BD58</f>
        <v>Sudáfrica</v>
      </c>
      <c r="H350" s="9" t="str">
        <f ca="1">+WORLDCUP!BD64</f>
        <v>Irán</v>
      </c>
      <c r="I350" s="9" t="str">
        <f ca="1">+WORLDCUP!BD62</f>
        <v>Costa de Marfil</v>
      </c>
      <c r="J350" s="9" t="str">
        <f ca="1">+WORLDCUP!BD66</f>
        <v>Noruega</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Estados Unidos</v>
      </c>
      <c r="G351" s="9" t="str">
        <f ca="1">+WORLDCUP!BD58</f>
        <v>Sudáfrica</v>
      </c>
      <c r="H351" s="9" t="str">
        <f ca="1">+WORLDCUP!BD63</f>
        <v>Túnez</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Noruega</v>
      </c>
      <c r="E352" s="9" t="str">
        <f ca="1">+WORLDCUP!BD59</f>
        <v>Bosnia y Herzegovina</v>
      </c>
      <c r="F352" s="9" t="str">
        <f ca="1">+WORLDCUP!BD61</f>
        <v>Estados Unidos</v>
      </c>
      <c r="G352" s="9" t="str">
        <f ca="1">+WORLDCUP!BD58</f>
        <v>Sudáfrica</v>
      </c>
      <c r="H352" s="9" t="str">
        <f ca="1">+WORLDCUP!BD63</f>
        <v>Túnez</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Estados Unidos</v>
      </c>
      <c r="G353" s="9" t="str">
        <f ca="1">+WORLDCUP!BD58</f>
        <v>Sudáfrica</v>
      </c>
      <c r="H353" s="9" t="str">
        <f ca="1">+WORLDCUP!BD63</f>
        <v>Túnez</v>
      </c>
      <c r="I353" s="9" t="str">
        <f ca="1">+WORLDCUP!BD69</f>
        <v>Ghana</v>
      </c>
      <c r="J353" s="9" t="str">
        <f ca="1">+WORLDCUP!BD66</f>
        <v>Noruega</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Estados Unidos</v>
      </c>
      <c r="G354" s="9" t="str">
        <f ca="1">+WORLDCUP!BD58</f>
        <v>Sudáfrica</v>
      </c>
      <c r="H354" s="9" t="str">
        <f ca="1">+WORLDCUP!BD63</f>
        <v>Túnez</v>
      </c>
      <c r="I354" s="9" t="str">
        <f ca="1">+WORLDCUP!BD66</f>
        <v>Noruega</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Cabo Verde</v>
      </c>
      <c r="D355" s="9" t="str">
        <f ca="1">+WORLDCUP!BD62</f>
        <v>Costa de Marfil</v>
      </c>
      <c r="E355" s="9" t="str">
        <f ca="1">+WORLDCUP!BD59</f>
        <v>Bosnia y Herzegovina</v>
      </c>
      <c r="F355" s="9" t="str">
        <f ca="1">+WORLDCUP!BD61</f>
        <v>Estados Unidos</v>
      </c>
      <c r="G355" s="9" t="str">
        <f ca="1">+WORLDCUP!BD58</f>
        <v>Sudáfrica</v>
      </c>
      <c r="H355" s="9" t="str">
        <f ca="1">+WORLDCUP!BD63</f>
        <v>Túnez</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Cabo Verde</v>
      </c>
      <c r="D356" s="9" t="str">
        <f ca="1">+WORLDCUP!BD67</f>
        <v>Argelia</v>
      </c>
      <c r="E356" s="9" t="str">
        <f ca="1">+WORLDCUP!BD59</f>
        <v>Bosnia y Herzegovina</v>
      </c>
      <c r="F356" s="9" t="str">
        <f ca="1">+WORLDCUP!BD61</f>
        <v>Estados Unidos</v>
      </c>
      <c r="G356" s="9" t="str">
        <f ca="1">+WORLDCUP!BD58</f>
        <v>Sudáfrica</v>
      </c>
      <c r="H356" s="9" t="str">
        <f ca="1">+WORLDCUP!BD63</f>
        <v>Túnez</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Cabo Verde</v>
      </c>
      <c r="D357" s="9" t="str">
        <f ca="1">+WORLDCUP!BD67</f>
        <v>Argelia</v>
      </c>
      <c r="E357" s="9" t="str">
        <f ca="1">+WORLDCUP!BD59</f>
        <v>Bosnia y Herzegovina</v>
      </c>
      <c r="F357" s="9" t="str">
        <f ca="1">+WORLDCUP!BD61</f>
        <v>Estados Unidos</v>
      </c>
      <c r="G357" s="9" t="str">
        <f ca="1">+WORLDCUP!BD58</f>
        <v>Sudáfrica</v>
      </c>
      <c r="H357" s="9" t="str">
        <f ca="1">+WORLDCUP!BD63</f>
        <v>Túnez</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Cabo Verde</v>
      </c>
      <c r="D358" s="9" t="str">
        <f ca="1">+WORLDCUP!BD62</f>
        <v>Costa de Marfil</v>
      </c>
      <c r="E358" s="9" t="str">
        <f ca="1">+WORLDCUP!BD59</f>
        <v>Bosnia y Herzegovina</v>
      </c>
      <c r="F358" s="9" t="str">
        <f ca="1">+WORLDCUP!BD61</f>
        <v>Estados Unidos</v>
      </c>
      <c r="G358" s="9" t="str">
        <f ca="1">+WORLDCUP!BD58</f>
        <v>Sudáfrica</v>
      </c>
      <c r="H358" s="9" t="str">
        <f ca="1">+WORLDCUP!BD63</f>
        <v>Túnez</v>
      </c>
      <c r="I358" s="9" t="str">
        <f ca="1">+WORLDCUP!BD69</f>
        <v>Ghana</v>
      </c>
      <c r="J358" s="9" t="str">
        <f ca="1">+WORLDCUP!BD66</f>
        <v>Noruega</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Cabo Verde</v>
      </c>
      <c r="D359" s="9" t="str">
        <f ca="1">+WORLDCUP!BD62</f>
        <v>Costa de Marfil</v>
      </c>
      <c r="E359" s="9" t="str">
        <f ca="1">+WORLDCUP!BD59</f>
        <v>Bosnia y Herzegovina</v>
      </c>
      <c r="F359" s="9" t="str">
        <f ca="1">+WORLDCUP!BD61</f>
        <v>Estados Unidos</v>
      </c>
      <c r="G359" s="9" t="str">
        <f ca="1">+WORLDCUP!BD58</f>
        <v>Sudáfrica</v>
      </c>
      <c r="H359" s="9" t="str">
        <f ca="1">+WORLDCUP!BD63</f>
        <v>Túnez</v>
      </c>
      <c r="I359" s="9" t="str">
        <f ca="1">+WORLDCUP!BD66</f>
        <v>Noruega</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Cabo Verde</v>
      </c>
      <c r="D360" s="9" t="str">
        <f ca="1">+WORLDCUP!BD67</f>
        <v>Argelia</v>
      </c>
      <c r="E360" s="9" t="str">
        <f ca="1">+WORLDCUP!BD59</f>
        <v>Bosnia y Herzegovina</v>
      </c>
      <c r="F360" s="9" t="str">
        <f ca="1">+WORLDCUP!BD61</f>
        <v>Estados Unidos</v>
      </c>
      <c r="G360" s="9" t="str">
        <f ca="1">+WORLDCUP!BD58</f>
        <v>Sudáfrica</v>
      </c>
      <c r="H360" s="9" t="str">
        <f ca="1">+WORLDCUP!BD63</f>
        <v>Túnez</v>
      </c>
      <c r="I360" s="9" t="str">
        <f ca="1">+WORLDCUP!BD62</f>
        <v>Costa de Marfil</v>
      </c>
      <c r="J360" s="9" t="str">
        <f ca="1">+WORLDCUP!BD66</f>
        <v>Noruega</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Estados Unidos</v>
      </c>
      <c r="G361" s="9" t="str">
        <f ca="1">+WORLDCUP!BD58</f>
        <v>Sudáfrica</v>
      </c>
      <c r="H361" s="9" t="str">
        <f ca="1">+WORLDCUP!BD63</f>
        <v>Túnez</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Estados Unidos</v>
      </c>
      <c r="G362" s="9" t="str">
        <f ca="1">+WORLDCUP!BD58</f>
        <v>Sudáfrica</v>
      </c>
      <c r="H362" s="9" t="str">
        <f ca="1">+WORLDCUP!BD63</f>
        <v>Túnez</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Estados Unidos</v>
      </c>
      <c r="G363" s="9" t="str">
        <f ca="1">+WORLDCUP!BD58</f>
        <v>Sudáfrica</v>
      </c>
      <c r="H363" s="9" t="str">
        <f ca="1">+WORLDCUP!BD63</f>
        <v>Túnez</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Estados Unidos</v>
      </c>
      <c r="G364" s="9" t="str">
        <f ca="1">+WORLDCUP!BD58</f>
        <v>Sudáfrica</v>
      </c>
      <c r="H364" s="9" t="str">
        <f ca="1">+WORLDCUP!BD63</f>
        <v>Túnez</v>
      </c>
      <c r="I364" s="9" t="str">
        <f ca="1">+WORLDCUP!BD69</f>
        <v>Ghana</v>
      </c>
      <c r="J364" s="9" t="str">
        <f ca="1">+WORLDCUP!BD66</f>
        <v>Noruega</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Estados Unidos</v>
      </c>
      <c r="G365" s="9" t="str">
        <f ca="1">+WORLDCUP!BD58</f>
        <v>Sudáfrica</v>
      </c>
      <c r="H365" s="9" t="str">
        <f ca="1">+WORLDCUP!BD63</f>
        <v>Túnez</v>
      </c>
      <c r="I365" s="9" t="str">
        <f ca="1">+WORLDCUP!BD66</f>
        <v>Noruega</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Estados Unidos</v>
      </c>
      <c r="G366" s="9" t="str">
        <f ca="1">+WORLDCUP!BD58</f>
        <v>Sudáfrica</v>
      </c>
      <c r="H366" s="9" t="str">
        <f ca="1">+WORLDCUP!BD63</f>
        <v>Túnez</v>
      </c>
      <c r="I366" s="9" t="str">
        <f ca="1">+WORLDCUP!BD66</f>
        <v>Noruega</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Cabo Verde</v>
      </c>
      <c r="D367" s="9" t="str">
        <f ca="1">+WORLDCUP!BD64</f>
        <v>Irán</v>
      </c>
      <c r="E367" s="9" t="str">
        <f ca="1">+WORLDCUP!BD59</f>
        <v>Bosnia y Herzegovina</v>
      </c>
      <c r="F367" s="9" t="str">
        <f ca="1">+WORLDCUP!BD61</f>
        <v>Estados Unidos</v>
      </c>
      <c r="G367" s="9" t="str">
        <f ca="1">+WORLDCUP!BD58</f>
        <v>Sudáfrica</v>
      </c>
      <c r="H367" s="9" t="str">
        <f ca="1">+WORLDCUP!BD63</f>
        <v>Túnez</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Cabo Verde</v>
      </c>
      <c r="D368" s="9" t="str">
        <f ca="1">+WORLDCUP!BD64</f>
        <v>Irán</v>
      </c>
      <c r="E368" s="9" t="str">
        <f ca="1">+WORLDCUP!BD59</f>
        <v>Bosnia y Herzegovina</v>
      </c>
      <c r="F368" s="9" t="str">
        <f ca="1">+WORLDCUP!BD61</f>
        <v>Estados Unidos</v>
      </c>
      <c r="G368" s="9" t="str">
        <f ca="1">+WORLDCUP!BD58</f>
        <v>Sudáfrica</v>
      </c>
      <c r="H368" s="9" t="str">
        <f ca="1">+WORLDCUP!BD63</f>
        <v>Túnez</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Cabo Verde</v>
      </c>
      <c r="D369" s="9" t="str">
        <f ca="1">+WORLDCUP!BD64</f>
        <v>Irán</v>
      </c>
      <c r="E369" s="9" t="str">
        <f ca="1">+WORLDCUP!BD59</f>
        <v>Bosnia y Herzegovina</v>
      </c>
      <c r="F369" s="9" t="str">
        <f ca="1">+WORLDCUP!BD61</f>
        <v>Estados Unidos</v>
      </c>
      <c r="G369" s="9" t="str">
        <f ca="1">+WORLDCUP!BD58</f>
        <v>Sudáfrica</v>
      </c>
      <c r="H369" s="9" t="str">
        <f ca="1">+WORLDCUP!BD63</f>
        <v>Túnez</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Cabo Verde</v>
      </c>
      <c r="D370" s="9" t="str">
        <f ca="1">+WORLDCUP!BD64</f>
        <v>Irán</v>
      </c>
      <c r="E370" s="9" t="str">
        <f ca="1">+WORLDCUP!BD59</f>
        <v>Bosnia y Herzegovina</v>
      </c>
      <c r="F370" s="9" t="str">
        <f ca="1">+WORLDCUP!BD61</f>
        <v>Estados Unidos</v>
      </c>
      <c r="G370" s="9" t="str">
        <f ca="1">+WORLDCUP!BD58</f>
        <v>Sudáfrica</v>
      </c>
      <c r="H370" s="9" t="str">
        <f ca="1">+WORLDCUP!BD63</f>
        <v>Túnez</v>
      </c>
      <c r="I370" s="9" t="str">
        <f ca="1">+WORLDCUP!BD62</f>
        <v>Costa de Marfil</v>
      </c>
      <c r="J370" s="9" t="str">
        <f ca="1">+WORLDCUP!BD66</f>
        <v>Noruega</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Noruega</v>
      </c>
      <c r="D371" s="9" t="str">
        <f ca="1">+WORLDCUP!BD67</f>
        <v>Argelia</v>
      </c>
      <c r="E371" s="9" t="str">
        <f ca="1">+WORLDCUP!BD59</f>
        <v>Bosnia y Herzegovina</v>
      </c>
      <c r="F371" s="9" t="str">
        <f ca="1">+WORLDCUP!BD60</f>
        <v>Escocia</v>
      </c>
      <c r="G371" s="9" t="str">
        <f ca="1">+WORLDCUP!BD58</f>
        <v>Sudáfrica</v>
      </c>
      <c r="H371" s="9" t="str">
        <f ca="1">+WORLDCUP!BD65</f>
        <v>Cabo Verde</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Noruega</v>
      </c>
      <c r="D372" s="9" t="str">
        <f ca="1">+WORLDCUP!BD67</f>
        <v>Argelia</v>
      </c>
      <c r="E372" s="9" t="str">
        <f ca="1">+WORLDCUP!BD59</f>
        <v>Bosnia y Herzegovina</v>
      </c>
      <c r="F372" s="9" t="str">
        <f ca="1">+WORLDCUP!BD60</f>
        <v>Escocia</v>
      </c>
      <c r="G372" s="9" t="str">
        <f ca="1">+WORLDCUP!BD58</f>
        <v>Sudáfrica</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Sudáfrica</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Sudáfrica</v>
      </c>
      <c r="H374" s="9" t="str">
        <f ca="1">+WORLDCUP!BD65</f>
        <v>Cabo Verde</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Sudáfrica</v>
      </c>
      <c r="H375" s="9" t="str">
        <f ca="1">+WORLDCUP!BD64</f>
        <v>Irán</v>
      </c>
      <c r="I375" s="9" t="str">
        <f ca="1">+WORLDCUP!BD69</f>
        <v>Ghana</v>
      </c>
      <c r="J375" s="9" t="str">
        <f ca="1">+WORLDCUP!BD66</f>
        <v>Noruega</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Sudáfrica</v>
      </c>
      <c r="H376" s="9" t="str">
        <f ca="1">+WORLDCUP!BD64</f>
        <v>Irán</v>
      </c>
      <c r="I376" s="9" t="str">
        <f ca="1">+WORLDCUP!BD66</f>
        <v>Noruega</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Noruega</v>
      </c>
      <c r="D377" s="9" t="str">
        <f ca="1">+WORLDCUP!BD67</f>
        <v>Argelia</v>
      </c>
      <c r="E377" s="9" t="str">
        <f ca="1">+WORLDCUP!BD59</f>
        <v>Bosnia y Herzegovina</v>
      </c>
      <c r="F377" s="9" t="str">
        <f ca="1">+WORLDCUP!BD60</f>
        <v>Escocia</v>
      </c>
      <c r="G377" s="9" t="str">
        <f ca="1">+WORLDCUP!BD58</f>
        <v>Sudáfrica</v>
      </c>
      <c r="H377" s="9" t="str">
        <f ca="1">+WORLDCUP!BD63</f>
        <v>Túnez</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Sudáfrica</v>
      </c>
      <c r="H378" s="9" t="str">
        <f ca="1">+WORLDCUP!BD63</f>
        <v>Túnez</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Cabo Verde</v>
      </c>
      <c r="D379" s="9" t="str">
        <f ca="1">+WORLDCUP!BD66</f>
        <v>Noruega</v>
      </c>
      <c r="E379" s="9" t="str">
        <f ca="1">+WORLDCUP!BD59</f>
        <v>Bosnia y Herzegovina</v>
      </c>
      <c r="F379" s="9" t="str">
        <f ca="1">+WORLDCUP!BD60</f>
        <v>Escocia</v>
      </c>
      <c r="G379" s="9" t="str">
        <f ca="1">+WORLDCUP!BD58</f>
        <v>Sudáfrica</v>
      </c>
      <c r="H379" s="9" t="str">
        <f ca="1">+WORLDCUP!BD63</f>
        <v>Túnez</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Sudáfrica</v>
      </c>
      <c r="H380" s="9" t="str">
        <f ca="1">+WORLDCUP!BD63</f>
        <v>Túnez</v>
      </c>
      <c r="I380" s="9" t="str">
        <f ca="1">+WORLDCUP!BD69</f>
        <v>Ghana</v>
      </c>
      <c r="J380" s="9" t="str">
        <f ca="1">+WORLDCUP!BD66</f>
        <v>Noruega</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Sudáfrica</v>
      </c>
      <c r="H381" s="9" t="str">
        <f ca="1">+WORLDCUP!BD63</f>
        <v>Túnez</v>
      </c>
      <c r="I381" s="9" t="str">
        <f ca="1">+WORLDCUP!BD66</f>
        <v>Noruega</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Túnez</v>
      </c>
      <c r="G382" s="9" t="str">
        <f ca="1">+WORLDCUP!BD58</f>
        <v>Sudáfrica</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Sudáfrica</v>
      </c>
      <c r="H383" s="9" t="str">
        <f ca="1">+WORLDCUP!BD63</f>
        <v>Túnez</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Túnez</v>
      </c>
      <c r="G384" s="9" t="str">
        <f ca="1">+WORLDCUP!BD58</f>
        <v>Sudáfrica</v>
      </c>
      <c r="H384" s="9" t="str">
        <f ca="1">+WORLDCUP!BD64</f>
        <v>Irán</v>
      </c>
      <c r="I384" s="9" t="str">
        <f ca="1">+WORLDCUP!BD69</f>
        <v>Ghana</v>
      </c>
      <c r="J384" s="9" t="str">
        <f ca="1">+WORLDCUP!BD66</f>
        <v>Noruega</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Túnez</v>
      </c>
      <c r="G385" s="9" t="str">
        <f ca="1">+WORLDCUP!BD58</f>
        <v>Sudáfrica</v>
      </c>
      <c r="H385" s="9" t="str">
        <f ca="1">+WORLDCUP!BD64</f>
        <v>Irán</v>
      </c>
      <c r="I385" s="9" t="str">
        <f ca="1">+WORLDCUP!BD66</f>
        <v>Noruega</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Cabo Verde</v>
      </c>
      <c r="D386" s="9" t="str">
        <f ca="1">+WORLDCUP!BD64</f>
        <v>Irán</v>
      </c>
      <c r="E386" s="9" t="str">
        <f ca="1">+WORLDCUP!BD59</f>
        <v>Bosnia y Herzegovina</v>
      </c>
      <c r="F386" s="9" t="str">
        <f ca="1">+WORLDCUP!BD60</f>
        <v>Escocia</v>
      </c>
      <c r="G386" s="9" t="str">
        <f ca="1">+WORLDCUP!BD58</f>
        <v>Sudáfrica</v>
      </c>
      <c r="H386" s="9" t="str">
        <f ca="1">+WORLDCUP!BD63</f>
        <v>Túnez</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Cabo Verde</v>
      </c>
      <c r="D387" s="9" t="str">
        <f ca="1">+WORLDCUP!BD64</f>
        <v>Irán</v>
      </c>
      <c r="E387" s="9" t="str">
        <f ca="1">+WORLDCUP!BD59</f>
        <v>Bosnia y Herzegovina</v>
      </c>
      <c r="F387" s="9" t="str">
        <f ca="1">+WORLDCUP!BD60</f>
        <v>Escocia</v>
      </c>
      <c r="G387" s="9" t="str">
        <f ca="1">+WORLDCUP!BD58</f>
        <v>Sudáfrica</v>
      </c>
      <c r="H387" s="9" t="str">
        <f ca="1">+WORLDCUP!BD63</f>
        <v>Túnez</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Cabo Verde</v>
      </c>
      <c r="D388" s="9" t="str">
        <f ca="1">+WORLDCUP!BD64</f>
        <v>Irán</v>
      </c>
      <c r="E388" s="9" t="str">
        <f ca="1">+WORLDCUP!BD59</f>
        <v>Bosnia y Herzegovina</v>
      </c>
      <c r="F388" s="9" t="str">
        <f ca="1">+WORLDCUP!BD60</f>
        <v>Escocia</v>
      </c>
      <c r="G388" s="9" t="str">
        <f ca="1">+WORLDCUP!BD58</f>
        <v>Sudáfrica</v>
      </c>
      <c r="H388" s="9" t="str">
        <f ca="1">+WORLDCUP!BD63</f>
        <v>Túnez</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Cabo Verde</v>
      </c>
      <c r="D389" s="9" t="str">
        <f ca="1">+WORLDCUP!BD64</f>
        <v>Irán</v>
      </c>
      <c r="E389" s="9" t="str">
        <f ca="1">+WORLDCUP!BD59</f>
        <v>Bosnia y Herzegovina</v>
      </c>
      <c r="F389" s="9" t="str">
        <f ca="1">+WORLDCUP!BD60</f>
        <v>Escocia</v>
      </c>
      <c r="G389" s="9" t="str">
        <f ca="1">+WORLDCUP!BD58</f>
        <v>Sudáfrica</v>
      </c>
      <c r="H389" s="9" t="str">
        <f ca="1">+WORLDCUP!BD63</f>
        <v>Túnez</v>
      </c>
      <c r="I389" s="9" t="str">
        <f ca="1">+WORLDCUP!BD69</f>
        <v>Ghana</v>
      </c>
      <c r="J389" s="9" t="str">
        <f ca="1">+WORLDCUP!BD66</f>
        <v>Noruega</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Cabo Verde</v>
      </c>
      <c r="D390" s="9" t="str">
        <f ca="1">+WORLDCUP!BD64</f>
        <v>Irán</v>
      </c>
      <c r="E390" s="9" t="str">
        <f ca="1">+WORLDCUP!BD59</f>
        <v>Bosnia y Herzegovina</v>
      </c>
      <c r="F390" s="9" t="str">
        <f ca="1">+WORLDCUP!BD60</f>
        <v>Escocia</v>
      </c>
      <c r="G390" s="9" t="str">
        <f ca="1">+WORLDCUP!BD58</f>
        <v>Sudáfrica</v>
      </c>
      <c r="H390" s="9" t="str">
        <f ca="1">+WORLDCUP!BD63</f>
        <v>Túnez</v>
      </c>
      <c r="I390" s="9" t="str">
        <f ca="1">+WORLDCUP!BD66</f>
        <v>Noruega</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Cabo Verde</v>
      </c>
      <c r="D391" s="9" t="str">
        <f ca="1">+WORLDCUP!BD64</f>
        <v>Irán</v>
      </c>
      <c r="E391" s="9" t="str">
        <f ca="1">+WORLDCUP!BD59</f>
        <v>Bosnia y Herzegovina</v>
      </c>
      <c r="F391" s="9" t="str">
        <f ca="1">+WORLDCUP!BD60</f>
        <v>Escocia</v>
      </c>
      <c r="G391" s="9" t="str">
        <f ca="1">+WORLDCUP!BD58</f>
        <v>Sudáfrica</v>
      </c>
      <c r="H391" s="9" t="str">
        <f ca="1">+WORLDCUP!BD63</f>
        <v>Túnez</v>
      </c>
      <c r="I391" s="9" t="str">
        <f ca="1">+WORLDCUP!BD66</f>
        <v>Noruega</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Sudáfrica</v>
      </c>
      <c r="G392" s="9" t="str">
        <f ca="1">+WORLDCUP!BD66</f>
        <v>Noruega</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Sudáfrica</v>
      </c>
      <c r="H393" s="9" t="str">
        <f ca="1">+WORLDCUP!BD65</f>
        <v>Cabo Verde</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Sudáfrica</v>
      </c>
      <c r="H394" s="9" t="str">
        <f ca="1">+WORLDCUP!BD65</f>
        <v>Cabo Verde</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Sudáfrica</v>
      </c>
      <c r="H395" s="9" t="str">
        <f ca="1">+WORLDCUP!BD65</f>
        <v>Cabo Verde</v>
      </c>
      <c r="I395" s="9" t="str">
        <f ca="1">+WORLDCUP!BD69</f>
        <v>Ghana</v>
      </c>
      <c r="J395" s="9" t="str">
        <f ca="1">+WORLDCUP!BD66</f>
        <v>Noruega</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Sudáfrica</v>
      </c>
      <c r="H396" s="9" t="str">
        <f ca="1">+WORLDCUP!BD65</f>
        <v>Cabo Verde</v>
      </c>
      <c r="I396" s="9" t="str">
        <f ca="1">+WORLDCUP!BD66</f>
        <v>Noruega</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Sudáfrica</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Sudáfrica</v>
      </c>
      <c r="G398" s="9" t="str">
        <f ca="1">+WORLDCUP!BD66</f>
        <v>Noruega</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Sudáfrica</v>
      </c>
      <c r="H399" s="9" t="str">
        <f ca="1">+WORLDCUP!BD64</f>
        <v>Irán</v>
      </c>
      <c r="I399" s="9" t="str">
        <f ca="1">+WORLDCUP!BD69</f>
        <v>Ghana</v>
      </c>
      <c r="J399" s="9" t="str">
        <f ca="1">+WORLDCUP!BD66</f>
        <v>Noruega</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Sudáfrica</v>
      </c>
      <c r="H400" s="9" t="str">
        <f ca="1">+WORLDCUP!BD64</f>
        <v>Irán</v>
      </c>
      <c r="I400" s="9" t="str">
        <f ca="1">+WORLDCUP!BD66</f>
        <v>Noruega</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Sudáfrica</v>
      </c>
      <c r="H401" s="9" t="str">
        <f ca="1">+WORLDCUP!BD65</f>
        <v>Cabo Verde</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Sudáfrica</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Sudáfrica</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Sudáfrica</v>
      </c>
      <c r="H404" s="9" t="str">
        <f ca="1">+WORLDCUP!BD65</f>
        <v>Cabo Verde</v>
      </c>
      <c r="I404" s="9" t="str">
        <f ca="1">+WORLDCUP!BD69</f>
        <v>Ghana</v>
      </c>
      <c r="J404" s="9" t="str">
        <f ca="1">+WORLDCUP!BD66</f>
        <v>Noruega</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Sudáfrica</v>
      </c>
      <c r="H405" s="9" t="str">
        <f ca="1">+WORLDCUP!BD65</f>
        <v>Cabo Verde</v>
      </c>
      <c r="I405" s="9" t="str">
        <f ca="1">+WORLDCUP!BD66</f>
        <v>Noruega</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Sudáfrica</v>
      </c>
      <c r="H406" s="9" t="str">
        <f ca="1">+WORLDCUP!BD64</f>
        <v>Irán</v>
      </c>
      <c r="I406" s="9" t="str">
        <f ca="1">+WORLDCUP!BD62</f>
        <v>Costa de Marfil</v>
      </c>
      <c r="J406" s="9" t="str">
        <f ca="1">+WORLDCUP!BD66</f>
        <v>Noruega</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Sudáfrica</v>
      </c>
      <c r="H407" s="9" t="str">
        <f ca="1">+WORLDCUP!BD63</f>
        <v>Túnez</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Sudáfrica</v>
      </c>
      <c r="H408" s="9" t="str">
        <f ca="1">+WORLDCUP!BD63</f>
        <v>Túnez</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Sudáfrica</v>
      </c>
      <c r="H409" s="9" t="str">
        <f ca="1">+WORLDCUP!BD63</f>
        <v>Túnez</v>
      </c>
      <c r="I409" s="9" t="str">
        <f ca="1">+WORLDCUP!BD69</f>
        <v>Ghana</v>
      </c>
      <c r="J409" s="9" t="str">
        <f ca="1">+WORLDCUP!BD66</f>
        <v>Noruega</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Sudáfrica</v>
      </c>
      <c r="H410" s="9" t="str">
        <f ca="1">+WORLDCUP!BD63</f>
        <v>Túnez</v>
      </c>
      <c r="I410" s="9" t="str">
        <f ca="1">+WORLDCUP!BD66</f>
        <v>Noruega</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Cabo Verde</v>
      </c>
      <c r="D411" s="9" t="str">
        <f ca="1">+WORLDCUP!BD62</f>
        <v>Costa de Marfil</v>
      </c>
      <c r="E411" s="9" t="str">
        <f ca="1">+WORLDCUP!BD59</f>
        <v>Bosnia y Herzegovina</v>
      </c>
      <c r="F411" s="9" t="str">
        <f ca="1">+WORLDCUP!BD60</f>
        <v>Escocia</v>
      </c>
      <c r="G411" s="9" t="str">
        <f ca="1">+WORLDCUP!BD58</f>
        <v>Sudáfrica</v>
      </c>
      <c r="H411" s="9" t="str">
        <f ca="1">+WORLDCUP!BD63</f>
        <v>Túnez</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Sudáfrica</v>
      </c>
      <c r="H412" s="9" t="str">
        <f ca="1">+WORLDCUP!BD63</f>
        <v>Túnez</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Sudáfrica</v>
      </c>
      <c r="H413" s="9" t="str">
        <f ca="1">+WORLDCUP!BD63</f>
        <v>Túnez</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Cabo Verde</v>
      </c>
      <c r="D414" s="9" t="str">
        <f ca="1">+WORLDCUP!BD62</f>
        <v>Costa de Marfil</v>
      </c>
      <c r="E414" s="9" t="str">
        <f ca="1">+WORLDCUP!BD59</f>
        <v>Bosnia y Herzegovina</v>
      </c>
      <c r="F414" s="9" t="str">
        <f ca="1">+WORLDCUP!BD60</f>
        <v>Escocia</v>
      </c>
      <c r="G414" s="9" t="str">
        <f ca="1">+WORLDCUP!BD58</f>
        <v>Sudáfrica</v>
      </c>
      <c r="H414" s="9" t="str">
        <f ca="1">+WORLDCUP!BD63</f>
        <v>Túnez</v>
      </c>
      <c r="I414" s="9" t="str">
        <f ca="1">+WORLDCUP!BD69</f>
        <v>Ghana</v>
      </c>
      <c r="J414" s="9" t="str">
        <f ca="1">+WORLDCUP!BD66</f>
        <v>Noruega</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Cabo Verde</v>
      </c>
      <c r="D415" s="9" t="str">
        <f ca="1">+WORLDCUP!BD62</f>
        <v>Costa de Marfil</v>
      </c>
      <c r="E415" s="9" t="str">
        <f ca="1">+WORLDCUP!BD59</f>
        <v>Bosnia y Herzegovina</v>
      </c>
      <c r="F415" s="9" t="str">
        <f ca="1">+WORLDCUP!BD60</f>
        <v>Escocia</v>
      </c>
      <c r="G415" s="9" t="str">
        <f ca="1">+WORLDCUP!BD58</f>
        <v>Sudáfrica</v>
      </c>
      <c r="H415" s="9" t="str">
        <f ca="1">+WORLDCUP!BD63</f>
        <v>Túnez</v>
      </c>
      <c r="I415" s="9" t="str">
        <f ca="1">+WORLDCUP!BD66</f>
        <v>Noruega</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Sudáfrica</v>
      </c>
      <c r="H416" s="9" t="str">
        <f ca="1">+WORLDCUP!BD63</f>
        <v>Túnez</v>
      </c>
      <c r="I416" s="9" t="str">
        <f ca="1">+WORLDCUP!BD62</f>
        <v>Costa de Marfil</v>
      </c>
      <c r="J416" s="9" t="str">
        <f ca="1">+WORLDCUP!BD66</f>
        <v>Noruega</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Sudáfrica</v>
      </c>
      <c r="H417" s="9" t="str">
        <f ca="1">+WORLDCUP!BD63</f>
        <v>Túnez</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Sudáfrica</v>
      </c>
      <c r="H418" s="9" t="str">
        <f ca="1">+WORLDCUP!BD63</f>
        <v>Túnez</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Sudáfrica</v>
      </c>
      <c r="H419" s="9" t="str">
        <f ca="1">+WORLDCUP!BD63</f>
        <v>Túnez</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Sudáfrica</v>
      </c>
      <c r="H420" s="9" t="str">
        <f ca="1">+WORLDCUP!BD63</f>
        <v>Túnez</v>
      </c>
      <c r="I420" s="9" t="str">
        <f ca="1">+WORLDCUP!BD69</f>
        <v>Ghana</v>
      </c>
      <c r="J420" s="9" t="str">
        <f ca="1">+WORLDCUP!BD66</f>
        <v>Noruega</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Sudáfrica</v>
      </c>
      <c r="H421" s="9" t="str">
        <f ca="1">+WORLDCUP!BD63</f>
        <v>Túnez</v>
      </c>
      <c r="I421" s="9" t="str">
        <f ca="1">+WORLDCUP!BD66</f>
        <v>Noruega</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Sudáfrica</v>
      </c>
      <c r="H422" s="9" t="str">
        <f ca="1">+WORLDCUP!BD63</f>
        <v>Túnez</v>
      </c>
      <c r="I422" s="9" t="str">
        <f ca="1">+WORLDCUP!BD66</f>
        <v>Noruega</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Cabo Verde</v>
      </c>
      <c r="D423" s="9" t="str">
        <f ca="1">+WORLDCUP!BD64</f>
        <v>Irán</v>
      </c>
      <c r="E423" s="9" t="str">
        <f ca="1">+WORLDCUP!BD59</f>
        <v>Bosnia y Herzegovina</v>
      </c>
      <c r="F423" s="9" t="str">
        <f ca="1">+WORLDCUP!BD60</f>
        <v>Escocia</v>
      </c>
      <c r="G423" s="9" t="str">
        <f ca="1">+WORLDCUP!BD58</f>
        <v>Sudáfrica</v>
      </c>
      <c r="H423" s="9" t="str">
        <f ca="1">+WORLDCUP!BD63</f>
        <v>Túnez</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Cabo Verde</v>
      </c>
      <c r="D424" s="9" t="str">
        <f ca="1">+WORLDCUP!BD64</f>
        <v>Irán</v>
      </c>
      <c r="E424" s="9" t="str">
        <f ca="1">+WORLDCUP!BD59</f>
        <v>Bosnia y Herzegovina</v>
      </c>
      <c r="F424" s="9" t="str">
        <f ca="1">+WORLDCUP!BD60</f>
        <v>Escocia</v>
      </c>
      <c r="G424" s="9" t="str">
        <f ca="1">+WORLDCUP!BD58</f>
        <v>Sudáfrica</v>
      </c>
      <c r="H424" s="9" t="str">
        <f ca="1">+WORLDCUP!BD63</f>
        <v>Túnez</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Cabo Verde</v>
      </c>
      <c r="D425" s="9" t="str">
        <f ca="1">+WORLDCUP!BD64</f>
        <v>Irán</v>
      </c>
      <c r="E425" s="9" t="str">
        <f ca="1">+WORLDCUP!BD59</f>
        <v>Bosnia y Herzegovina</v>
      </c>
      <c r="F425" s="9" t="str">
        <f ca="1">+WORLDCUP!BD60</f>
        <v>Escocia</v>
      </c>
      <c r="G425" s="9" t="str">
        <f ca="1">+WORLDCUP!BD58</f>
        <v>Sudáfrica</v>
      </c>
      <c r="H425" s="9" t="str">
        <f ca="1">+WORLDCUP!BD63</f>
        <v>Túnez</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Cabo Verde</v>
      </c>
      <c r="D426" s="9" t="str">
        <f ca="1">+WORLDCUP!BD64</f>
        <v>Irán</v>
      </c>
      <c r="E426" s="9" t="str">
        <f ca="1">+WORLDCUP!BD59</f>
        <v>Bosnia y Herzegovina</v>
      </c>
      <c r="F426" s="9" t="str">
        <f ca="1">+WORLDCUP!BD60</f>
        <v>Escocia</v>
      </c>
      <c r="G426" s="9" t="str">
        <f ca="1">+WORLDCUP!BD58</f>
        <v>Sudáfrica</v>
      </c>
      <c r="H426" s="9" t="str">
        <f ca="1">+WORLDCUP!BD63</f>
        <v>Túnez</v>
      </c>
      <c r="I426" s="9" t="str">
        <f ca="1">+WORLDCUP!BD62</f>
        <v>Costa de Marfil</v>
      </c>
      <c r="J426" s="9" t="str">
        <f ca="1">+WORLDCUP!BD66</f>
        <v>Noruega</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Noruega</v>
      </c>
      <c r="D427" s="9" t="str">
        <f ca="1">+WORLDCUP!BD67</f>
        <v>Argelia</v>
      </c>
      <c r="E427" s="9" t="str">
        <f ca="1">+WORLDCUP!BD59</f>
        <v>Bosnia y Herzegovina</v>
      </c>
      <c r="F427" s="9" t="str">
        <f ca="1">+WORLDCUP!BD60</f>
        <v>Escocia</v>
      </c>
      <c r="G427" s="9" t="str">
        <f ca="1">+WORLDCUP!BD58</f>
        <v>Sudáfrica</v>
      </c>
      <c r="H427" s="9" t="str">
        <f ca="1">+WORLDCUP!BD61</f>
        <v>Estados Unidos</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Sudáfrica</v>
      </c>
      <c r="H428" s="9" t="str">
        <f ca="1">+WORLDCUP!BD61</f>
        <v>Estados Unidos</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Cabo Verde</v>
      </c>
      <c r="D429" s="9" t="str">
        <f ca="1">+WORLDCUP!BD66</f>
        <v>Noruega</v>
      </c>
      <c r="E429" s="9" t="str">
        <f ca="1">+WORLDCUP!BD59</f>
        <v>Bosnia y Herzegovina</v>
      </c>
      <c r="F429" s="9" t="str">
        <f ca="1">+WORLDCUP!BD60</f>
        <v>Escocia</v>
      </c>
      <c r="G429" s="9" t="str">
        <f ca="1">+WORLDCUP!BD58</f>
        <v>Sudáfrica</v>
      </c>
      <c r="H429" s="9" t="str">
        <f ca="1">+WORLDCUP!BD61</f>
        <v>Estados Unidos</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Sudáfrica</v>
      </c>
      <c r="H430" s="9" t="str">
        <f ca="1">+WORLDCUP!BD61</f>
        <v>Estados Unidos</v>
      </c>
      <c r="I430" s="9" t="str">
        <f ca="1">+WORLDCUP!BD69</f>
        <v>Ghana</v>
      </c>
      <c r="J430" s="9" t="str">
        <f ca="1">+WORLDCUP!BD66</f>
        <v>Noruega</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Sudáfrica</v>
      </c>
      <c r="H431" s="9" t="str">
        <f ca="1">+WORLDCUP!BD61</f>
        <v>Estados Unidos</v>
      </c>
      <c r="I431" s="9" t="str">
        <f ca="1">+WORLDCUP!BD66</f>
        <v>Noruega</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Estados Unidos</v>
      </c>
      <c r="G432" s="9" t="str">
        <f ca="1">+WORLDCUP!BD58</f>
        <v>Sudáfrica</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Sudáfrica</v>
      </c>
      <c r="H433" s="9" t="str">
        <f ca="1">+WORLDCUP!BD61</f>
        <v>Estados Unidos</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Estados Unidos</v>
      </c>
      <c r="G434" s="9" t="str">
        <f ca="1">+WORLDCUP!BD58</f>
        <v>Sudáfrica</v>
      </c>
      <c r="H434" s="9" t="str">
        <f ca="1">+WORLDCUP!BD64</f>
        <v>Irán</v>
      </c>
      <c r="I434" s="9" t="str">
        <f ca="1">+WORLDCUP!BD69</f>
        <v>Ghana</v>
      </c>
      <c r="J434" s="9" t="str">
        <f ca="1">+WORLDCUP!BD66</f>
        <v>Noruega</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Estados Unidos</v>
      </c>
      <c r="G435" s="9" t="str">
        <f ca="1">+WORLDCUP!BD58</f>
        <v>Sudáfrica</v>
      </c>
      <c r="H435" s="9" t="str">
        <f ca="1">+WORLDCUP!BD64</f>
        <v>Irán</v>
      </c>
      <c r="I435" s="9" t="str">
        <f ca="1">+WORLDCUP!BD66</f>
        <v>Noruega</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Cabo Verde</v>
      </c>
      <c r="D436" s="9" t="str">
        <f ca="1">+WORLDCUP!BD64</f>
        <v>Irán</v>
      </c>
      <c r="E436" s="9" t="str">
        <f ca="1">+WORLDCUP!BD59</f>
        <v>Bosnia y Herzegovina</v>
      </c>
      <c r="F436" s="9" t="str">
        <f ca="1">+WORLDCUP!BD60</f>
        <v>Escocia</v>
      </c>
      <c r="G436" s="9" t="str">
        <f ca="1">+WORLDCUP!BD58</f>
        <v>Sudáfrica</v>
      </c>
      <c r="H436" s="9" t="str">
        <f ca="1">+WORLDCUP!BD61</f>
        <v>Estados Unidos</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Cabo Verde</v>
      </c>
      <c r="D437" s="9" t="str">
        <f ca="1">+WORLDCUP!BD64</f>
        <v>Irán</v>
      </c>
      <c r="E437" s="9" t="str">
        <f ca="1">+WORLDCUP!BD59</f>
        <v>Bosnia y Herzegovina</v>
      </c>
      <c r="F437" s="9" t="str">
        <f ca="1">+WORLDCUP!BD60</f>
        <v>Escocia</v>
      </c>
      <c r="G437" s="9" t="str">
        <f ca="1">+WORLDCUP!BD58</f>
        <v>Sudáfrica</v>
      </c>
      <c r="H437" s="9" t="str">
        <f ca="1">+WORLDCUP!BD61</f>
        <v>Estados Unidos</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Cabo Verde</v>
      </c>
      <c r="D438" s="9" t="str">
        <f ca="1">+WORLDCUP!BD64</f>
        <v>Irán</v>
      </c>
      <c r="E438" s="9" t="str">
        <f ca="1">+WORLDCUP!BD59</f>
        <v>Bosnia y Herzegovina</v>
      </c>
      <c r="F438" s="9" t="str">
        <f ca="1">+WORLDCUP!BD60</f>
        <v>Escocia</v>
      </c>
      <c r="G438" s="9" t="str">
        <f ca="1">+WORLDCUP!BD58</f>
        <v>Sudáfrica</v>
      </c>
      <c r="H438" s="9" t="str">
        <f ca="1">+WORLDCUP!BD61</f>
        <v>Estados Unidos</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Cabo Verde</v>
      </c>
      <c r="D439" s="9" t="str">
        <f ca="1">+WORLDCUP!BD64</f>
        <v>Irán</v>
      </c>
      <c r="E439" s="9" t="str">
        <f ca="1">+WORLDCUP!BD59</f>
        <v>Bosnia y Herzegovina</v>
      </c>
      <c r="F439" s="9" t="str">
        <f ca="1">+WORLDCUP!BD60</f>
        <v>Escocia</v>
      </c>
      <c r="G439" s="9" t="str">
        <f ca="1">+WORLDCUP!BD58</f>
        <v>Sudáfrica</v>
      </c>
      <c r="H439" s="9" t="str">
        <f ca="1">+WORLDCUP!BD61</f>
        <v>Estados Unidos</v>
      </c>
      <c r="I439" s="9" t="str">
        <f ca="1">+WORLDCUP!BD69</f>
        <v>Ghana</v>
      </c>
      <c r="J439" s="9" t="str">
        <f ca="1">+WORLDCUP!BD66</f>
        <v>Noruega</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Cabo Verde</v>
      </c>
      <c r="D440" s="9" t="str">
        <f ca="1">+WORLDCUP!BD64</f>
        <v>Irán</v>
      </c>
      <c r="E440" s="9" t="str">
        <f ca="1">+WORLDCUP!BD59</f>
        <v>Bosnia y Herzegovina</v>
      </c>
      <c r="F440" s="9" t="str">
        <f ca="1">+WORLDCUP!BD60</f>
        <v>Escocia</v>
      </c>
      <c r="G440" s="9" t="str">
        <f ca="1">+WORLDCUP!BD58</f>
        <v>Sudáfrica</v>
      </c>
      <c r="H440" s="9" t="str">
        <f ca="1">+WORLDCUP!BD61</f>
        <v>Estados Unidos</v>
      </c>
      <c r="I440" s="9" t="str">
        <f ca="1">+WORLDCUP!BD66</f>
        <v>Noruega</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Cabo Verde</v>
      </c>
      <c r="D441" s="9" t="str">
        <f ca="1">+WORLDCUP!BD64</f>
        <v>Irán</v>
      </c>
      <c r="E441" s="9" t="str">
        <f ca="1">+WORLDCUP!BD59</f>
        <v>Bosnia y Herzegovina</v>
      </c>
      <c r="F441" s="9" t="str">
        <f ca="1">+WORLDCUP!BD60</f>
        <v>Escocia</v>
      </c>
      <c r="G441" s="9" t="str">
        <f ca="1">+WORLDCUP!BD58</f>
        <v>Sudáfrica</v>
      </c>
      <c r="H441" s="9" t="str">
        <f ca="1">+WORLDCUP!BD61</f>
        <v>Estados Unidos</v>
      </c>
      <c r="I441" s="9" t="str">
        <f ca="1">+WORLDCUP!BD66</f>
        <v>Noruega</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Estados Unidos</v>
      </c>
      <c r="G442" s="9" t="str">
        <f ca="1">+WORLDCUP!BD58</f>
        <v>Sudáfrica</v>
      </c>
      <c r="H442" s="9" t="str">
        <f ca="1">+WORLDCUP!BD63</f>
        <v>Túnez</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Noruega</v>
      </c>
      <c r="E443" s="9" t="str">
        <f ca="1">+WORLDCUP!BD59</f>
        <v>Bosnia y Herzegovina</v>
      </c>
      <c r="F443" s="9" t="str">
        <f ca="1">+WORLDCUP!BD61</f>
        <v>Estados Unidos</v>
      </c>
      <c r="G443" s="9" t="str">
        <f ca="1">+WORLDCUP!BD58</f>
        <v>Sudáfrica</v>
      </c>
      <c r="H443" s="9" t="str">
        <f ca="1">+WORLDCUP!BD63</f>
        <v>Túnez</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Estados Unidos</v>
      </c>
      <c r="G444" s="9" t="str">
        <f ca="1">+WORLDCUP!BD58</f>
        <v>Sudáfrica</v>
      </c>
      <c r="H444" s="9" t="str">
        <f ca="1">+WORLDCUP!BD63</f>
        <v>Túnez</v>
      </c>
      <c r="I444" s="9" t="str">
        <f ca="1">+WORLDCUP!BD69</f>
        <v>Ghana</v>
      </c>
      <c r="J444" s="9" t="str">
        <f ca="1">+WORLDCUP!BD66</f>
        <v>Noruega</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Estados Unidos</v>
      </c>
      <c r="G445" s="9" t="str">
        <f ca="1">+WORLDCUP!BD58</f>
        <v>Sudáfrica</v>
      </c>
      <c r="H445" s="9" t="str">
        <f ca="1">+WORLDCUP!BD63</f>
        <v>Túnez</v>
      </c>
      <c r="I445" s="9" t="str">
        <f ca="1">+WORLDCUP!BD66</f>
        <v>Noruega</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Cabo Verde</v>
      </c>
      <c r="D446" s="9" t="str">
        <f ca="1">+WORLDCUP!BD63</f>
        <v>Túnez</v>
      </c>
      <c r="E446" s="9" t="str">
        <f ca="1">+WORLDCUP!BD59</f>
        <v>Bosnia y Herzegovina</v>
      </c>
      <c r="F446" s="9" t="str">
        <f ca="1">+WORLDCUP!BD60</f>
        <v>Escocia</v>
      </c>
      <c r="G446" s="9" t="str">
        <f ca="1">+WORLDCUP!BD58</f>
        <v>Sudáfrica</v>
      </c>
      <c r="H446" s="9" t="str">
        <f ca="1">+WORLDCUP!BD61</f>
        <v>Estados Unidos</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Estados Unidos</v>
      </c>
      <c r="G447" s="9" t="str">
        <f ca="1">+WORLDCUP!BD58</f>
        <v>Sudáfrica</v>
      </c>
      <c r="H447" s="9" t="str">
        <f ca="1">+WORLDCUP!BD63</f>
        <v>Túnez</v>
      </c>
      <c r="I447" s="9" t="str">
        <f ca="1">+WORLDCUP!BD69</f>
        <v>Ghana</v>
      </c>
      <c r="J447" s="9" t="str">
        <f ca="1">+WORLDCUP!BD65</f>
        <v>Cabo Verde</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Sudáfrica</v>
      </c>
      <c r="H448" s="9" t="str">
        <f ca="1">+WORLDCUP!BD63</f>
        <v>Túnez</v>
      </c>
      <c r="I448" s="9" t="str">
        <f ca="1">+WORLDCUP!BD61</f>
        <v>Estados Unidos</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Cabo Verde</v>
      </c>
      <c r="D449" s="9" t="str">
        <f ca="1">+WORLDCUP!BD63</f>
        <v>Túnez</v>
      </c>
      <c r="E449" s="9" t="str">
        <f ca="1">+WORLDCUP!BD59</f>
        <v>Bosnia y Herzegovina</v>
      </c>
      <c r="F449" s="9" t="str">
        <f ca="1">+WORLDCUP!BD60</f>
        <v>Escocia</v>
      </c>
      <c r="G449" s="9" t="str">
        <f ca="1">+WORLDCUP!BD58</f>
        <v>Sudáfrica</v>
      </c>
      <c r="H449" s="9" t="str">
        <f ca="1">+WORLDCUP!BD61</f>
        <v>Estados Unidos</v>
      </c>
      <c r="I449" s="9" t="str">
        <f ca="1">+WORLDCUP!BD69</f>
        <v>Ghana</v>
      </c>
      <c r="J449" s="9" t="str">
        <f ca="1">+WORLDCUP!BD66</f>
        <v>Noruega</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Cabo Verde</v>
      </c>
      <c r="D450" s="9" t="str">
        <f ca="1">+WORLDCUP!BD63</f>
        <v>Túnez</v>
      </c>
      <c r="E450" s="9" t="str">
        <f ca="1">+WORLDCUP!BD59</f>
        <v>Bosnia y Herzegovina</v>
      </c>
      <c r="F450" s="9" t="str">
        <f ca="1">+WORLDCUP!BD60</f>
        <v>Escocia</v>
      </c>
      <c r="G450" s="9" t="str">
        <f ca="1">+WORLDCUP!BD58</f>
        <v>Sudáfrica</v>
      </c>
      <c r="H450" s="9" t="str">
        <f ca="1">+WORLDCUP!BD61</f>
        <v>Estados Unidos</v>
      </c>
      <c r="I450" s="9" t="str">
        <f ca="1">+WORLDCUP!BD66</f>
        <v>Noruega</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Sudáfrica</v>
      </c>
      <c r="H451" s="9" t="str">
        <f ca="1">+WORLDCUP!BD63</f>
        <v>Túnez</v>
      </c>
      <c r="I451" s="9" t="str">
        <f ca="1">+WORLDCUP!BD61</f>
        <v>Estados Unidos</v>
      </c>
      <c r="J451" s="9" t="str">
        <f ca="1">+WORLDCUP!BD66</f>
        <v>Noruega</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Estados Unidos</v>
      </c>
      <c r="G452" s="9" t="str">
        <f ca="1">+WORLDCUP!BD58</f>
        <v>Sudáfrica</v>
      </c>
      <c r="H452" s="9" t="str">
        <f ca="1">+WORLDCUP!BD63</f>
        <v>Túnez</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Estados Unidos</v>
      </c>
      <c r="G453" s="9" t="str">
        <f ca="1">+WORLDCUP!BD58</f>
        <v>Sudáfrica</v>
      </c>
      <c r="H453" s="9" t="str">
        <f ca="1">+WORLDCUP!BD63</f>
        <v>Túnez</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Estados Unidos</v>
      </c>
      <c r="G454" s="9" t="str">
        <f ca="1">+WORLDCUP!BD58</f>
        <v>Sudáfrica</v>
      </c>
      <c r="H454" s="9" t="str">
        <f ca="1">+WORLDCUP!BD63</f>
        <v>Túnez</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Estados Unidos</v>
      </c>
      <c r="G455" s="9" t="str">
        <f ca="1">+WORLDCUP!BD58</f>
        <v>Sudáfrica</v>
      </c>
      <c r="H455" s="9" t="str">
        <f ca="1">+WORLDCUP!BD63</f>
        <v>Túnez</v>
      </c>
      <c r="I455" s="9" t="str">
        <f ca="1">+WORLDCUP!BD69</f>
        <v>Ghana</v>
      </c>
      <c r="J455" s="9" t="str">
        <f ca="1">+WORLDCUP!BD66</f>
        <v>Noruega</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Estados Unidos</v>
      </c>
      <c r="G456" s="9" t="str">
        <f ca="1">+WORLDCUP!BD58</f>
        <v>Sudáfrica</v>
      </c>
      <c r="H456" s="9" t="str">
        <f ca="1">+WORLDCUP!BD63</f>
        <v>Túnez</v>
      </c>
      <c r="I456" s="9" t="str">
        <f ca="1">+WORLDCUP!BD66</f>
        <v>Noruega</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Estados Unidos</v>
      </c>
      <c r="G457" s="9" t="str">
        <f ca="1">+WORLDCUP!BD58</f>
        <v>Sudáfrica</v>
      </c>
      <c r="H457" s="9" t="str">
        <f ca="1">+WORLDCUP!BD63</f>
        <v>Túnez</v>
      </c>
      <c r="I457" s="9" t="str">
        <f ca="1">+WORLDCUP!BD66</f>
        <v>Noruega</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Estados Unidos</v>
      </c>
      <c r="G458" s="9" t="str">
        <f ca="1">+WORLDCUP!BD58</f>
        <v>Sudáfrica</v>
      </c>
      <c r="H458" s="9" t="str">
        <f ca="1">+WORLDCUP!BD63</f>
        <v>Túnez</v>
      </c>
      <c r="I458" s="9" t="str">
        <f ca="1">+WORLDCUP!BD69</f>
        <v>Ghana</v>
      </c>
      <c r="J458" s="9" t="str">
        <f ca="1">+WORLDCUP!BD65</f>
        <v>Cabo Verde</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Cabo Verde</v>
      </c>
      <c r="D459" s="9" t="str">
        <f ca="1">+WORLDCUP!BD64</f>
        <v>Irán</v>
      </c>
      <c r="E459" s="9" t="str">
        <f ca="1">+WORLDCUP!BD59</f>
        <v>Bosnia y Herzegovina</v>
      </c>
      <c r="F459" s="9" t="str">
        <f ca="1">+WORLDCUP!BD60</f>
        <v>Escocia</v>
      </c>
      <c r="G459" s="9" t="str">
        <f ca="1">+WORLDCUP!BD58</f>
        <v>Sudáfrica</v>
      </c>
      <c r="H459" s="9" t="str">
        <f ca="1">+WORLDCUP!BD63</f>
        <v>Túnez</v>
      </c>
      <c r="I459" s="9" t="str">
        <f ca="1">+WORLDCUP!BD61</f>
        <v>Estados Unidos</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Cabo Verde</v>
      </c>
      <c r="D460" s="9" t="str">
        <f ca="1">+WORLDCUP!BD64</f>
        <v>Irán</v>
      </c>
      <c r="E460" s="9" t="str">
        <f ca="1">+WORLDCUP!BD59</f>
        <v>Bosnia y Herzegovina</v>
      </c>
      <c r="F460" s="9" t="str">
        <f ca="1">+WORLDCUP!BD60</f>
        <v>Escocia</v>
      </c>
      <c r="G460" s="9" t="str">
        <f ca="1">+WORLDCUP!BD58</f>
        <v>Sudáfrica</v>
      </c>
      <c r="H460" s="9" t="str">
        <f ca="1">+WORLDCUP!BD63</f>
        <v>Túnez</v>
      </c>
      <c r="I460" s="9" t="str">
        <f ca="1">+WORLDCUP!BD61</f>
        <v>Estados Unidos</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Cabo Verde</v>
      </c>
      <c r="D461" s="9" t="str">
        <f ca="1">+WORLDCUP!BD64</f>
        <v>Irán</v>
      </c>
      <c r="E461" s="9" t="str">
        <f ca="1">+WORLDCUP!BD59</f>
        <v>Bosnia y Herzegovina</v>
      </c>
      <c r="F461" s="9" t="str">
        <f ca="1">+WORLDCUP!BD60</f>
        <v>Escocia</v>
      </c>
      <c r="G461" s="9" t="str">
        <f ca="1">+WORLDCUP!BD58</f>
        <v>Sudáfrica</v>
      </c>
      <c r="H461" s="9" t="str">
        <f ca="1">+WORLDCUP!BD63</f>
        <v>Túnez</v>
      </c>
      <c r="I461" s="9" t="str">
        <f ca="1">+WORLDCUP!BD61</f>
        <v>Estados Unidos</v>
      </c>
      <c r="J461" s="9" t="str">
        <f ca="1">+WORLDCUP!BD66</f>
        <v>Noruega</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Sudáfrica</v>
      </c>
      <c r="H462" s="9" t="str">
        <f ca="1">+WORLDCUP!BD61</f>
        <v>Estados Unidos</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Sudáfrica</v>
      </c>
      <c r="H463" s="9" t="str">
        <f ca="1">+WORLDCUP!BD61</f>
        <v>Estados Unidos</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Sudáfrica</v>
      </c>
      <c r="H464" s="9" t="str">
        <f ca="1">+WORLDCUP!BD61</f>
        <v>Estados Unidos</v>
      </c>
      <c r="I464" s="9" t="str">
        <f ca="1">+WORLDCUP!BD69</f>
        <v>Ghana</v>
      </c>
      <c r="J464" s="9" t="str">
        <f ca="1">+WORLDCUP!BD66</f>
        <v>Noruega</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Sudáfrica</v>
      </c>
      <c r="H465" s="9" t="str">
        <f ca="1">+WORLDCUP!BD61</f>
        <v>Estados Unidos</v>
      </c>
      <c r="I465" s="9" t="str">
        <f ca="1">+WORLDCUP!BD66</f>
        <v>Noruega</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Cabo Verde</v>
      </c>
      <c r="D466" s="9" t="str">
        <f ca="1">+WORLDCUP!BD62</f>
        <v>Costa de Marfil</v>
      </c>
      <c r="E466" s="9" t="str">
        <f ca="1">+WORLDCUP!BD59</f>
        <v>Bosnia y Herzegovina</v>
      </c>
      <c r="F466" s="9" t="str">
        <f ca="1">+WORLDCUP!BD60</f>
        <v>Escocia</v>
      </c>
      <c r="G466" s="9" t="str">
        <f ca="1">+WORLDCUP!BD58</f>
        <v>Sudáfrica</v>
      </c>
      <c r="H466" s="9" t="str">
        <f ca="1">+WORLDCUP!BD61</f>
        <v>Estados Unidos</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1</v>
      </c>
      <c r="C467" s="9" t="str">
        <f ca="1">+WORLDCUP!BD65</f>
        <v>Cabo Verde</v>
      </c>
      <c r="D467" s="9" t="str">
        <f ca="1">+WORLDCUP!BD67</f>
        <v>Argelia</v>
      </c>
      <c r="E467" s="9" t="str">
        <f ca="1">+WORLDCUP!BD59</f>
        <v>Bosnia y Herzegovina</v>
      </c>
      <c r="F467" s="9" t="str">
        <f ca="1">+WORLDCUP!BD60</f>
        <v>Escocia</v>
      </c>
      <c r="G467" s="9" t="str">
        <f ca="1">+WORLDCUP!BD58</f>
        <v>Sudáfrica</v>
      </c>
      <c r="H467" s="9" t="str">
        <f ca="1">+WORLDCUP!BD61</f>
        <v>Estados Unidos</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Sudáfrica</v>
      </c>
      <c r="H468" s="9" t="str">
        <f ca="1">+WORLDCUP!BD61</f>
        <v>Estados Unidos</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Cabo Verde</v>
      </c>
      <c r="D469" s="9" t="str">
        <f ca="1">+WORLDCUP!BD62</f>
        <v>Costa de Marfil</v>
      </c>
      <c r="E469" s="9" t="str">
        <f ca="1">+WORLDCUP!BD59</f>
        <v>Bosnia y Herzegovina</v>
      </c>
      <c r="F469" s="9" t="str">
        <f ca="1">+WORLDCUP!BD60</f>
        <v>Escocia</v>
      </c>
      <c r="G469" s="9" t="str">
        <f ca="1">+WORLDCUP!BD58</f>
        <v>Sudáfrica</v>
      </c>
      <c r="H469" s="9" t="str">
        <f ca="1">+WORLDCUP!BD61</f>
        <v>Estados Unidos</v>
      </c>
      <c r="I469" s="9" t="str">
        <f ca="1">+WORLDCUP!BD69</f>
        <v>Ghana</v>
      </c>
      <c r="J469" s="9" t="str">
        <f ca="1">+WORLDCUP!BD66</f>
        <v>Noruega</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Cabo Verde</v>
      </c>
      <c r="D470" s="9" t="str">
        <f ca="1">+WORLDCUP!BD62</f>
        <v>Costa de Marfil</v>
      </c>
      <c r="E470" s="9" t="str">
        <f ca="1">+WORLDCUP!BD59</f>
        <v>Bosnia y Herzegovina</v>
      </c>
      <c r="F470" s="9" t="str">
        <f ca="1">+WORLDCUP!BD60</f>
        <v>Escocia</v>
      </c>
      <c r="G470" s="9" t="str">
        <f ca="1">+WORLDCUP!BD58</f>
        <v>Sudáfrica</v>
      </c>
      <c r="H470" s="9" t="str">
        <f ca="1">+WORLDCUP!BD61</f>
        <v>Estados Unidos</v>
      </c>
      <c r="I470" s="9" t="str">
        <f ca="1">+WORLDCUP!BD66</f>
        <v>Noruega</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Sudáfrica</v>
      </c>
      <c r="H471" s="9" t="str">
        <f ca="1">+WORLDCUP!BD61</f>
        <v>Estados Unidos</v>
      </c>
      <c r="I471" s="9" t="str">
        <f ca="1">+WORLDCUP!BD62</f>
        <v>Costa de Marfil</v>
      </c>
      <c r="J471" s="9" t="str">
        <f ca="1">+WORLDCUP!BD66</f>
        <v>Noruega</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Sudáfrica</v>
      </c>
      <c r="H472" s="9" t="str">
        <f ca="1">+WORLDCUP!BD61</f>
        <v>Estados Unidos</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Sudáfrica</v>
      </c>
      <c r="H473" s="9" t="str">
        <f ca="1">+WORLDCUP!BD61</f>
        <v>Estados Unidos</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Sudáfrica</v>
      </c>
      <c r="H474" s="9" t="str">
        <f ca="1">+WORLDCUP!BD61</f>
        <v>Estados Unidos</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Sudáfrica</v>
      </c>
      <c r="H475" s="9" t="str">
        <f ca="1">+WORLDCUP!BD61</f>
        <v>Estados Unidos</v>
      </c>
      <c r="I475" s="9" t="str">
        <f ca="1">+WORLDCUP!BD69</f>
        <v>Ghana</v>
      </c>
      <c r="J475" s="9" t="str">
        <f ca="1">+WORLDCUP!BD66</f>
        <v>Noruega</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Sudáfrica</v>
      </c>
      <c r="H476" s="9" t="str">
        <f ca="1">+WORLDCUP!BD61</f>
        <v>Estados Unidos</v>
      </c>
      <c r="I476" s="9" t="str">
        <f ca="1">+WORLDCUP!BD66</f>
        <v>Noruega</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Sudáfrica</v>
      </c>
      <c r="H477" s="9" t="str">
        <f ca="1">+WORLDCUP!BD61</f>
        <v>Estados Unidos</v>
      </c>
      <c r="I477" s="9" t="str">
        <f ca="1">+WORLDCUP!BD66</f>
        <v>Noruega</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Cabo Verde</v>
      </c>
      <c r="D478" s="9" t="str">
        <f ca="1">+WORLDCUP!BD64</f>
        <v>Irán</v>
      </c>
      <c r="E478" s="9" t="str">
        <f ca="1">+WORLDCUP!BD59</f>
        <v>Bosnia y Herzegovina</v>
      </c>
      <c r="F478" s="9" t="str">
        <f ca="1">+WORLDCUP!BD60</f>
        <v>Escocia</v>
      </c>
      <c r="G478" s="9" t="str">
        <f ca="1">+WORLDCUP!BD58</f>
        <v>Sudáfrica</v>
      </c>
      <c r="H478" s="9" t="str">
        <f ca="1">+WORLDCUP!BD61</f>
        <v>Estados Unidos</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Cabo Verde</v>
      </c>
      <c r="D479" s="9" t="str">
        <f ca="1">+WORLDCUP!BD64</f>
        <v>Irán</v>
      </c>
      <c r="E479" s="9" t="str">
        <f ca="1">+WORLDCUP!BD59</f>
        <v>Bosnia y Herzegovina</v>
      </c>
      <c r="F479" s="9" t="str">
        <f ca="1">+WORLDCUP!BD60</f>
        <v>Escocia</v>
      </c>
      <c r="G479" s="9" t="str">
        <f ca="1">+WORLDCUP!BD58</f>
        <v>Sudáfrica</v>
      </c>
      <c r="H479" s="9" t="str">
        <f ca="1">+WORLDCUP!BD61</f>
        <v>Estados Unidos</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Cabo Verde</v>
      </c>
      <c r="D480" s="9" t="str">
        <f ca="1">+WORLDCUP!BD64</f>
        <v>Irán</v>
      </c>
      <c r="E480" s="9" t="str">
        <f ca="1">+WORLDCUP!BD59</f>
        <v>Bosnia y Herzegovina</v>
      </c>
      <c r="F480" s="9" t="str">
        <f ca="1">+WORLDCUP!BD60</f>
        <v>Escocia</v>
      </c>
      <c r="G480" s="9" t="str">
        <f ca="1">+WORLDCUP!BD58</f>
        <v>Sudáfrica</v>
      </c>
      <c r="H480" s="9" t="str">
        <f ca="1">+WORLDCUP!BD61</f>
        <v>Estados Unidos</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Cabo Verde</v>
      </c>
      <c r="D481" s="9" t="str">
        <f ca="1">+WORLDCUP!BD64</f>
        <v>Irán</v>
      </c>
      <c r="E481" s="9" t="str">
        <f ca="1">+WORLDCUP!BD59</f>
        <v>Bosnia y Herzegovina</v>
      </c>
      <c r="F481" s="9" t="str">
        <f ca="1">+WORLDCUP!BD60</f>
        <v>Escocia</v>
      </c>
      <c r="G481" s="9" t="str">
        <f ca="1">+WORLDCUP!BD58</f>
        <v>Sudáfrica</v>
      </c>
      <c r="H481" s="9" t="str">
        <f ca="1">+WORLDCUP!BD61</f>
        <v>Estados Unidos</v>
      </c>
      <c r="I481" s="9" t="str">
        <f ca="1">+WORLDCUP!BD62</f>
        <v>Costa de Marfil</v>
      </c>
      <c r="J481" s="9" t="str">
        <f ca="1">+WORLDCUP!BD66</f>
        <v>Noruega</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Estados Unidos</v>
      </c>
      <c r="G482" s="9" t="str">
        <f ca="1">+WORLDCUP!BD58</f>
        <v>Sudáfrica</v>
      </c>
      <c r="H482" s="9" t="str">
        <f ca="1">+WORLDCUP!BD63</f>
        <v>Túnez</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Estados Unidos</v>
      </c>
      <c r="G483" s="9" t="str">
        <f ca="1">+WORLDCUP!BD58</f>
        <v>Sudáfrica</v>
      </c>
      <c r="H483" s="9" t="str">
        <f ca="1">+WORLDCUP!BD63</f>
        <v>Túnez</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Estados Unidos</v>
      </c>
      <c r="G484" s="9" t="str">
        <f ca="1">+WORLDCUP!BD58</f>
        <v>Sudáfrica</v>
      </c>
      <c r="H484" s="9" t="str">
        <f ca="1">+WORLDCUP!BD63</f>
        <v>Túnez</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Estados Unidos</v>
      </c>
      <c r="G485" s="9" t="str">
        <f ca="1">+WORLDCUP!BD58</f>
        <v>Sudáfrica</v>
      </c>
      <c r="H485" s="9" t="str">
        <f ca="1">+WORLDCUP!BD63</f>
        <v>Túnez</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Estados Unidos</v>
      </c>
      <c r="G486" s="9" t="str">
        <f ca="1">+WORLDCUP!BD58</f>
        <v>Sudáfrica</v>
      </c>
      <c r="H486" s="9" t="str">
        <f ca="1">+WORLDCUP!BD63</f>
        <v>Túnez</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Estados Unidos</v>
      </c>
      <c r="G487" s="9" t="str">
        <f ca="1">+WORLDCUP!BD58</f>
        <v>Sudáfrica</v>
      </c>
      <c r="H487" s="9" t="str">
        <f ca="1">+WORLDCUP!BD63</f>
        <v>Túnez</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Túnez</v>
      </c>
      <c r="E488" s="9" t="str">
        <f ca="1">+WORLDCUP!BD59</f>
        <v>Bosnia y Herzegovina</v>
      </c>
      <c r="F488" s="9" t="str">
        <f ca="1">+WORLDCUP!BD60</f>
        <v>Escocia</v>
      </c>
      <c r="G488" s="9" t="str">
        <f ca="1">+WORLDCUP!BD58</f>
        <v>Sudáfrica</v>
      </c>
      <c r="H488" s="9" t="str">
        <f ca="1">+WORLDCUP!BD61</f>
        <v>Estados Unidos</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Costa de Marfil</v>
      </c>
      <c r="E489" s="9" t="str">
        <f ca="1">+WORLDCUP!BD59</f>
        <v>Bosnia y Herzegovina</v>
      </c>
      <c r="F489" s="9" t="str">
        <f ca="1">+WORLDCUP!BD60</f>
        <v>Escocia</v>
      </c>
      <c r="G489" s="9" t="str">
        <f ca="1">+WORLDCUP!BD58</f>
        <v>Sudáfrica</v>
      </c>
      <c r="H489" s="9" t="str">
        <f ca="1">+WORLDCUP!BD63</f>
        <v>Túnez</v>
      </c>
      <c r="I489" s="9" t="str">
        <f ca="1">+WORLDCUP!BD61</f>
        <v>Estados Unidos</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Sudáfrica</v>
      </c>
      <c r="H490" s="9" t="str">
        <f ca="1">+WORLDCUP!BD63</f>
        <v>Túnez</v>
      </c>
      <c r="I490" s="9" t="str">
        <f ca="1">+WORLDCUP!BD61</f>
        <v>Estados Unidos</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Costa de Marfil</v>
      </c>
      <c r="E491" s="9" t="str">
        <f ca="1">+WORLDCUP!BD59</f>
        <v>Bosnia y Herzegovina</v>
      </c>
      <c r="F491" s="9" t="str">
        <f ca="1">+WORLDCUP!BD60</f>
        <v>Escocia</v>
      </c>
      <c r="G491" s="9" t="str">
        <f ca="1">+WORLDCUP!BD58</f>
        <v>Sudáfrica</v>
      </c>
      <c r="H491" s="9" t="str">
        <f ca="1">+WORLDCUP!BD63</f>
        <v>Túnez</v>
      </c>
      <c r="I491" s="9" t="str">
        <f ca="1">+WORLDCUP!BD61</f>
        <v>Estados Unidos</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Estados Unidos</v>
      </c>
      <c r="G492" s="9" t="str">
        <f ca="1">+WORLDCUP!BD58</f>
        <v>Sudáfrica</v>
      </c>
      <c r="H492" s="9" t="str">
        <f ca="1">+WORLDCUP!BD63</f>
        <v>Túnez</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Estados Unidos</v>
      </c>
      <c r="G493" s="9" t="str">
        <f ca="1">+WORLDCUP!BD58</f>
        <v>Sudáfrica</v>
      </c>
      <c r="H493" s="9" t="str">
        <f ca="1">+WORLDCUP!BD63</f>
        <v>Túnez</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Estados Unidos</v>
      </c>
      <c r="G494" s="9" t="str">
        <f ca="1">+WORLDCUP!BD58</f>
        <v>Sudáfrica</v>
      </c>
      <c r="H494" s="9" t="str">
        <f ca="1">+WORLDCUP!BD63</f>
        <v>Túnez</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Estados Unidos</v>
      </c>
      <c r="G495" s="9" t="str">
        <f ca="1">+WORLDCUP!BD58</f>
        <v>Sudáfrica</v>
      </c>
      <c r="H495" s="9" t="str">
        <f ca="1">+WORLDCUP!BD63</f>
        <v>Túnez</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Irán</v>
      </c>
      <c r="E496" s="9" t="str">
        <f ca="1">+WORLDCUP!BD59</f>
        <v>Bosnia y Herzegovina</v>
      </c>
      <c r="F496" s="9" t="str">
        <f ca="1">+WORLDCUP!BD60</f>
        <v>Escocia</v>
      </c>
      <c r="G496" s="9" t="str">
        <f ca="1">+WORLDCUP!BD58</f>
        <v>Sudáfrica</v>
      </c>
      <c r="H496" s="9" t="str">
        <f ca="1">+WORLDCUP!BD63</f>
        <v>Túnez</v>
      </c>
      <c r="I496" s="9" t="str">
        <f ca="1">+WORLDCUP!BD61</f>
        <v>Estados Unidos</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08984375" style="5" customWidth="1"/>
    <col min="13" max="13" width="10.81640625" style="5"/>
    <col min="14" max="17" width="15.81640625" style="5" customWidth="1"/>
    <col min="18" max="18" width="22.81640625" style="5" customWidth="1"/>
    <col min="20" max="20" width="10.81640625" style="16"/>
    <col min="21" max="22" width="10.81640625" style="558"/>
    <col min="23" max="24" width="10.81640625" style="558" hidden="1" customWidth="1"/>
    <col min="25" max="25" width="10.81640625" style="558"/>
    <col min="26" max="28" width="10.81640625" style="383"/>
    <col min="29" max="149" width="10.81640625" style="5"/>
    <col min="150" max="158" width="10.81640625" style="383"/>
    <col min="159" max="16384" width="10.8164062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9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1"/>
      <c r="D3" s="691"/>
      <c r="E3" s="691"/>
      <c r="F3" s="691"/>
      <c r="G3" s="691"/>
      <c r="H3" s="691"/>
      <c r="I3" s="691"/>
      <c r="J3" s="692"/>
      <c r="K3" s="212"/>
      <c r="L3" s="321"/>
      <c r="M3" s="322"/>
      <c r="N3" s="322"/>
      <c r="O3" s="322"/>
      <c r="P3" s="322"/>
      <c r="Q3" s="322"/>
      <c r="R3" s="323"/>
    </row>
    <row r="4" spans="1:18">
      <c r="A4" s="211"/>
      <c r="B4" s="693"/>
      <c r="C4" s="694"/>
      <c r="D4" s="694"/>
      <c r="E4" s="694"/>
      <c r="F4" s="694"/>
      <c r="G4" s="694"/>
      <c r="H4" s="694"/>
      <c r="I4" s="694"/>
      <c r="J4" s="695"/>
      <c r="K4" s="212"/>
      <c r="L4" s="320" t="str">
        <f>+Idiomas!D84</f>
        <v>· Selecciona el idioma y la zona horaria</v>
      </c>
      <c r="M4" s="223"/>
      <c r="N4" s="223"/>
      <c r="O4" s="223"/>
      <c r="P4" s="223"/>
      <c r="Q4" s="223"/>
      <c r="R4" s="324"/>
    </row>
    <row r="5" spans="1:18">
      <c r="A5" s="211"/>
      <c r="B5" s="693"/>
      <c r="C5" s="694"/>
      <c r="D5" s="694"/>
      <c r="E5" s="694"/>
      <c r="F5" s="694"/>
      <c r="G5" s="694"/>
      <c r="H5" s="694"/>
      <c r="I5" s="694"/>
      <c r="J5" s="695"/>
      <c r="K5" s="212"/>
      <c r="L5" s="320" t="str">
        <f>+Idiomas!D85</f>
        <v>· Si vas a participar en una porra escribe tu nombre</v>
      </c>
      <c r="M5" s="223"/>
      <c r="N5" s="223"/>
      <c r="O5" s="223"/>
      <c r="P5" s="223"/>
      <c r="Q5" s="223"/>
      <c r="R5" s="324"/>
    </row>
    <row r="6" spans="1:18">
      <c r="A6" s="211"/>
      <c r="B6" s="693"/>
      <c r="C6" s="694"/>
      <c r="D6" s="694"/>
      <c r="E6" s="694"/>
      <c r="F6" s="694"/>
      <c r="G6" s="694"/>
      <c r="H6" s="694"/>
      <c r="I6" s="694"/>
      <c r="J6" s="695"/>
      <c r="K6" s="212"/>
      <c r="L6" s="320" t="str">
        <f>+Idiomas!D86</f>
        <v>· Si vas a organizar una porra, puedes descargar el archivo excel de administración desde aquí</v>
      </c>
      <c r="M6" s="223"/>
      <c r="N6" s="223"/>
      <c r="O6" s="223"/>
      <c r="P6" s="223"/>
      <c r="Q6" s="223"/>
      <c r="R6" s="324"/>
    </row>
    <row r="7" spans="1:18">
      <c r="A7" s="211"/>
      <c r="B7" s="693"/>
      <c r="C7" s="694"/>
      <c r="D7" s="694"/>
      <c r="E7" s="694"/>
      <c r="F7" s="694"/>
      <c r="G7" s="694"/>
      <c r="H7" s="694"/>
      <c r="I7" s="694"/>
      <c r="J7" s="695"/>
      <c r="K7" s="212"/>
      <c r="L7" s="325"/>
      <c r="M7" s="326"/>
      <c r="N7" s="326"/>
      <c r="O7" s="326"/>
      <c r="P7" s="326"/>
      <c r="Q7" s="326"/>
      <c r="R7" s="327"/>
    </row>
    <row r="8" spans="1:18">
      <c r="A8" s="211"/>
      <c r="B8" s="693"/>
      <c r="C8" s="694"/>
      <c r="D8" s="694"/>
      <c r="E8" s="694"/>
      <c r="F8" s="694"/>
      <c r="G8" s="694"/>
      <c r="H8" s="694"/>
      <c r="I8" s="694"/>
      <c r="J8" s="695"/>
      <c r="K8" s="212"/>
      <c r="L8"/>
      <c r="M8"/>
      <c r="N8"/>
      <c r="O8"/>
      <c r="P8"/>
      <c r="Q8"/>
      <c r="R8"/>
    </row>
    <row r="9" spans="1:18">
      <c r="A9" s="211"/>
      <c r="B9" s="693"/>
      <c r="C9" s="694"/>
      <c r="D9" s="694"/>
      <c r="E9" s="694"/>
      <c r="F9" s="694"/>
      <c r="G9" s="694"/>
      <c r="H9" s="694"/>
      <c r="I9" s="694"/>
      <c r="J9" s="695"/>
      <c r="K9" s="212"/>
      <c r="L9" s="250" t="s">
        <v>490</v>
      </c>
      <c r="M9"/>
      <c r="N9"/>
      <c r="O9"/>
      <c r="P9"/>
      <c r="Q9"/>
      <c r="R9"/>
    </row>
    <row r="10" spans="1:18">
      <c r="A10" s="211"/>
      <c r="B10" s="693"/>
      <c r="C10" s="694"/>
      <c r="D10" s="694"/>
      <c r="E10" s="694"/>
      <c r="F10" s="694"/>
      <c r="G10" s="694"/>
      <c r="H10" s="694"/>
      <c r="I10" s="694"/>
      <c r="J10" s="695"/>
      <c r="K10" s="212"/>
      <c r="L10" s="321"/>
      <c r="M10" s="322"/>
      <c r="N10" s="322"/>
      <c r="O10" s="322"/>
      <c r="P10" s="322"/>
      <c r="Q10" s="322"/>
      <c r="R10" s="323"/>
    </row>
    <row r="11" spans="1:18">
      <c r="A11" s="211"/>
      <c r="B11" s="693"/>
      <c r="C11" s="694"/>
      <c r="D11" s="694"/>
      <c r="E11" s="694"/>
      <c r="F11" s="694"/>
      <c r="G11" s="694"/>
      <c r="H11" s="694"/>
      <c r="I11" s="694"/>
      <c r="J11" s="695"/>
      <c r="K11" s="212"/>
      <c r="L11" s="320" t="str">
        <f>+Idiomas!D87</f>
        <v>· Rellena los cuadros grises con los resultados de la fase de grupos para cada grupo</v>
      </c>
      <c r="M11" s="223"/>
      <c r="N11" s="223"/>
      <c r="O11" s="223"/>
      <c r="P11" s="223"/>
      <c r="Q11" s="223"/>
      <c r="R11" s="324"/>
    </row>
    <row r="12" spans="1:18">
      <c r="A12" s="211"/>
      <c r="B12" s="696"/>
      <c r="C12" s="697"/>
      <c r="D12" s="697"/>
      <c r="E12" s="697"/>
      <c r="F12" s="697"/>
      <c r="G12" s="697"/>
      <c r="H12" s="697"/>
      <c r="I12" s="697"/>
      <c r="J12" s="698"/>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 customHeight="1" thickBot="1">
      <c r="A34" s="212"/>
      <c r="B34" s="699" t="str">
        <f>HYPERLINK(Idiomas!D10,Idiomas!D9)</f>
        <v>▼ Descargar Excel Administrador Porra ▼</v>
      </c>
      <c r="C34" s="700"/>
      <c r="D34" s="700"/>
      <c r="E34" s="700"/>
      <c r="F34" s="700"/>
      <c r="G34" s="700"/>
      <c r="H34" s="700"/>
      <c r="I34" s="700"/>
      <c r="J34" s="701"/>
      <c r="K34" s="212"/>
      <c r="L34" s="272" t="s">
        <v>1351</v>
      </c>
    </row>
    <row r="35" spans="1:17">
      <c r="A35" s="212"/>
      <c r="C35" s="212"/>
      <c r="D35" s="212"/>
      <c r="E35" s="212"/>
      <c r="F35" s="212"/>
      <c r="G35" s="212"/>
      <c r="H35" s="212"/>
      <c r="I35" s="212"/>
      <c r="J35" s="212"/>
      <c r="K35" s="212"/>
      <c r="L35" s="212"/>
      <c r="M35" s="211"/>
      <c r="N35" s="212"/>
      <c r="O35" s="212"/>
      <c r="P35" s="212"/>
      <c r="Q35" s="212"/>
    </row>
    <row r="36" spans="1:17" ht="28"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2"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2"/>
      <c r="O84" s="702"/>
      <c r="P84" s="702"/>
      <c r="Q84" s="702"/>
      <c r="R84" s="702"/>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0" t="e" vm="51">
        <v>#VALUE!</v>
      </c>
      <c r="Y88" s="9">
        <v>4</v>
      </c>
      <c r="Z88" s="6"/>
      <c r="AA88" s="6"/>
      <c r="AB88" s="6"/>
    </row>
    <row r="89" spans="12:28" ht="15.5">
      <c r="L89" s="3"/>
      <c r="M89" s="3"/>
      <c r="N89" s="3"/>
      <c r="O89" s="6"/>
      <c r="P89" s="6"/>
      <c r="Q89" s="6"/>
      <c r="R89" s="6"/>
      <c r="T89" s="16" t="s">
        <v>1480</v>
      </c>
      <c r="U89" s="9" t="s">
        <v>1467</v>
      </c>
      <c r="V89" s="9" t="s">
        <v>1467</v>
      </c>
      <c r="W89" s="561" t="s">
        <v>1469</v>
      </c>
      <c r="X89" s="560" t="e" vm="52">
        <v>#VALUE!</v>
      </c>
      <c r="Y89" s="9">
        <v>-4</v>
      </c>
      <c r="Z89" s="6"/>
      <c r="AA89" s="6"/>
      <c r="AB89" s="6"/>
    </row>
    <row r="90" spans="12:28" ht="15.5">
      <c r="L90" s="3"/>
      <c r="M90" s="3"/>
      <c r="N90" s="3"/>
      <c r="O90" s="6"/>
      <c r="P90" s="6"/>
      <c r="Q90" s="6"/>
      <c r="R90" s="6"/>
      <c r="T90" s="16" t="s">
        <v>1481</v>
      </c>
      <c r="U90" s="9" t="s">
        <v>1468</v>
      </c>
      <c r="V90" s="9" t="s">
        <v>1471</v>
      </c>
      <c r="W90" s="562" t="s">
        <v>1470</v>
      </c>
      <c r="X90" s="560"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 customHeight="1">
      <c r="L92" s="3"/>
      <c r="M92" s="3"/>
      <c r="N92" s="385" t="s">
        <v>1459</v>
      </c>
      <c r="O92" s="385" t="s">
        <v>1460</v>
      </c>
      <c r="P92" s="385" t="s">
        <v>1494</v>
      </c>
      <c r="Q92" s="385" t="s">
        <v>1482</v>
      </c>
      <c r="R92" s="385" t="s">
        <v>1474</v>
      </c>
      <c r="Z92" s="6"/>
      <c r="AA92" s="6"/>
      <c r="AB92" s="6"/>
    </row>
    <row r="93" spans="12:28" ht="2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36328125" style="6" customWidth="1"/>
    <col min="6" max="6" width="15.36328125" style="6" customWidth="1"/>
    <col min="7" max="7" width="4.08984375" style="6" bestFit="1" customWidth="1"/>
    <col min="8" max="8" width="20.453125" style="6"/>
    <col min="9" max="9" width="13" style="6" customWidth="1"/>
    <col min="10" max="10" width="12" style="6" customWidth="1"/>
    <col min="11" max="11" width="20.453125" style="6"/>
    <col min="12" max="13" width="0" style="6" hidden="1" customWidth="1"/>
    <col min="14" max="14" width="4.453125" style="592" customWidth="1"/>
    <col min="15" max="16384" width="20.453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08984375" style="14" bestFit="1" customWidth="1"/>
    <col min="2" max="2" width="5" style="14" customWidth="1"/>
    <col min="3" max="3" width="12.453125" style="14" customWidth="1"/>
    <col min="4" max="4" width="13.08984375" style="14" customWidth="1"/>
    <col min="5" max="5" width="12.36328125" style="14" bestFit="1" customWidth="1"/>
    <col min="6" max="6" width="10.81640625" style="14"/>
    <col min="7" max="7" width="12.36328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08984375" style="14" bestFit="1" customWidth="1"/>
    <col min="19" max="19" width="11" style="14" bestFit="1" customWidth="1"/>
    <col min="20" max="20" width="10.36328125" style="14" bestFit="1" customWidth="1"/>
    <col min="21" max="21" width="10.453125" style="14" customWidth="1"/>
    <col min="22" max="22" width="10.36328125" style="14" customWidth="1"/>
    <col min="23" max="23" width="3.36328125" style="14" bestFit="1" customWidth="1"/>
    <col min="24" max="26" width="10.81640625" style="14"/>
    <col min="27" max="27" width="6.453125" style="14" customWidth="1"/>
    <col min="28" max="33" width="10.81640625" style="14"/>
    <col min="34" max="34" width="3.36328125" style="14" bestFit="1" customWidth="1"/>
    <col min="35" max="16384" width="10.8164062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Alberto Gay Pérez</cp:lastModifiedBy>
  <cp:lastPrinted>2018-12-06T18:06:35Z</cp:lastPrinted>
  <dcterms:created xsi:type="dcterms:W3CDTF">2015-10-31T09:41:54Z</dcterms:created>
  <dcterms:modified xsi:type="dcterms:W3CDTF">2026-06-10T16:17:36Z</dcterms:modified>
</cp:coreProperties>
</file>