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1AEE652E-1651-45A2-B53E-5675592316E6}"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CK37" i="3"/>
  <c r="N13" i="3"/>
  <c r="O68" i="3"/>
  <c r="O57" i="3"/>
  <c r="O65" i="3"/>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17" i="3" s="1"/>
  <c r="CM37" i="3"/>
  <c r="CM19" i="3" l="1"/>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9" i="3"/>
  <c r="R80" i="3"/>
  <c r="R40" i="3"/>
  <c r="R56" i="3"/>
  <c r="R53" i="3"/>
  <c r="R81" i="3"/>
  <c r="Q55" i="3"/>
  <c r="Q96" i="3"/>
  <c r="Q72" i="3"/>
  <c r="R69" i="3"/>
  <c r="R24" i="3"/>
  <c r="Q80" i="3"/>
  <c r="R31" i="3"/>
  <c r="R79" i="3"/>
  <c r="R96" i="3"/>
  <c r="R88" i="3"/>
  <c r="R85" i="3"/>
  <c r="R72" i="3"/>
  <c r="Q56" i="3"/>
  <c r="Q73" i="3"/>
  <c r="Q97" i="3"/>
  <c r="Q40" i="3"/>
  <c r="Q88" i="3"/>
  <c r="Q65" i="3"/>
  <c r="Q81" i="3"/>
  <c r="Q49" i="3"/>
  <c r="Q48" i="3"/>
  <c r="Q64" i="3"/>
  <c r="R49" i="3" l="1"/>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CP36" i="3"/>
  <c r="R45" i="3"/>
  <c r="Q60" i="3"/>
  <c r="CP33" i="3"/>
  <c r="Q52" i="3"/>
  <c r="CP31" i="3" s="1"/>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c r="CP32" i="3" l="1"/>
  <c r="CO50" i="3"/>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Q10" i="3" s="1"/>
  <c r="CP13" i="3"/>
  <c r="CO21" i="3"/>
  <c r="CQ21" i="3" s="1"/>
  <c r="CO14" i="3"/>
  <c r="CQ23" i="3"/>
  <c r="CQ27" i="3"/>
  <c r="CP26" i="3"/>
  <c r="CQ26" i="3" s="1"/>
  <c r="CQ47" i="3"/>
  <c r="CP18" i="3"/>
  <c r="CQ18" i="3" s="1"/>
  <c r="CO39" i="3"/>
  <c r="CQ39" i="3" s="1"/>
  <c r="CQ50" i="3"/>
  <c r="CQ33" i="3"/>
  <c r="CO31" i="3"/>
  <c r="CQ31" i="3" s="1"/>
  <c r="CQ12" i="3"/>
  <c r="CP35" i="3"/>
  <c r="CO11" i="3"/>
  <c r="CQ36" i="3"/>
  <c r="CQ22" i="3"/>
  <c r="CO7" i="3"/>
  <c r="CQ7" i="3" s="1"/>
  <c r="CQ49" i="3"/>
  <c r="CQ48" i="3"/>
  <c r="CQ16" i="3"/>
  <c r="CQ40" i="3"/>
  <c r="CQ32" i="3"/>
  <c r="CQ28" i="3"/>
  <c r="CQ17" i="3"/>
  <c r="CQ6" i="3"/>
  <c r="CQ29" i="3"/>
  <c r="CQ38" i="3" l="1"/>
  <c r="CQ44" i="3"/>
  <c r="CQ35" i="3"/>
  <c r="CQ20" i="3"/>
  <c r="CQ14" i="3"/>
  <c r="CR41" i="3" s="1"/>
  <c r="CQ13" i="3"/>
  <c r="CR47" i="3" s="1"/>
  <c r="CQ11" i="3"/>
  <c r="CR53" i="3" s="1"/>
  <c r="CR34" i="3"/>
  <c r="CR28" i="3" l="1"/>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U64" i="3"/>
  <c r="T36" i="3"/>
  <c r="U41" i="3"/>
  <c r="T69" i="3"/>
  <c r="U73" i="3"/>
  <c r="T81" i="3"/>
  <c r="T97" i="3"/>
  <c r="U81" i="3"/>
  <c r="T89" i="3"/>
  <c r="T88" i="3"/>
  <c r="T56" i="3"/>
  <c r="T64" i="3"/>
  <c r="T68" i="3"/>
  <c r="U93" i="3"/>
  <c r="T96" i="3"/>
  <c r="U72" i="3"/>
  <c r="U96" i="3"/>
  <c r="T72" i="3"/>
  <c r="T57" i="3"/>
  <c r="T65" i="3"/>
  <c r="T55" i="3"/>
  <c r="U97" i="3"/>
  <c r="T60" i="3"/>
  <c r="T62" i="3"/>
  <c r="T48" i="3"/>
  <c r="T9" i="3"/>
  <c r="T73" i="3" l="1"/>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36" i="3"/>
  <c r="CT8" i="3"/>
  <c r="CT15" i="3" l="1"/>
  <c r="CT14" i="3"/>
  <c r="CT30" i="3"/>
  <c r="CT11" i="3"/>
  <c r="CT27" i="3"/>
  <c r="CT10" i="3"/>
  <c r="CT25" i="3"/>
  <c r="CU16" i="3" s="1"/>
  <c r="CT9" i="3"/>
  <c r="CT7" i="3"/>
  <c r="CU18" i="3" l="1"/>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L4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0" i="3" s="1"/>
  <c r="AU72" i="3" s="1"/>
  <c r="DL33" i="3"/>
  <c r="AU57" i="3" s="1"/>
  <c r="DL31" i="3"/>
  <c r="AU55" i="3" s="1"/>
  <c r="DL32" i="3"/>
  <c r="AU56" i="3" s="1"/>
  <c r="DL30" i="3"/>
  <c r="AU54" i="3" s="1"/>
  <c r="DL52" i="3"/>
  <c r="AU96" i="3" s="1"/>
  <c r="DL37" i="3"/>
  <c r="AU65" i="3" s="1"/>
  <c r="DL49" i="3"/>
  <c r="AU89" i="3" s="1"/>
  <c r="DL46" i="3"/>
  <c r="AU86" i="3" s="1"/>
  <c r="DL43" i="3"/>
  <c r="AU79" i="3" s="1"/>
  <c r="DL50" i="3"/>
  <c r="DL45" i="3"/>
  <c r="DL48" i="3"/>
  <c r="AU88" i="3" s="1"/>
  <c r="DL47" i="3"/>
  <c r="AU87" i="3" s="1"/>
  <c r="DL51" i="3"/>
  <c r="AU95" i="3" s="1"/>
  <c r="DL53" i="3"/>
  <c r="AU97" i="3" s="1"/>
  <c r="DL36" i="3"/>
  <c r="AU64" i="3" s="1"/>
  <c r="DL35" i="3"/>
  <c r="AU63" i="3" s="1"/>
  <c r="DL42" i="3"/>
  <c r="AU78" i="3" s="1"/>
  <c r="DL34" i="3"/>
  <c r="AU62" i="3" s="1"/>
  <c r="DL44" i="3"/>
  <c r="AU80" i="3" s="1"/>
  <c r="DL39" i="3"/>
  <c r="AU71" i="3" s="1"/>
  <c r="DL38" i="3"/>
  <c r="AU70" i="3" s="1"/>
  <c r="DL18" i="3" l="1"/>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45" i="3" a="1"/>
  <c r="DN45" i="3" s="1"/>
  <c r="DF8" i="3"/>
  <c r="DN50" i="3" a="1"/>
  <c r="DN50" i="3" s="1"/>
  <c r="DN31" i="3" a="1"/>
  <c r="DN31" i="3" s="1"/>
  <c r="DN33" i="3" a="1"/>
  <c r="DN33" i="3" s="1"/>
  <c r="DM33" i="3"/>
  <c r="DN49" i="3" a="1"/>
  <c r="DN49" i="3" s="1"/>
  <c r="DN32" i="3" a="1"/>
  <c r="DN32" i="3" s="1"/>
  <c r="DN30" i="3" a="1"/>
  <c r="DN30" i="3" s="1"/>
  <c r="DM32" i="3"/>
  <c r="DM31" i="3"/>
  <c r="DM30" i="3"/>
  <c r="DN25" i="3" a="1"/>
  <c r="DN25" i="3" s="1"/>
  <c r="DM52" i="3"/>
  <c r="DM51" i="3"/>
  <c r="DN52" i="3" a="1"/>
  <c r="DN52" i="3" s="1"/>
  <c r="DM40" i="3"/>
  <c r="DM37" i="3"/>
  <c r="DN19" i="3" a="1"/>
  <c r="DN19" i="3" s="1"/>
  <c r="DM34" i="3"/>
  <c r="DN37" i="3" a="1"/>
  <c r="DN37" i="3" s="1"/>
  <c r="DN34" i="3" a="1"/>
  <c r="DN34" i="3" s="1"/>
  <c r="DN46" i="3" a="1"/>
  <c r="DN46" i="3" s="1"/>
  <c r="DN51" i="3" a="1"/>
  <c r="DN51" i="3" s="1"/>
  <c r="DM19" i="3"/>
  <c r="DN43" i="3" a="1"/>
  <c r="DN43" i="3" s="1"/>
  <c r="DM35" i="3"/>
  <c r="DM46" i="3"/>
  <c r="DM53" i="3"/>
  <c r="DM49" i="3"/>
  <c r="AU85" i="3"/>
  <c r="AV84" i="3" s="1"/>
  <c r="DN42" i="3" a="1"/>
  <c r="DN42" i="3" s="1"/>
  <c r="AU61" i="3"/>
  <c r="AV60" i="3" s="1"/>
  <c r="DM36" i="3"/>
  <c r="DM42" i="3"/>
  <c r="DM20" i="3"/>
  <c r="DN38" i="3" a="1"/>
  <c r="DN38" i="3" s="1"/>
  <c r="DN36" i="3" a="1"/>
  <c r="DN36" i="3" s="1"/>
  <c r="DN40" i="3" a="1"/>
  <c r="DN40" i="3" s="1"/>
  <c r="DN47" i="3" a="1"/>
  <c r="DN47" i="3" s="1"/>
  <c r="DM21" i="3"/>
  <c r="DN21" i="3" a="1"/>
  <c r="DN21" i="3" s="1"/>
  <c r="DM38" i="3"/>
  <c r="DN39" i="3" a="1"/>
  <c r="DN39" i="3" s="1"/>
  <c r="DM44" i="3"/>
  <c r="DM48" i="3"/>
  <c r="DM50" i="3"/>
  <c r="AU81" i="3"/>
  <c r="AU77" i="3" s="1"/>
  <c r="AV76" i="3" s="1"/>
  <c r="DM45" i="3"/>
  <c r="DN44" i="3" a="1"/>
  <c r="DN44" i="3" s="1"/>
  <c r="DN35" i="3" a="1"/>
  <c r="DN35" i="3" s="1"/>
  <c r="DN48" i="3" a="1"/>
  <c r="DN48" i="3" s="1"/>
  <c r="AU94" i="3"/>
  <c r="AU93" i="3" s="1"/>
  <c r="AV92" i="3" s="1"/>
  <c r="DM43" i="3"/>
  <c r="DM47" i="3"/>
  <c r="DN53" i="3" a="1"/>
  <c r="DN53" i="3" s="1"/>
  <c r="DM39" i="3"/>
  <c r="AU73" i="3"/>
  <c r="AU69" i="3" s="1"/>
  <c r="AV68" i="3" s="1"/>
  <c r="DM41" i="3"/>
  <c r="DN41" i="3" a="1"/>
  <c r="DN41" i="3" s="1"/>
  <c r="AU53" i="3"/>
  <c r="AV52" i="3" s="1"/>
  <c r="DN27" i="3" l="1" a="1"/>
  <c r="DN27" i="3" s="1"/>
  <c r="AU49" i="3"/>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AU45" i="3"/>
  <c r="AV44" i="3" s="1"/>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<sst xmlns="http://schemas.openxmlformats.org/spreadsheetml/2006/main" count="6814" uniqueCount="1534">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</sst>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94" zoomScale="73" zoomScaleNormal="100" workbookViewId="0">
      <selection activeCell="AD74" sqref="AD74"/>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8</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2</v>
      </c>
      <c r="BG47" s="16">
        <f t="shared" ca="1" si="17"/>
        <v>0</v>
      </c>
      <c r="BH47" s="16">
        <f t="shared" ca="1" si="18"/>
        <v>1</v>
      </c>
      <c r="BI47" s="16">
        <f t="shared" ca="1" si="19"/>
        <v>1</v>
      </c>
      <c r="BJ47" s="16">
        <f t="shared" ca="1" si="20"/>
        <v>1</v>
      </c>
      <c r="BK47" s="16">
        <f t="shared" ca="1" si="21"/>
        <v>2</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8</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8</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6</v>
      </c>
      <c r="BF49" s="16">
        <f t="shared" ca="1" si="41"/>
        <v>2</v>
      </c>
      <c r="BG49" s="16">
        <f t="shared" ca="1" si="17"/>
        <v>2</v>
      </c>
      <c r="BH49" s="16">
        <f t="shared" ca="1" si="18"/>
        <v>0</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8</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4</v>
      </c>
      <c r="BF50" s="16">
        <f t="shared" ca="1" si="41"/>
        <v>2</v>
      </c>
      <c r="BG50" s="16">
        <f t="shared" ca="1" si="17"/>
        <v>1</v>
      </c>
      <c r="BH50" s="16">
        <f t="shared" ca="1" si="18"/>
        <v>1</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1</v>
      </c>
      <c r="BW50" s="16">
        <f t="shared" ca="1" si="26"/>
        <v>0</v>
      </c>
      <c r="BX50" s="16">
        <f t="shared" ca="1" si="48"/>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1</v>
      </c>
      <c r="CK50" s="16">
        <f t="shared" ca="1" si="32"/>
        <v>0</v>
      </c>
      <c r="CL50" s="16">
        <f t="shared" ca="1" si="50"/>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8</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3</v>
      </c>
      <c r="BF51" s="16">
        <f t="shared" ca="1" si="41"/>
        <v>2</v>
      </c>
      <c r="BG51" s="16">
        <f t="shared" ca="1" si="17"/>
        <v>1</v>
      </c>
      <c r="BH51" s="16">
        <f t="shared" ca="1" si="18"/>
        <v>0</v>
      </c>
      <c r="BI51" s="16">
        <f t="shared" ca="1" si="19"/>
        <v>1</v>
      </c>
      <c r="BJ51" s="16">
        <f t="shared" ca="1" si="20"/>
        <v>3</v>
      </c>
      <c r="BK51" s="16">
        <f t="shared" ca="1" si="21"/>
        <v>4</v>
      </c>
      <c r="BL51" s="16">
        <f t="shared" ca="1" si="42"/>
        <v>-1</v>
      </c>
      <c r="BM51" s="16" t="str">
        <f t="shared" ca="1" si="22"/>
        <v>3L</v>
      </c>
      <c r="BN51" s="16" t="str">
        <f t="shared" ca="1" si="23"/>
        <v>3L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52"/>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38"/>
        <v>2</v>
      </c>
      <c r="DK51" s="16">
        <f t="shared" ca="1" si="39"/>
        <v>8</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2</v>
      </c>
      <c r="BG52" s="16">
        <f t="shared" ca="1" si="17"/>
        <v>1</v>
      </c>
      <c r="BH52" s="16">
        <f t="shared" ca="1" si="18"/>
        <v>1</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1</v>
      </c>
      <c r="BW52" s="16">
        <f t="shared" ca="1" si="26"/>
        <v>0</v>
      </c>
      <c r="BX52" s="16">
        <f t="shared" ca="1" si="48"/>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1</v>
      </c>
      <c r="CK52" s="16">
        <f t="shared" ca="1" si="32"/>
        <v>0</v>
      </c>
      <c r="CL52" s="16">
        <f t="shared" ca="1" si="50"/>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8</v>
      </c>
      <c r="DL52" s="16">
        <f t="shared" ca="1" si="40"/>
        <v>1</v>
      </c>
      <c r="DM52" s="16" t="str">
        <f t="shared" ca="1" si="46"/>
        <v>3.1</v>
      </c>
      <c r="DN52" s="16" cm="1">
        <f t="array" aca="1" ref="DN52" ca="1">OFFSET(Horarios!$P$3,DJ52-1,0,DL52,1)</f>
        <v>3</v>
      </c>
      <c r="DO52" s="16"/>
      <c r="DP52" s="16" t="s">
        <v>453</v>
      </c>
      <c r="DQ52" s="16" t="str">
        <f t="shared" ca="1" si="47"/>
        <v>Croacia</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2</v>
      </c>
      <c r="BG53" s="16">
        <f t="shared" ca="1" si="17"/>
        <v>0</v>
      </c>
      <c r="BH53" s="16">
        <f t="shared" ca="1" si="18"/>
        <v>0</v>
      </c>
      <c r="BI53" s="16">
        <f t="shared" ca="1" si="19"/>
        <v>2</v>
      </c>
      <c r="BJ53" s="16">
        <f t="shared" ca="1" si="20"/>
        <v>0</v>
      </c>
      <c r="BK53" s="16">
        <f t="shared" ca="1" si="21"/>
        <v>2</v>
      </c>
      <c r="BL53" s="16">
        <f t="shared" ca="1" si="42"/>
        <v>-2</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8</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7</v>
      </c>
      <c r="BN58" s="16">
        <f ca="1">CF58</f>
        <v>7</v>
      </c>
      <c r="BO58" s="16" t="str">
        <f t="shared" ref="BO58:BO69" si="174">"4"&amp;BC58</f>
        <v>4A</v>
      </c>
      <c r="BP58" s="16"/>
      <c r="BQ58" s="16"/>
      <c r="BR58" s="16">
        <f t="shared" ref="BR58:BR69" ca="1" si="175">+BE58</f>
        <v>3</v>
      </c>
      <c r="BS58" s="16">
        <f ca="1">COUNTIFS(BR$58:BR$69,"&gt;"&amp;BR58)+1</f>
        <v>5</v>
      </c>
      <c r="BT58" s="16" t="str">
        <f ca="1">IF(COUNTIF(BS$58:BS$69,BS58)=1,"-","Pos. "&amp;BS58&amp;" ("&amp;COUNTIF(BS$58:BS$69,BS58)&amp;")")</f>
        <v>Pos. 5 (5)</v>
      </c>
      <c r="BU58" s="16">
        <f t="shared" ref="BU58:BU69" ca="1" si="176">IF(BT58="-","-",BL58)</f>
        <v>-1</v>
      </c>
      <c r="BV58" s="16">
        <f t="shared" ref="BV58:BV69" ca="1" si="177">BS58+COUNTIFS(BT$58:BT$69,BT58,BU$58:BU$69,"&gt;"&amp;BU58)</f>
        <v>6</v>
      </c>
      <c r="BW58" s="16" t="str">
        <f t="shared" ref="BW58:BW69" ca="1" si="178">IF(COUNTIF(BV$58:BV$69,BV58)=1,"-","Pos. "&amp;BV58&amp;" ("&amp;COUNTIF(BV$58:BV$69,BV58)&amp;")")</f>
        <v>Pos. 6 (2)</v>
      </c>
      <c r="BX58" s="16">
        <f t="shared" ref="BX58:BX69" ca="1" si="179">IF(BW58="-","-",BJ58)</f>
        <v>2</v>
      </c>
      <c r="BY58" s="16">
        <f t="shared" ref="BY58:BY69" ca="1" si="180">BV58+COUNTIFS(BW$58:BW$69,BW58,BX$58:BX$69,"&gt;"&amp;BX58)</f>
        <v>7</v>
      </c>
      <c r="BZ58" s="16" t="str">
        <f t="shared" ref="BZ58:BZ69" ca="1" si="181">IF(COUNTIF(BY$58:BY$69,BY58)=1,"-","Pos. "&amp;BY58&amp;" ("&amp;COUNTIF(BY$58:BY$69,BY58)&amp;")")</f>
        <v>-</v>
      </c>
      <c r="CA58" s="16" t="str">
        <f t="shared" ref="CA58:CA69" ca="1" si="182">IF(BZ58="-","-",COUNTIF($BD$58:$BD$69,"&gt;"&amp;BD58))</f>
        <v>-</v>
      </c>
      <c r="CB58" s="16">
        <f ca="1">BY58+COUNTIFS(BZ$58:BZ$69,BZ58,CA$58:CA$69,"&gt;"&amp;CA58)</f>
        <v>7</v>
      </c>
      <c r="CC58" s="16"/>
      <c r="CD58" s="16">
        <f t="shared" ref="CD58:CD69" ca="1" si="183">IF(OR(INDEX($AW$102:$AW$113,MATCH($BD58,$AV$102:$AV$113,0))="",BZ58="-"),CB58,INDEX($AW$102:$AW$113,MATCH($BD58,$AV$102:$AV$113,0))+CB58/1000)</f>
        <v>7</v>
      </c>
      <c r="CE58" s="16" t="str">
        <f ca="1">IF(BZ58="-","-",COUNTIF(CD$58:CD$69,"&lt;"&amp;CD58))</f>
        <v>-</v>
      </c>
      <c r="CF58" s="16">
        <f ca="1">BY58+COUNTIFS(BZ$58:BZ$69,BZ58,CE$58:CE$69,"&lt;"&amp;CE58)</f>
        <v>7</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3</v>
      </c>
      <c r="BN59" s="16">
        <f t="shared" ref="BN59:BN69" ca="1" si="192">CF59</f>
        <v>3</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(4)</v>
      </c>
      <c r="BU59" s="16">
        <f t="shared" ca="1" si="176"/>
        <v>-1</v>
      </c>
      <c r="BV59" s="16">
        <f t="shared" ca="1" si="177"/>
        <v>3</v>
      </c>
      <c r="BW59" s="16" t="str">
        <f t="shared" ca="1" si="178"/>
        <v>-</v>
      </c>
      <c r="BX59" s="16" t="str">
        <f t="shared" ca="1" si="179"/>
        <v>-</v>
      </c>
      <c r="BY59" s="16">
        <f t="shared" ca="1" si="180"/>
        <v>3</v>
      </c>
      <c r="BZ59" s="16" t="str">
        <f t="shared" ca="1" si="181"/>
        <v>-</v>
      </c>
      <c r="CA59" s="16" t="str">
        <f t="shared" ca="1" si="182"/>
        <v>-</v>
      </c>
      <c r="CB59" s="16">
        <f t="shared" ref="CB59:CB68" ca="1" si="195">BY59+COUNTIFS(BZ$58:BZ$69,BZ59,CA$58:CA$69,"&gt;"&amp;CA59)</f>
        <v>3</v>
      </c>
      <c r="CC59" s="16"/>
      <c r="CD59" s="16">
        <f t="shared" ca="1" si="183"/>
        <v>3</v>
      </c>
      <c r="CE59" s="16" t="str">
        <f t="shared" ref="CE59:CE69" ca="1" si="196">IF(BZ59="-","-",COUNTIF(CD$58:CD$69,"&lt;"&amp;CD59))</f>
        <v>-</v>
      </c>
      <c r="CF59" s="16">
        <f t="shared" ref="CF59:CF69" ca="1" si="197">BY59+COUNTIFS(BZ$58:BZ$69,BZ59,CE$58:CE$69,"&lt;"&amp;CE59)</f>
        <v>3</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Ecuador</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9</v>
      </c>
      <c r="BN60" s="16">
        <f t="shared" ca="1" si="192"/>
        <v>9</v>
      </c>
      <c r="BO60" s="16" t="str">
        <f t="shared" si="174"/>
        <v>4C</v>
      </c>
      <c r="BP60" s="16"/>
      <c r="BQ60" s="16"/>
      <c r="BR60" s="16">
        <f t="shared" ca="1" si="175"/>
        <v>3</v>
      </c>
      <c r="BS60" s="16">
        <f t="shared" ca="1" si="193"/>
        <v>5</v>
      </c>
      <c r="BT60" s="16" t="str">
        <f t="shared" ca="1" si="194"/>
        <v>Pos. 5 (5)</v>
      </c>
      <c r="BU60" s="16">
        <f t="shared" ca="1" si="176"/>
        <v>-3</v>
      </c>
      <c r="BV60" s="16">
        <f t="shared" ca="1" si="177"/>
        <v>9</v>
      </c>
      <c r="BW60" s="16" t="str">
        <f t="shared" ca="1" si="178"/>
        <v>-</v>
      </c>
      <c r="BX60" s="16" t="str">
        <f t="shared" ca="1" si="179"/>
        <v>-</v>
      </c>
      <c r="BY60" s="16">
        <f t="shared" ca="1" si="180"/>
        <v>9</v>
      </c>
      <c r="BZ60" s="16" t="str">
        <f t="shared" ca="1" si="181"/>
        <v>-</v>
      </c>
      <c r="CA60" s="16" t="str">
        <f t="shared" ca="1" si="182"/>
        <v>-</v>
      </c>
      <c r="CB60" s="16">
        <f t="shared" ca="1" si="195"/>
        <v>9</v>
      </c>
      <c r="CC60" s="16"/>
      <c r="CD60" s="16">
        <f t="shared" ca="1" si="183"/>
        <v>9</v>
      </c>
      <c r="CE60" s="16" t="str">
        <f t="shared" ca="1" si="196"/>
        <v>-</v>
      </c>
      <c r="CF60" s="16">
        <f t="shared" ca="1" si="197"/>
        <v>9</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Bosnia y Herzegovina</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40"/>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4</v>
      </c>
      <c r="BN61" s="16">
        <f t="shared" ca="1" si="192"/>
        <v>4</v>
      </c>
      <c r="BO61" s="16" t="str">
        <f t="shared" si="174"/>
        <v>4D</v>
      </c>
      <c r="BP61" s="16"/>
      <c r="BQ61" s="16"/>
      <c r="BR61" s="16">
        <f t="shared" ca="1" si="175"/>
        <v>4</v>
      </c>
      <c r="BS61" s="16">
        <f t="shared" ca="1" si="193"/>
        <v>1</v>
      </c>
      <c r="BT61" s="16" t="str">
        <f t="shared" ca="1" si="194"/>
        <v>Pos. 1 (4)</v>
      </c>
      <c r="BU61" s="16">
        <f t="shared" ca="1" si="176"/>
        <v>-2</v>
      </c>
      <c r="BV61" s="16">
        <f t="shared" ca="1" si="177"/>
        <v>4</v>
      </c>
      <c r="BW61" s="16" t="str">
        <f t="shared" ca="1" si="178"/>
        <v>-</v>
      </c>
      <c r="BX61" s="16" t="str">
        <f t="shared" ca="1" si="179"/>
        <v>-</v>
      </c>
      <c r="BY61" s="16">
        <f t="shared" ca="1" si="180"/>
        <v>4</v>
      </c>
      <c r="BZ61" s="16" t="str">
        <f t="shared" ca="1" si="181"/>
        <v>-</v>
      </c>
      <c r="CA61" s="16" t="str">
        <f t="shared" ca="1" si="182"/>
        <v>-</v>
      </c>
      <c r="CB61" s="16">
        <f t="shared" ca="1" si="195"/>
        <v>4</v>
      </c>
      <c r="CC61" s="16"/>
      <c r="CD61" s="16">
        <f t="shared" ca="1" si="183"/>
        <v>4</v>
      </c>
      <c r="CE61" s="16" t="str">
        <f t="shared" ca="1" si="196"/>
        <v>-</v>
      </c>
      <c r="CF61" s="16">
        <f t="shared" ca="1" si="197"/>
        <v>4</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Paraguay</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2</v>
      </c>
      <c r="BN62" s="16">
        <f t="shared" ca="1" si="192"/>
        <v>2</v>
      </c>
      <c r="BO62" s="16" t="str">
        <f t="shared" si="174"/>
        <v>4E</v>
      </c>
      <c r="BP62" s="16"/>
      <c r="BQ62" s="16"/>
      <c r="BR62" s="16">
        <f t="shared" ca="1" si="175"/>
        <v>4</v>
      </c>
      <c r="BS62" s="16">
        <f t="shared" ca="1" si="193"/>
        <v>1</v>
      </c>
      <c r="BT62" s="16" t="str">
        <f t="shared" ca="1" si="194"/>
        <v>Pos. 1 (4)</v>
      </c>
      <c r="BU62" s="16">
        <f t="shared" ca="1" si="176"/>
        <v>0</v>
      </c>
      <c r="BV62" s="16">
        <f t="shared" ca="1" si="177"/>
        <v>1</v>
      </c>
      <c r="BW62" s="16" t="str">
        <f t="shared" ca="1" si="178"/>
        <v>Pos. 1 (2)</v>
      </c>
      <c r="BX62" s="16">
        <f t="shared" ca="1" si="179"/>
        <v>2</v>
      </c>
      <c r="BY62" s="16">
        <f t="shared" ca="1" si="180"/>
        <v>2</v>
      </c>
      <c r="BZ62" s="16" t="str">
        <f t="shared" ca="1" si="181"/>
        <v>-</v>
      </c>
      <c r="CA62" s="16" t="str">
        <f t="shared" ca="1" si="182"/>
        <v>-</v>
      </c>
      <c r="CB62" s="16">
        <f t="shared" ca="1" si="195"/>
        <v>2</v>
      </c>
      <c r="CC62" s="16"/>
      <c r="CD62" s="16">
        <f t="shared" ca="1" si="183"/>
        <v>2</v>
      </c>
      <c r="CE62" s="16" t="str">
        <f t="shared" ca="1" si="196"/>
        <v>-</v>
      </c>
      <c r="CF62" s="16">
        <f t="shared" ca="1" si="197"/>
        <v>2</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Senegal</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40"/>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1</v>
      </c>
      <c r="BN63" s="16">
        <f t="shared" ca="1" si="192"/>
        <v>1</v>
      </c>
      <c r="BO63" s="16" t="str">
        <f t="shared" si="174"/>
        <v>4F</v>
      </c>
      <c r="BP63" s="16"/>
      <c r="BQ63" s="16"/>
      <c r="BR63" s="16">
        <f t="shared" ca="1" si="175"/>
        <v>4</v>
      </c>
      <c r="BS63" s="16">
        <f t="shared" ca="1" si="193"/>
        <v>1</v>
      </c>
      <c r="BT63" s="16" t="str">
        <f t="shared" ca="1" si="194"/>
        <v>Pos. 1 (4)</v>
      </c>
      <c r="BU63" s="16">
        <f t="shared" ca="1" si="176"/>
        <v>0</v>
      </c>
      <c r="BV63" s="16">
        <f t="shared" ca="1" si="177"/>
        <v>1</v>
      </c>
      <c r="BW63" s="16" t="str">
        <f t="shared" ca="1" si="178"/>
        <v>Pos. 1 (2)</v>
      </c>
      <c r="BX63" s="16">
        <f t="shared" ca="1" si="179"/>
        <v>7</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Croacia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11</v>
      </c>
      <c r="BN64" s="16">
        <f t="shared" ca="1" si="192"/>
        <v>11</v>
      </c>
      <c r="BO64" s="16" t="str">
        <f t="shared" si="174"/>
        <v>4G</v>
      </c>
      <c r="BP64" s="16"/>
      <c r="BQ64" s="16"/>
      <c r="BR64" s="16">
        <f t="shared" ca="1" si="175"/>
        <v>2</v>
      </c>
      <c r="BS64" s="16">
        <f t="shared" ca="1" si="193"/>
        <v>10</v>
      </c>
      <c r="BT64" s="16" t="str">
        <f t="shared" ca="1" si="194"/>
        <v>Pos. 10 (2)</v>
      </c>
      <c r="BU64" s="16">
        <f t="shared" ca="1" si="176"/>
        <v>0</v>
      </c>
      <c r="BV64" s="16">
        <f t="shared" ca="1" si="177"/>
        <v>10</v>
      </c>
      <c r="BW64" s="16" t="str">
        <f t="shared" ca="1" si="178"/>
        <v>Pos. 10 (2)</v>
      </c>
      <c r="BX64" s="16">
        <f t="shared" ca="1" si="179"/>
        <v>1</v>
      </c>
      <c r="BY64" s="16">
        <f t="shared" ca="1" si="180"/>
        <v>11</v>
      </c>
      <c r="BZ64" s="16" t="str">
        <f t="shared" ca="1" si="181"/>
        <v>-</v>
      </c>
      <c r="CA64" s="16" t="str">
        <f t="shared" ca="1" si="182"/>
        <v>-</v>
      </c>
      <c r="CB64" s="16">
        <f t="shared" ca="1" si="195"/>
        <v>11</v>
      </c>
      <c r="CC64" s="16"/>
      <c r="CD64" s="16">
        <f t="shared" ca="1" si="183"/>
        <v>11</v>
      </c>
      <c r="CE64" s="16" t="str">
        <f t="shared" ca="1" si="196"/>
        <v>-</v>
      </c>
      <c r="CF64" s="16">
        <f t="shared" ca="1" si="197"/>
        <v>11</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Corea del Sur</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41"/>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10</v>
      </c>
      <c r="BN65" s="16">
        <f t="shared" ca="1" si="192"/>
        <v>10</v>
      </c>
      <c r="BO65" s="16" t="str">
        <f t="shared" si="174"/>
        <v>4H</v>
      </c>
      <c r="BP65" s="16"/>
      <c r="BQ65" s="16"/>
      <c r="BR65" s="16">
        <f t="shared" ca="1" si="175"/>
        <v>2</v>
      </c>
      <c r="BS65" s="16">
        <f t="shared" ca="1" si="193"/>
        <v>10</v>
      </c>
      <c r="BT65" s="16" t="str">
        <f t="shared" ca="1" si="194"/>
        <v>Pos. 10 (2)</v>
      </c>
      <c r="BU65" s="16">
        <f t="shared" ca="1" si="176"/>
        <v>0</v>
      </c>
      <c r="BV65" s="16">
        <f t="shared" ca="1" si="177"/>
        <v>10</v>
      </c>
      <c r="BW65" s="16" t="str">
        <f t="shared" ca="1" si="178"/>
        <v>Pos. 10 (2)</v>
      </c>
      <c r="BX65" s="16">
        <f t="shared" ca="1" si="179"/>
        <v>2</v>
      </c>
      <c r="BY65" s="16">
        <f t="shared" ca="1" si="180"/>
        <v>10</v>
      </c>
      <c r="BZ65" s="16" t="str">
        <f t="shared" ca="1" si="181"/>
        <v>-</v>
      </c>
      <c r="CA65" s="16" t="str">
        <f t="shared" ca="1" si="182"/>
        <v>-</v>
      </c>
      <c r="CB65" s="16">
        <f t="shared" ca="1" si="195"/>
        <v>10</v>
      </c>
      <c r="CC65" s="16"/>
      <c r="CD65" s="16">
        <f t="shared" ca="1" si="183"/>
        <v>10</v>
      </c>
      <c r="CE65" s="16" t="str">
        <f t="shared" ca="1" si="196"/>
        <v>-</v>
      </c>
      <c r="CF65" s="16">
        <f t="shared" ca="1" si="197"/>
        <v>10</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Argelia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5</v>
      </c>
      <c r="BN66" s="16">
        <f t="shared" ca="1" si="192"/>
        <v>5</v>
      </c>
      <c r="BO66" s="16" t="str">
        <f t="shared" si="174"/>
        <v>4I</v>
      </c>
      <c r="BP66" s="16"/>
      <c r="BQ66" s="16"/>
      <c r="BR66" s="16">
        <f t="shared" ca="1" si="175"/>
        <v>3</v>
      </c>
      <c r="BS66" s="16">
        <f t="shared" ca="1" si="193"/>
        <v>5</v>
      </c>
      <c r="BT66" s="16" t="str">
        <f t="shared" ca="1" si="194"/>
        <v>Pos. 5 (5)</v>
      </c>
      <c r="BU66" s="16">
        <f t="shared" ca="1" si="176"/>
        <v>2</v>
      </c>
      <c r="BV66" s="16">
        <f t="shared" ca="1" si="177"/>
        <v>5</v>
      </c>
      <c r="BW66" s="16" t="str">
        <f t="shared" ca="1" si="178"/>
        <v>-</v>
      </c>
      <c r="BX66" s="16" t="str">
        <f t="shared" ca="1" si="179"/>
        <v>-</v>
      </c>
      <c r="BY66" s="16">
        <f t="shared" ca="1" si="180"/>
        <v>5</v>
      </c>
      <c r="BZ66" s="16" t="str">
        <f t="shared" ca="1" si="181"/>
        <v>-</v>
      </c>
      <c r="CA66" s="16" t="str">
        <f t="shared" ca="1" si="182"/>
        <v>-</v>
      </c>
      <c r="CB66" s="16">
        <f t="shared" ca="1" si="195"/>
        <v>5</v>
      </c>
      <c r="CC66" s="16"/>
      <c r="CD66" s="16">
        <f t="shared" ca="1" si="183"/>
        <v>5</v>
      </c>
      <c r="CE66" s="16" t="str">
        <f t="shared" ca="1" si="196"/>
        <v>-</v>
      </c>
      <c r="CF66" s="16">
        <f t="shared" ca="1" si="197"/>
        <v>5</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Escocia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8</v>
      </c>
      <c r="BN67" s="16">
        <f t="shared" ca="1" si="192"/>
        <v>8</v>
      </c>
      <c r="BO67" s="16" t="str">
        <f t="shared" si="174"/>
        <v>4J</v>
      </c>
      <c r="BP67" s="16"/>
      <c r="BQ67" s="16"/>
      <c r="BR67" s="16">
        <f t="shared" ca="1" si="175"/>
        <v>3</v>
      </c>
      <c r="BS67" s="16">
        <f t="shared" ca="1" si="193"/>
        <v>5</v>
      </c>
      <c r="BT67" s="16" t="str">
        <f t="shared" ca="1" si="194"/>
        <v>Pos. 5 (5)</v>
      </c>
      <c r="BU67" s="16">
        <f t="shared" ca="1" si="176"/>
        <v>-2</v>
      </c>
      <c r="BV67" s="16">
        <f t="shared" ca="1" si="177"/>
        <v>8</v>
      </c>
      <c r="BW67" s="16" t="str">
        <f t="shared" ca="1" si="178"/>
        <v>-</v>
      </c>
      <c r="BX67" s="16" t="str">
        <f t="shared" ca="1" si="179"/>
        <v>-</v>
      </c>
      <c r="BY67" s="16">
        <f t="shared" ca="1" si="180"/>
        <v>8</v>
      </c>
      <c r="BZ67" s="16" t="str">
        <f t="shared" ca="1" si="181"/>
        <v>-</v>
      </c>
      <c r="CA67" s="16" t="str">
        <f t="shared" ca="1" si="182"/>
        <v>-</v>
      </c>
      <c r="CB67" s="16">
        <f t="shared" ca="1" si="195"/>
        <v>8</v>
      </c>
      <c r="CC67" s="16"/>
      <c r="CD67" s="16">
        <f t="shared" ca="1" si="183"/>
        <v>8</v>
      </c>
      <c r="CE67" s="16" t="str">
        <f t="shared" ca="1" si="196"/>
        <v>-</v>
      </c>
      <c r="CF67" s="16">
        <f t="shared" ca="1" si="197"/>
        <v>8</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Cabo Verde</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2</v>
      </c>
      <c r="BG68" s="16">
        <f t="shared" ca="1" si="169"/>
        <v>0</v>
      </c>
      <c r="BH68" s="16">
        <f t="shared" ca="1" si="170"/>
        <v>1</v>
      </c>
      <c r="BI68" s="16">
        <f t="shared" ca="1" si="171"/>
        <v>1</v>
      </c>
      <c r="BJ68" s="16">
        <f t="shared" ca="1" si="172"/>
        <v>1</v>
      </c>
      <c r="BK68" s="16">
        <f t="shared" ca="1" si="173"/>
        <v>2</v>
      </c>
      <c r="BL68" s="16">
        <f t="shared" ca="1" si="190"/>
        <v>-1</v>
      </c>
      <c r="BM68" s="16">
        <f t="shared" ca="1" si="191"/>
        <v>12</v>
      </c>
      <c r="BN68" s="16">
        <f t="shared" ca="1" si="192"/>
        <v>12</v>
      </c>
      <c r="BO68" s="16" t="str">
        <f t="shared" si="174"/>
        <v>4K</v>
      </c>
      <c r="BP68" s="16"/>
      <c r="BQ68" s="16"/>
      <c r="BR68" s="16">
        <f t="shared" ca="1" si="175"/>
        <v>1</v>
      </c>
      <c r="BS68" s="16">
        <f t="shared" ca="1" si="193"/>
        <v>12</v>
      </c>
      <c r="BT68" s="16" t="str">
        <f t="shared" ca="1" si="194"/>
        <v>-</v>
      </c>
      <c r="BU68" s="16" t="str">
        <f t="shared" ca="1" si="176"/>
        <v>-</v>
      </c>
      <c r="BV68" s="16">
        <f t="shared" ca="1" si="177"/>
        <v>12</v>
      </c>
      <c r="BW68" s="16" t="str">
        <f t="shared" ca="1" si="178"/>
        <v>-</v>
      </c>
      <c r="BX68" s="16" t="str">
        <f t="shared" ca="1" si="179"/>
        <v>-</v>
      </c>
      <c r="BY68" s="16">
        <f t="shared" ca="1" si="180"/>
        <v>12</v>
      </c>
      <c r="BZ68" s="16" t="str">
        <f t="shared" ca="1" si="181"/>
        <v>-</v>
      </c>
      <c r="CA68" s="16" t="str">
        <f t="shared" ca="1" si="182"/>
        <v>-</v>
      </c>
      <c r="CB68" s="16">
        <f t="shared" ca="1" si="195"/>
        <v>12</v>
      </c>
      <c r="CC68" s="16"/>
      <c r="CD68" s="16">
        <f t="shared" ca="1" si="183"/>
        <v>12</v>
      </c>
      <c r="CE68" s="16" t="str">
        <f t="shared" ca="1" si="196"/>
        <v>-</v>
      </c>
      <c r="CF68" s="16">
        <f t="shared" ca="1" si="197"/>
        <v>12</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Bélgica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Croacia</v>
      </c>
      <c r="BE69" s="16">
        <f t="shared" ca="1" si="188"/>
        <v>3</v>
      </c>
      <c r="BF69" s="16">
        <f t="shared" ca="1" si="189"/>
        <v>2</v>
      </c>
      <c r="BG69" s="16">
        <f t="shared" ca="1" si="169"/>
        <v>1</v>
      </c>
      <c r="BH69" s="16">
        <f t="shared" ca="1" si="170"/>
        <v>0</v>
      </c>
      <c r="BI69" s="16">
        <f t="shared" ca="1" si="171"/>
        <v>1</v>
      </c>
      <c r="BJ69" s="16">
        <f t="shared" ca="1" si="172"/>
        <v>3</v>
      </c>
      <c r="BK69" s="16">
        <f t="shared" ca="1" si="173"/>
        <v>4</v>
      </c>
      <c r="BL69" s="16">
        <f t="shared" ca="1" si="190"/>
        <v>-1</v>
      </c>
      <c r="BM69" s="16">
        <f t="shared" ca="1" si="191"/>
        <v>6</v>
      </c>
      <c r="BN69" s="16">
        <f t="shared" ca="1" si="192"/>
        <v>6</v>
      </c>
      <c r="BO69" s="16" t="str">
        <f t="shared" si="174"/>
        <v>4L</v>
      </c>
      <c r="BP69" s="16"/>
      <c r="BQ69" s="16"/>
      <c r="BR69" s="16">
        <f t="shared" ca="1" si="175"/>
        <v>3</v>
      </c>
      <c r="BS69" s="16">
        <f t="shared" ca="1" si="193"/>
        <v>5</v>
      </c>
      <c r="BT69" s="16" t="str">
        <f t="shared" ca="1" si="194"/>
        <v>Pos. 5 (5)</v>
      </c>
      <c r="BU69" s="16">
        <f t="shared" ca="1" si="176"/>
        <v>-1</v>
      </c>
      <c r="BV69" s="16">
        <f t="shared" ca="1" si="177"/>
        <v>6</v>
      </c>
      <c r="BW69" s="16" t="str">
        <f t="shared" ca="1" si="178"/>
        <v>Pos. 6 (2)</v>
      </c>
      <c r="BX69" s="16">
        <f t="shared" ca="1" si="179"/>
        <v>3</v>
      </c>
      <c r="BY69" s="16">
        <f t="shared" ca="1" si="180"/>
        <v>6</v>
      </c>
      <c r="BZ69" s="16" t="str">
        <f t="shared" ca="1" si="181"/>
        <v>-</v>
      </c>
      <c r="CA69" s="16" t="str">
        <f t="shared" ca="1" si="182"/>
        <v>-</v>
      </c>
      <c r="CB69" s="16">
        <f ca="1">BY69+COUNTIFS(BZ$58:BZ$69,BZ69,CA$58:CA$69,"&gt;"&amp;CA69)</f>
        <v>6</v>
      </c>
      <c r="CC69" s="16"/>
      <c r="CD69" s="16">
        <f t="shared" ca="1" si="183"/>
        <v>6</v>
      </c>
      <c r="CE69" s="16" t="str">
        <f t="shared" ca="1" si="196"/>
        <v>-</v>
      </c>
      <c r="CF69" s="16">
        <f t="shared" ca="1" si="197"/>
        <v>6</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RD Congo</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6">
        <f t="array" aca="1" ref="AB72" ca="1">Ver_flag_local</f>
        <v>#VALUE!</v>
      </c>
      <c r="AC72" s="50">
        <v>1</v>
      </c>
      <c r="AD72" s="51">
        <v>4</v>
      </c>
      <c r="AE72" s="574" t="e" cm="1" vm="33">
        <f t="array" aca="1" ref="AE72" ca="1">Ver_flag_visit</f>
        <v>#VALUE!</v>
      </c>
      <c r="AF72" s="32" t="str">
        <f ca="1">A69</f>
        <v>Francia</v>
      </c>
      <c r="AG72" s="309">
        <f t="shared" si="230"/>
        <v>1</v>
      </c>
      <c r="AH72" s="187">
        <v>61</v>
      </c>
      <c r="AI72" s="173" t="str">
        <f t="shared" si="234"/>
        <v>3I</v>
      </c>
      <c r="AJ72" s="42">
        <v>3</v>
      </c>
      <c r="AK72" s="581" t="e" cm="1" vm="34">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4">
        <f t="array" aca="1" ref="AB73" ca="1">Ver_flag_local</f>
        <v>#VALUE!</v>
      </c>
      <c r="AC73" s="50">
        <v>5</v>
      </c>
      <c r="AD73" s="51">
        <v>0</v>
      </c>
      <c r="AE73" s="575" t="e" cm="1" vm="35">
        <f t="array" aca="1" ref="AE73" ca="1">Ver_flag_visit</f>
        <v>#VALUE!</v>
      </c>
      <c r="AF73" s="33" t="str">
        <f ca="1">A71</f>
        <v>Irak</v>
      </c>
      <c r="AG73" s="309">
        <f t="shared" si="230"/>
        <v>1</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2"/>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3"/>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6</v>
      </c>
      <c r="AN86" s="36">
        <f t="shared" ca="1" si="269"/>
        <v>2</v>
      </c>
      <c r="AO86" s="36">
        <f t="shared" ca="1" si="269"/>
        <v>2</v>
      </c>
      <c r="AP86" s="36">
        <f t="shared" ca="1" si="269"/>
        <v>0</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4">
        <f t="array" aca="1" ref="AB87" ca="1">Ver_flag_local</f>
        <v>#VALUE!</v>
      </c>
      <c r="AC87" s="50">
        <v>1</v>
      </c>
      <c r="AD87" s="51">
        <v>0</v>
      </c>
      <c r="AE87" s="574" t="e" cm="1" vm="42">
        <f t="array" aca="1" ref="AE87" ca="1">Ver_flag_visit</f>
        <v>#VALUE!</v>
      </c>
      <c r="AF87" s="32" t="str">
        <f ca="1">A86</f>
        <v>RD Congo</v>
      </c>
      <c r="AG87" s="309">
        <f t="shared" si="266"/>
        <v>1</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4</v>
      </c>
      <c r="AN87" s="39">
        <f t="shared" ca="1" si="269"/>
        <v>2</v>
      </c>
      <c r="AO87" s="39">
        <f t="shared" ca="1" si="269"/>
        <v>1</v>
      </c>
      <c r="AP87" s="39">
        <f t="shared" ca="1" si="269"/>
        <v>1</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8"/>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2</v>
      </c>
      <c r="AO88" s="39">
        <f t="shared" ca="1" si="269"/>
        <v>0</v>
      </c>
      <c r="AP88" s="39">
        <f t="shared" ca="1" si="269"/>
        <v>1</v>
      </c>
      <c r="AQ88" s="39">
        <f t="shared" ca="1" si="269"/>
        <v>1</v>
      </c>
      <c r="AR88" s="39">
        <f t="shared" ca="1" si="269"/>
        <v>1</v>
      </c>
      <c r="AS88" s="39">
        <f t="shared" ca="1" si="269"/>
        <v>2</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9"/>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v>
      </c>
      <c r="G92" s="16"/>
      <c r="H92" s="16" t="str">
        <f t="shared" ref="H92:H97" ca="1" si="274">IF(D92="Pendiente","-",INDEX($BZ$6:$BZ$53,MATCH($AA92,$BD$6:$BD$53,0)))</f>
        <v>P.1 (2)</v>
      </c>
      <c r="I92" s="16" t="str">
        <f t="shared" ref="I92:I97" ca="1" si="275">IF(D92="Pendiente","-",INDEX($BZ$6:$BZ$53,MATCH($AF92,$BD$6:$BD$53,0)))</f>
        <v>-</v>
      </c>
      <c r="J92" s="16"/>
      <c r="K92" s="16" t="str">
        <f t="shared" ref="K92:K97" ca="1" si="276">IF(D92="Pendiente","-",INDEX($CE$6:$CE$53,MATCH($AA92,$BD$6:$BD$53,0)))</f>
        <v>P.1 (2)</v>
      </c>
      <c r="L92" s="16" t="str">
        <f t="shared" ref="L92:L97" ca="1" si="277">IF(D92="Pendiente","-",INDEX($CE$6:$CE$53,MATCH($AF92,$BD$6:$BD$53,0)))</f>
        <v>-</v>
      </c>
      <c r="M92" s="16"/>
      <c r="N92" s="16" t="str">
        <f t="shared" ref="N92:N97" ca="1" si="278">IF(D92="Pendiente","-",INDEX($CH$6:$CH$53,MATCH($AA92,$BD$6:$BD$53,0)))</f>
        <v>P.1 (2)</v>
      </c>
      <c r="O92" s="16" t="str">
        <f t="shared" ref="O92:O97" ca="1" si="279">IF(D92="Pendiente","-",INDEX($CH$6:$CH$53,MATCH($AF92,$BD$6:$BD$53,0)))</f>
        <v>-</v>
      </c>
      <c r="P92" s="16"/>
      <c r="Q92" s="16" t="str">
        <f t="shared" ref="Q92:Q97" ca="1" si="280">IF(D92="Pendiente","-",INDEX($CN$6:$CN$53,MATCH($AA92,$BD$6:$BD$53,0)))</f>
        <v>P.1 (2)</v>
      </c>
      <c r="R92" s="16" t="str">
        <f t="shared" ref="R92:R97" ca="1" si="281">IF(D92="Pendiente","-",INDEX($CN$6:$CN$53,MATCH($AF92,$BD$6:$BD$53,0)))</f>
        <v>-</v>
      </c>
      <c r="S92" s="16"/>
      <c r="T92" s="16" t="str">
        <f t="shared" ref="T92:T97" ca="1" si="282">IF(D92="Pendiente","-",INDEX($CS$6:$CS$53,MATCH($AA92,$BD$6:$BD$53,0)))</f>
        <v>P.1 (2)</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v>
      </c>
      <c r="G93" s="16"/>
      <c r="H93" s="16" t="str">
        <f t="shared" ca="1" si="274"/>
        <v>P.1 (2)</v>
      </c>
      <c r="I93" s="16" t="str">
        <f t="shared" ca="1" si="275"/>
        <v>-</v>
      </c>
      <c r="J93" s="16"/>
      <c r="K93" s="16" t="str">
        <f t="shared" ca="1" si="276"/>
        <v>P.1 (2)</v>
      </c>
      <c r="L93" s="16" t="str">
        <f t="shared" ca="1" si="277"/>
        <v>-</v>
      </c>
      <c r="M93" s="16"/>
      <c r="N93" s="16" t="str">
        <f t="shared" ca="1" si="278"/>
        <v>P.1 (2)</v>
      </c>
      <c r="O93" s="16" t="str">
        <f t="shared" ca="1" si="279"/>
        <v>-</v>
      </c>
      <c r="P93" s="16"/>
      <c r="Q93" s="16" t="str">
        <f t="shared" ca="1" si="280"/>
        <v>P.1 (2)</v>
      </c>
      <c r="R93" s="16" t="str">
        <f t="shared" ca="1" si="281"/>
        <v>-</v>
      </c>
      <c r="S93" s="16"/>
      <c r="T93" s="16" t="str">
        <f t="shared" ca="1" si="282"/>
        <v>P.1 (2)</v>
      </c>
      <c r="U93" s="16" t="str">
        <f t="shared" ca="1" si="283"/>
        <v>-</v>
      </c>
      <c r="V93" s="17"/>
      <c r="W93" s="644"/>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P.1 (2)</v>
      </c>
      <c r="F94" s="16" t="str">
        <f t="shared" ca="1" si="273"/>
        <v>P.1 (2)</v>
      </c>
      <c r="G94" s="16"/>
      <c r="H94" s="16" t="str">
        <f t="shared" ca="1" si="274"/>
        <v>P.1 (2)</v>
      </c>
      <c r="I94" s="16" t="str">
        <f t="shared" ca="1" si="275"/>
        <v>P.1 (2)</v>
      </c>
      <c r="J94" s="16"/>
      <c r="K94" s="16" t="str">
        <f t="shared" ca="1" si="276"/>
        <v>P.1 (2)</v>
      </c>
      <c r="L94" s="16" t="str">
        <f t="shared" ca="1" si="277"/>
        <v>P.1 (2)</v>
      </c>
      <c r="M94" s="16"/>
      <c r="N94" s="16" t="str">
        <f t="shared" ca="1" si="278"/>
        <v>P.1 (2)</v>
      </c>
      <c r="O94" s="16" t="str">
        <f t="shared" ca="1" si="279"/>
        <v>P.1 (2)</v>
      </c>
      <c r="P94" s="16"/>
      <c r="Q94" s="16" t="str">
        <f t="shared" ca="1" si="280"/>
        <v>P.1 (2)</v>
      </c>
      <c r="R94" s="16" t="str">
        <f t="shared" ca="1" si="281"/>
        <v>P.1 (2)</v>
      </c>
      <c r="S94" s="16"/>
      <c r="T94" s="16" t="str">
        <f t="shared" ca="1" si="282"/>
        <v>P.1 (2)</v>
      </c>
      <c r="U94" s="16" t="str">
        <f t="shared" ca="1" si="283"/>
        <v>P.1 (2)</v>
      </c>
      <c r="V94" s="17"/>
      <c r="W94" s="644"/>
      <c r="X94" s="24">
        <f ca="1">Horarios!C94</f>
        <v>46196.916666666664</v>
      </c>
      <c r="Y94" s="25">
        <f ca="1">Horarios!C94</f>
        <v>46196.916666666664</v>
      </c>
      <c r="Z94" s="26" t="str">
        <f>$Z$6</f>
        <v>J2</v>
      </c>
      <c r="AA94" s="27" t="str">
        <f ca="1">A93</f>
        <v>Inglaterra</v>
      </c>
      <c r="AB94" s="49" t="e" cm="1" vm="45">
        <f t="array" aca="1" ref="AB94" ca="1">Ver_flag_local</f>
        <v>#VALUE!</v>
      </c>
      <c r="AC94" s="50">
        <v>0</v>
      </c>
      <c r="AD94" s="51">
        <v>0</v>
      </c>
      <c r="AE94" s="574" t="e" cm="1" vm="47">
        <f t="array" aca="1" ref="AE94" ca="1">Ver_flag_visit</f>
        <v>#VALUE!</v>
      </c>
      <c r="AF94" s="32" t="str">
        <f ca="1">A95</f>
        <v>Ghana</v>
      </c>
      <c r="AG94" s="309">
        <f t="shared" si="284"/>
        <v>1</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4</v>
      </c>
      <c r="AN94" s="36">
        <f t="shared" ca="1" si="287"/>
        <v>2</v>
      </c>
      <c r="AO94" s="36">
        <f t="shared" ca="1" si="287"/>
        <v>1</v>
      </c>
      <c r="AP94" s="36">
        <f t="shared" ca="1" si="287"/>
        <v>1</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8">
        <f t="array" aca="1" ref="AB95" ca="1">Ver_flag_local</f>
        <v>#VALUE!</v>
      </c>
      <c r="AC95" s="50">
        <v>0</v>
      </c>
      <c r="AD95" s="51">
        <v>1</v>
      </c>
      <c r="AE95" s="574" t="e" cm="1" vm="46">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4</v>
      </c>
      <c r="AN95" s="39">
        <f t="shared" ca="1" si="287"/>
        <v>2</v>
      </c>
      <c r="AO95" s="39">
        <f t="shared" ca="1" si="287"/>
        <v>1</v>
      </c>
      <c r="AP95" s="39">
        <f t="shared" ca="1" si="287"/>
        <v>1</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4"/>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6">
        <f t="array" aca="1" ref="AK96" ca="1">Ver_flag_visit</f>
        <v>#VALUE!</v>
      </c>
      <c r="AL96" s="37" t="str">
        <f ca="1">IFERROR(INDEX($BD$6:$BD$53,MATCH(AI96,$BN$6:$BN$53,0)),"")</f>
        <v>Croacia</v>
      </c>
      <c r="AM96" s="38">
        <f t="shared" ca="1" si="287"/>
        <v>3</v>
      </c>
      <c r="AN96" s="39">
        <f t="shared" ca="1" si="287"/>
        <v>2</v>
      </c>
      <c r="AO96" s="39">
        <f t="shared" ca="1" si="287"/>
        <v>1</v>
      </c>
      <c r="AP96" s="39">
        <f t="shared" ca="1" si="287"/>
        <v>0</v>
      </c>
      <c r="AQ96" s="39">
        <f t="shared" ca="1" si="287"/>
        <v>1</v>
      </c>
      <c r="AR96" s="39">
        <f t="shared" ca="1" si="287"/>
        <v>3</v>
      </c>
      <c r="AS96" s="39">
        <f t="shared" ca="1" si="287"/>
        <v>4</v>
      </c>
      <c r="AT96" s="43">
        <f t="shared" ca="1" si="287"/>
        <v>-1</v>
      </c>
      <c r="AU96" s="316">
        <f ca="1">INDEX($DL$6:$DL$53,MATCH(AI96,$DP$6:$DP$53,0))</f>
        <v>1</v>
      </c>
      <c r="AV96" s="174" t="str">
        <f ca="1">INDEX($BD$6:$BD$53,MATCH(AI96,$BM$6:$BM$53,0))</f>
        <v>Croacia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5"/>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2</v>
      </c>
      <c r="AO97" s="47">
        <f t="shared" ca="1" si="287"/>
        <v>0</v>
      </c>
      <c r="AP97" s="47">
        <f t="shared" ca="1" si="287"/>
        <v>0</v>
      </c>
      <c r="AQ97" s="47">
        <f t="shared" ca="1" si="287"/>
        <v>2</v>
      </c>
      <c r="AR97" s="47">
        <f t="shared" ca="1" si="287"/>
        <v>0</v>
      </c>
      <c r="AS97" s="47">
        <f t="shared" ca="1" si="287"/>
        <v>2</v>
      </c>
      <c r="AT97" s="48">
        <f t="shared" ca="1" si="287"/>
        <v>-2</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c r="AD101" s="51"/>
      <c r="AE101" s="88"/>
      <c r="AF101" s="89" t="str">
        <f t="shared" ref="AF101:AF116" ca="1" si="293">+INDEX($N$101:$N$147,MATCH(AH101,$J$101:$J$147,0))</f>
        <v>Canadá</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ABDEFIJL</v>
      </c>
      <c r="BA101" s="168"/>
    </row>
    <row r="102" spans="1:62" ht="16" customHeight="1">
      <c r="A102" s="16" t="s">
        <v>673</v>
      </c>
      <c r="B102" s="16" t="s">
        <v>734</v>
      </c>
      <c r="C102" s="16"/>
      <c r="D102" s="16" t="str">
        <f t="shared" si="289"/>
        <v>W76</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c r="AD102" s="51"/>
      <c r="AE102" s="87"/>
      <c r="AF102" s="89" t="str">
        <f t="shared" ca="1" si="293"/>
        <v>Japón</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7</v>
      </c>
      <c r="AS102" s="81">
        <f t="shared" ca="1" si="298"/>
        <v>7</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c r="AC103" s="50"/>
      <c r="AD103" s="51"/>
      <c r="AE103" s="87"/>
      <c r="AF103" s="89" t="str">
        <f t="shared" ca="1" si="293"/>
        <v>3ABCDF</v>
      </c>
      <c r="AG103" s="313">
        <f t="shared" si="294"/>
        <v>0</v>
      </c>
      <c r="AH103" s="187">
        <v>74</v>
      </c>
      <c r="AI103" s="174">
        <v>2</v>
      </c>
      <c r="AJ103" s="42">
        <v>2</v>
      </c>
      <c r="AK103" s="581" t="e" cm="1" vm="20">
        <f t="array" aca="1" ref="AK103" ca="1">Ver_flag_visit</f>
        <v>#VALUE!</v>
      </c>
      <c r="AL103" s="83" t="str">
        <f t="shared" ca="1" si="297"/>
        <v>Ecuador</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2</v>
      </c>
      <c r="AS103" s="84">
        <f t="shared" ca="1" si="302"/>
        <v>2</v>
      </c>
      <c r="AT103" s="85">
        <f t="shared" ca="1" si="302"/>
        <v>0</v>
      </c>
      <c r="AU103" s="316" t="str">
        <f t="shared" ca="1" si="299"/>
        <v/>
      </c>
      <c r="AV103" s="174" t="str">
        <f t="shared" ca="1" si="300"/>
        <v>Ecuador</v>
      </c>
      <c r="AW103" s="207"/>
      <c r="AX103" s="162"/>
      <c r="AY103" s="263"/>
      <c r="AZ103" s="265" t="str">
        <f t="shared" ref="AZ103:AZ110" ca="1" si="303">+IF(OR($H$113&gt;=48,$AJ$99=144),BF117&amp;" - "&amp;BG117,"")</f>
        <v>1A - 3E</v>
      </c>
      <c r="BA103" s="168"/>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c r="AC104" s="50"/>
      <c r="AD104" s="51"/>
      <c r="AE104" s="87"/>
      <c r="AF104" s="89" t="str">
        <f t="shared" ca="1" si="293"/>
        <v>Marruecos</v>
      </c>
      <c r="AG104" s="313">
        <f t="shared" si="294"/>
        <v>0</v>
      </c>
      <c r="AH104" s="187">
        <v>75</v>
      </c>
      <c r="AI104" s="174">
        <v>3</v>
      </c>
      <c r="AJ104" s="42">
        <v>3</v>
      </c>
      <c r="AK104" s="581" t="e" cm="1" vm="6">
        <f t="array" aca="1" ref="AK104" ca="1">Ver_flag_visit</f>
        <v>#VALUE!</v>
      </c>
      <c r="AL104" s="83" t="str">
        <f t="shared" ca="1" si="297"/>
        <v>Bosnia y Herzegovina</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5</v>
      </c>
      <c r="AS104" s="84">
        <f t="shared" ca="1" si="307"/>
        <v>6</v>
      </c>
      <c r="AT104" s="85">
        <f t="shared" ca="1" si="307"/>
        <v>-1</v>
      </c>
      <c r="AU104" s="316" t="str">
        <f t="shared" ca="1" si="299"/>
        <v/>
      </c>
      <c r="AV104" s="174" t="str">
        <f t="shared" ca="1" si="300"/>
        <v>Bosnia y Herzegovina</v>
      </c>
      <c r="AW104" s="207"/>
      <c r="AX104" s="162"/>
      <c r="AY104" s="263"/>
      <c r="AZ104" s="265" t="str">
        <f t="shared" ca="1" si="303"/>
        <v>1B - 3J</v>
      </c>
      <c r="BA104" s="168"/>
      <c r="BF104" t="str">
        <f t="shared" ca="1" si="304"/>
        <v>E</v>
      </c>
      <c r="BG104">
        <f t="shared" ca="1" si="305"/>
        <v>4</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c r="AD105" s="51"/>
      <c r="AE105" s="87"/>
      <c r="AF105" s="89" t="str">
        <f t="shared" ca="1" si="293"/>
        <v>Noruega</v>
      </c>
      <c r="AG105" s="313">
        <f t="shared" si="294"/>
        <v>0</v>
      </c>
      <c r="AH105" s="187">
        <v>78</v>
      </c>
      <c r="AI105" s="174">
        <v>4</v>
      </c>
      <c r="AJ105" s="42">
        <v>4</v>
      </c>
      <c r="AK105" s="581" t="e" cm="1" vm="14">
        <f t="array" aca="1" ref="AK105" ca="1">Ver_flag_visit</f>
        <v>#VALUE!</v>
      </c>
      <c r="AL105" s="83" t="str">
        <f t="shared" ca="1" si="297"/>
        <v>Paraguay</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4</v>
      </c>
      <c r="AT105" s="85">
        <f t="shared" ca="1" si="308"/>
        <v>-2</v>
      </c>
      <c r="AU105" s="316" t="str">
        <f t="shared" ca="1" si="299"/>
        <v/>
      </c>
      <c r="AV105" s="174" t="str">
        <f t="shared" ca="1" si="300"/>
        <v>Paraguay</v>
      </c>
      <c r="AW105" s="207"/>
      <c r="AX105" s="162"/>
      <c r="AY105" s="263"/>
      <c r="AZ105" s="265" t="str">
        <f t="shared" ca="1" si="303"/>
        <v>1D - 3B</v>
      </c>
      <c r="BA105" s="168"/>
      <c r="BF105" t="str">
        <f t="shared" ca="1" si="304"/>
        <v>B</v>
      </c>
      <c r="BG105">
        <f t="shared" ca="1" si="305"/>
        <v>2</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c r="AD106" s="51"/>
      <c r="AE106" s="87"/>
      <c r="AF106" s="89" t="str">
        <f t="shared" ca="1" si="293"/>
        <v>3CDFGH</v>
      </c>
      <c r="AG106" s="313">
        <f t="shared" si="294"/>
        <v>0</v>
      </c>
      <c r="AH106" s="187">
        <v>77</v>
      </c>
      <c r="AI106" s="174">
        <v>5</v>
      </c>
      <c r="AJ106" s="42">
        <v>5</v>
      </c>
      <c r="AK106" s="581" t="e" cm="1" vm="34">
        <f t="array" aca="1" ref="AK106" ca="1">Ver_flag_visit</f>
        <v>#VALUE!</v>
      </c>
      <c r="AL106" s="83" t="str">
        <f t="shared" ca="1" si="297"/>
        <v>Senegal</v>
      </c>
      <c r="AM106" s="568">
        <f t="shared" ca="1" si="301"/>
        <v>3</v>
      </c>
      <c r="AN106" s="84">
        <f t="shared" ref="AN106:AT106" ca="1" si="309">+IF($H$113&gt;=48,INDEX($BE$58:$BN$69,MATCH($AL106,$BD$58:$BD$69,0),MATCH(AN$5,$BE$57:$BN$57,0)),$BB62)</f>
        <v>3</v>
      </c>
      <c r="AO106" s="84">
        <f t="shared" ca="1" si="309"/>
        <v>1</v>
      </c>
      <c r="AP106" s="84">
        <f t="shared" ca="1" si="309"/>
        <v>0</v>
      </c>
      <c r="AQ106" s="84">
        <f t="shared" ca="1" si="309"/>
        <v>2</v>
      </c>
      <c r="AR106" s="84">
        <f t="shared" ca="1" si="309"/>
        <v>8</v>
      </c>
      <c r="AS106" s="84">
        <f t="shared" ca="1" si="309"/>
        <v>6</v>
      </c>
      <c r="AT106" s="85">
        <f t="shared" ca="1" si="309"/>
        <v>2</v>
      </c>
      <c r="AU106" s="316" t="str">
        <f t="shared" ca="1" si="299"/>
        <v/>
      </c>
      <c r="AV106" s="174" t="str">
        <f t="shared" ca="1" si="300"/>
        <v>Senegal</v>
      </c>
      <c r="AW106" s="207"/>
      <c r="AX106" s="162"/>
      <c r="AY106" s="263"/>
      <c r="AZ106" s="265" t="str">
        <f t="shared" ca="1" si="303"/>
        <v>1E - 3D</v>
      </c>
      <c r="BA106" s="168"/>
      <c r="BF106" t="str">
        <f t="shared" ca="1" si="304"/>
        <v>D</v>
      </c>
      <c r="BG106">
        <f t="shared" ca="1" si="305"/>
        <v>3</v>
      </c>
      <c r="BI106">
        <v>4</v>
      </c>
      <c r="BJ106" t="str">
        <f t="shared" ca="1" si="306"/>
        <v>E</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c r="AD107" s="51"/>
      <c r="AE107" s="87"/>
      <c r="AF107" s="89" t="str">
        <f t="shared" ca="1" si="293"/>
        <v>3CEFHI</v>
      </c>
      <c r="AG107" s="313">
        <f t="shared" si="294"/>
        <v>0</v>
      </c>
      <c r="AH107" s="187">
        <v>79</v>
      </c>
      <c r="AI107" s="174">
        <v>6</v>
      </c>
      <c r="AJ107" s="42">
        <v>6</v>
      </c>
      <c r="AK107" s="581" t="e" cm="1" vm="46">
        <f t="array" aca="1" ref="AK107" ca="1">Ver_flag_visit</f>
        <v>#VALUE!</v>
      </c>
      <c r="AL107" s="83" t="str">
        <f t="shared" ca="1" si="297"/>
        <v>Croacia</v>
      </c>
      <c r="AM107" s="568">
        <f t="shared" ca="1" si="301"/>
        <v>3</v>
      </c>
      <c r="AN107" s="84">
        <f t="shared" ref="AN107:AT107" ca="1" si="310">+IF($H$113&gt;=48,INDEX($BE$58:$BN$69,MATCH($AL107,$BD$58:$BD$69,0),MATCH(AN$5,$BE$57:$BN$57,0)),$BB63)</f>
        <v>2</v>
      </c>
      <c r="AO107" s="84">
        <f t="shared" ca="1" si="310"/>
        <v>1</v>
      </c>
      <c r="AP107" s="84">
        <f t="shared" ca="1" si="310"/>
        <v>0</v>
      </c>
      <c r="AQ107" s="84">
        <f t="shared" ca="1" si="310"/>
        <v>1</v>
      </c>
      <c r="AR107" s="84">
        <f t="shared" ca="1" si="310"/>
        <v>3</v>
      </c>
      <c r="AS107" s="84">
        <f t="shared" ca="1" si="310"/>
        <v>4</v>
      </c>
      <c r="AT107" s="85">
        <f t="shared" ca="1" si="310"/>
        <v>-1</v>
      </c>
      <c r="AU107" s="316" t="str">
        <f t="shared" ca="1" si="299"/>
        <v/>
      </c>
      <c r="AV107" s="174" t="str">
        <f ca="1">INDEX($BD$58:$BD$69,MATCH(AI107,$BM$58:$BM$69,0))</f>
        <v>Croacia</v>
      </c>
      <c r="AW107" s="207"/>
      <c r="AX107" s="162"/>
      <c r="AY107" s="263"/>
      <c r="AZ107" s="265" t="str">
        <f t="shared" ca="1" si="303"/>
        <v>1G - 3A</v>
      </c>
      <c r="BA107" s="168"/>
      <c r="BF107" t="str">
        <f t="shared" ca="1" si="304"/>
        <v>I</v>
      </c>
      <c r="BG107">
        <f t="shared" ca="1" si="305"/>
        <v>6</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50"/>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3">
        <f t="array" aca="1" ref="AK108" ca="1">Ver_flag_visit</f>
        <v>#VALUE!</v>
      </c>
      <c r="AL108" s="83" t="str">
        <f t="shared" ca="1" si="297"/>
        <v>Corea del Sur</v>
      </c>
      <c r="AM108" s="568">
        <f t="shared" ca="1" si="301"/>
        <v>3</v>
      </c>
      <c r="AN108" s="84">
        <f t="shared" ref="AN108:AT108" ca="1" si="311">+IF($H$113&gt;=48,INDEX($BE$58:$BN$69,MATCH($AL108,$BD$58:$BD$69,0),MATCH(AN$5,$BE$57:$BN$57,0)),$BB64)</f>
        <v>3</v>
      </c>
      <c r="AO108" s="84">
        <f t="shared" ca="1" si="311"/>
        <v>1</v>
      </c>
      <c r="AP108" s="84">
        <f t="shared" ca="1" si="311"/>
        <v>0</v>
      </c>
      <c r="AQ108" s="84">
        <f t="shared" ca="1" si="311"/>
        <v>2</v>
      </c>
      <c r="AR108" s="84">
        <f t="shared" ca="1" si="311"/>
        <v>2</v>
      </c>
      <c r="AS108" s="84">
        <f t="shared" ca="1" si="311"/>
        <v>3</v>
      </c>
      <c r="AT108" s="85">
        <f t="shared" ca="1" si="311"/>
        <v>-1</v>
      </c>
      <c r="AU108" s="316" t="str">
        <f t="shared" ca="1" si="299"/>
        <v/>
      </c>
      <c r="AV108" s="174" t="str">
        <f t="shared" ca="1" si="300"/>
        <v>Corea del Sur</v>
      </c>
      <c r="AW108" s="207"/>
      <c r="AX108" s="162"/>
      <c r="AY108" s="263"/>
      <c r="AZ108" s="265" t="str">
        <f t="shared" ca="1" si="303"/>
        <v>1I - 3F</v>
      </c>
      <c r="BA108" s="168"/>
      <c r="BF108" t="str">
        <f t="shared" ca="1" si="304"/>
        <v>L</v>
      </c>
      <c r="BG108">
        <f t="shared" ca="1" si="305"/>
        <v>8</v>
      </c>
      <c r="BI108">
        <v>6</v>
      </c>
      <c r="BJ108" t="str">
        <f t="shared" ca="1" si="306"/>
        <v>I</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38">
        <f t="array" aca="1" ref="AK109" ca="1">Ver_flag_visit</f>
        <v>#VALUE!</v>
      </c>
      <c r="AL109" s="83" t="str">
        <f t="shared" ca="1" si="297"/>
        <v>Argelia</v>
      </c>
      <c r="AM109" s="568">
        <f t="shared" ca="1" si="301"/>
        <v>3</v>
      </c>
      <c r="AN109" s="84">
        <f t="shared" ref="AN109:AT109" ca="1" si="312">+IF($H$113&gt;=48,INDEX($BE$58:$BN$69,MATCH($AL109,$BD$58:$BD$69,0),MATCH(AN$5,$BE$57:$BN$57,0)),$BB65)</f>
        <v>2</v>
      </c>
      <c r="AO109" s="84">
        <f t="shared" ca="1" si="312"/>
        <v>1</v>
      </c>
      <c r="AP109" s="84">
        <f t="shared" ca="1" si="312"/>
        <v>0</v>
      </c>
      <c r="AQ109" s="84">
        <f t="shared" ca="1" si="312"/>
        <v>1</v>
      </c>
      <c r="AR109" s="84">
        <f t="shared" ca="1" si="312"/>
        <v>2</v>
      </c>
      <c r="AS109" s="84">
        <f t="shared" ca="1" si="312"/>
        <v>4</v>
      </c>
      <c r="AT109" s="85">
        <f t="shared" ca="1" si="312"/>
        <v>-2</v>
      </c>
      <c r="AU109" s="316" t="str">
        <f t="shared" ca="1" si="299"/>
        <v/>
      </c>
      <c r="AV109" s="174" t="str">
        <f t="shared" ca="1" si="300"/>
        <v>Argelia</v>
      </c>
      <c r="AW109" s="207"/>
      <c r="AX109" s="162"/>
      <c r="AY109" s="263"/>
      <c r="AZ109" s="265" t="str">
        <f t="shared" ca="1" si="303"/>
        <v>1K - 3L</v>
      </c>
      <c r="BA109" s="168"/>
      <c r="BF109" t="str">
        <f t="shared" ca="1" si="304"/>
        <v>A</v>
      </c>
      <c r="BG109">
        <f t="shared" ca="1" si="305"/>
        <v>1</v>
      </c>
      <c r="BI109">
        <v>7</v>
      </c>
      <c r="BJ109" t="str">
        <f t="shared" ca="1" si="306"/>
        <v>J</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3BEFIJ</v>
      </c>
      <c r="AG110" s="313">
        <f t="shared" si="294"/>
        <v>0</v>
      </c>
      <c r="AH110" s="187">
        <v>81</v>
      </c>
      <c r="AI110" s="174">
        <v>9</v>
      </c>
      <c r="AJ110" s="42">
        <v>9</v>
      </c>
      <c r="AK110" s="581" t="e" cm="1" vm="12">
        <f t="array" aca="1" ref="AK110" ca="1">Ver_flag_visit</f>
        <v>#VALUE!</v>
      </c>
      <c r="AL110" s="83" t="str">
        <f t="shared" ca="1" si="297"/>
        <v>Escocia</v>
      </c>
      <c r="AM110" s="568">
        <f t="shared" ca="1" si="301"/>
        <v>3</v>
      </c>
      <c r="AN110" s="84">
        <f t="shared" ref="AN110:AT110" ca="1" si="313">+IF($H$113&gt;=48,INDEX($BE$58:$BN$69,MATCH($AL110,$BD$58:$BD$69,0),MATCH(AN$5,$BE$57:$BN$57,0)),$BB66)</f>
        <v>3</v>
      </c>
      <c r="AO110" s="84">
        <f t="shared" ca="1" si="313"/>
        <v>1</v>
      </c>
      <c r="AP110" s="84">
        <f t="shared" ca="1" si="313"/>
        <v>0</v>
      </c>
      <c r="AQ110" s="84">
        <f t="shared" ca="1" si="313"/>
        <v>2</v>
      </c>
      <c r="AR110" s="84">
        <f t="shared" ca="1" si="313"/>
        <v>1</v>
      </c>
      <c r="AS110" s="84">
        <f t="shared" ca="1" si="313"/>
        <v>4</v>
      </c>
      <c r="AT110" s="85">
        <f t="shared" ca="1" si="313"/>
        <v>-3</v>
      </c>
      <c r="AU110" s="316" t="str">
        <f t="shared" ca="1" si="299"/>
        <v/>
      </c>
      <c r="AV110" s="174" t="str">
        <f t="shared" ca="1" si="300"/>
        <v>Escocia</v>
      </c>
      <c r="AW110" s="207"/>
      <c r="AX110" s="162"/>
      <c r="AY110" s="263"/>
      <c r="AZ110" s="265" t="str">
        <f t="shared" ca="1" si="303"/>
        <v>1L - 3I</v>
      </c>
      <c r="BA110" s="168"/>
      <c r="BF110" t="str">
        <f t="shared" ca="1" si="304"/>
        <v>J</v>
      </c>
      <c r="BG110">
        <f t="shared" ca="1" si="305"/>
        <v>7</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8</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50"/>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30">
        <f t="array" aca="1" ref="AK111" ca="1">Ver_flag_visit</f>
        <v>#VALUE!</v>
      </c>
      <c r="AL111" s="83" t="str">
        <f t="shared" ca="1" si="297"/>
        <v>Cabo Verde</v>
      </c>
      <c r="AM111" s="568">
        <f t="shared" ca="1" si="301"/>
        <v>2</v>
      </c>
      <c r="AN111" s="84">
        <f t="shared" ref="AN111:AT111" ca="1" si="314">+IF($H$113&gt;=48,INDEX($BE$58:$BN$69,MATCH($AL111,$BD$58:$BD$69,0),MATCH(AN$5,$BE$57:$BN$57,0)),$BB67)</f>
        <v>2</v>
      </c>
      <c r="AO111" s="84">
        <f t="shared" ca="1" si="314"/>
        <v>0</v>
      </c>
      <c r="AP111" s="84">
        <f t="shared" ca="1" si="314"/>
        <v>2</v>
      </c>
      <c r="AQ111" s="84">
        <f t="shared" ca="1" si="314"/>
        <v>0</v>
      </c>
      <c r="AR111" s="84">
        <f t="shared" ca="1" si="314"/>
        <v>2</v>
      </c>
      <c r="AS111" s="84">
        <f t="shared" ca="1" si="314"/>
        <v>2</v>
      </c>
      <c r="AT111" s="85">
        <f t="shared" ca="1" si="314"/>
        <v>0</v>
      </c>
      <c r="AU111" s="316" t="str">
        <f t="shared" ca="1" si="299"/>
        <v/>
      </c>
      <c r="AV111" s="174" t="str">
        <f t="shared" ca="1" si="300"/>
        <v>Cabo Verde</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8</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25">
        <f t="array" aca="1" ref="AK112" ca="1">Ver_flag_visit</f>
        <v>#VALUE!</v>
      </c>
      <c r="AL112" s="83" t="str">
        <f t="shared" ca="1" si="297"/>
        <v>Bélgica</v>
      </c>
      <c r="AM112" s="568">
        <f t="shared" ca="1" si="301"/>
        <v>2</v>
      </c>
      <c r="AN112" s="84">
        <f t="shared" ref="AN112:AT112" ca="1" si="315">+IF($H$113&gt;=48,INDEX($BE$58:$BN$69,MATCH($AL112,$BD$58:$BD$69,0),MATCH(AN$5,$BE$57:$BN$57,0)),$BB68)</f>
        <v>2</v>
      </c>
      <c r="AO112" s="84">
        <f t="shared" ca="1" si="315"/>
        <v>0</v>
      </c>
      <c r="AP112" s="84">
        <f t="shared" ca="1" si="315"/>
        <v>2</v>
      </c>
      <c r="AQ112" s="84">
        <f t="shared" ca="1" si="315"/>
        <v>0</v>
      </c>
      <c r="AR112" s="84">
        <f t="shared" ca="1" si="315"/>
        <v>1</v>
      </c>
      <c r="AS112" s="84">
        <f t="shared" ca="1" si="315"/>
        <v>1</v>
      </c>
      <c r="AT112" s="85">
        <f t="shared" ca="1" si="315"/>
        <v>0</v>
      </c>
      <c r="AU112" s="316" t="str">
        <f t="shared" ca="1" si="299"/>
        <v/>
      </c>
      <c r="AV112" s="174" t="str">
        <f t="shared" ca="1" si="300"/>
        <v>Bélgica</v>
      </c>
      <c r="AW112" s="207"/>
      <c r="AX112" s="162"/>
      <c r="AY112" s="262"/>
      <c r="AZ112" s="262"/>
      <c r="BA112" s="168"/>
      <c r="BI112" t="str">
        <f ca="1">IFERROR(CONCATENATE(BJ103,BJ104,BJ105,BJ106,BJ107,BJ108,BJ109,BJ110),"¿A/B/C/D/E/F/G/H/I/J/K/L?")</f>
        <v>ABDEFIJL</v>
      </c>
    </row>
    <row r="113" spans="1:59" ht="16" customHeight="1" thickBot="1">
      <c r="A113" s="16" t="s">
        <v>660</v>
      </c>
      <c r="B113" s="16" t="s">
        <v>740</v>
      </c>
      <c r="C113" s="16"/>
      <c r="D113" s="16" t="str">
        <f t="shared" si="289"/>
        <v>W85</v>
      </c>
      <c r="E113" s="16" t="s">
        <v>1</v>
      </c>
      <c r="F113" s="16" t="s">
        <v>733</v>
      </c>
      <c r="G113" s="16" t="s">
        <v>733</v>
      </c>
      <c r="H113" s="16">
        <f ca="1">+IF($AJ$99&lt;&gt;144,SUM(H101:H112),$AJ$99)</f>
        <v>124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3EFGIJ</v>
      </c>
      <c r="AG113" s="313">
        <f t="shared" si="294"/>
        <v>0</v>
      </c>
      <c r="AH113" s="187">
        <v>85</v>
      </c>
      <c r="AI113" s="174">
        <v>12</v>
      </c>
      <c r="AJ113" s="44">
        <v>12</v>
      </c>
      <c r="AK113" s="583" t="e" cm="1" vm="42">
        <f t="array" aca="1" ref="AK113" ca="1">Ver_flag_visit</f>
        <v>#VALUE!</v>
      </c>
      <c r="AL113" s="45" t="str">
        <f t="shared" ca="1" si="297"/>
        <v>RD Congo</v>
      </c>
      <c r="AM113" s="569">
        <f t="shared" ca="1" si="301"/>
        <v>1</v>
      </c>
      <c r="AN113" s="47">
        <f t="shared" ref="AN113:AT113" ca="1" si="316">+IF($H$113&gt;=48,INDEX($BE$58:$BN$69,MATCH($AL113,$BD$58:$BD$69,0),MATCH(AN$5,$BE$57:$BN$57,0)),$BB69)</f>
        <v>2</v>
      </c>
      <c r="AO113" s="47">
        <f t="shared" ca="1" si="316"/>
        <v>0</v>
      </c>
      <c r="AP113" s="47">
        <f t="shared" ca="1" si="316"/>
        <v>1</v>
      </c>
      <c r="AQ113" s="47">
        <f t="shared" ca="1" si="316"/>
        <v>1</v>
      </c>
      <c r="AR113" s="47">
        <f t="shared" ca="1" si="316"/>
        <v>1</v>
      </c>
      <c r="AS113" s="47">
        <f t="shared" ca="1" si="316"/>
        <v>2</v>
      </c>
      <c r="AT113" s="48">
        <f t="shared" ca="1" si="316"/>
        <v>-1</v>
      </c>
      <c r="AU113" s="316" t="str">
        <f t="shared" ca="1" si="299"/>
        <v/>
      </c>
      <c r="AV113" s="174" t="str">
        <f t="shared" ca="1" si="300"/>
        <v>RD Congo</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50"/>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3I</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Brasil</v>
      </c>
      <c r="C75" t="str">
        <f ca="1">WORLDCUP!AF102</f>
        <v>Japón</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Alemania</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Países Bajos</v>
      </c>
      <c r="C77" t="str">
        <f ca="1">WORLDCUP!AF104</f>
        <v>Marruecos</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Costa de Marfil</v>
      </c>
      <c r="C78" t="str">
        <f ca="1">WORLDCUP!AF105</f>
        <v>Noruega</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Francia</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Croacia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1º GRUPO G</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2º GRUPO G</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3º GRUPO G</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4º GRUPO G</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1º GRUPO H</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2º GRUPO H</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3º GRUPO H</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4º GRUPO H</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1º GRUPO J</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2º GRUPO J</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3º GRUPO J</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4º GRUPO J</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1º GRUPO K</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2º GRUPO K</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3º GRUPO K</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4º GRUPO K</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1º GRUPO L</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2º GRUPO L</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3º GRUPO L</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4º GRUPO L</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1L</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1G</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1H</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2K</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1J</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1K</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3ABCDF</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3CDFGH</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3CEFHI</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3EHIJK</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3AEHIJ</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3BEFIJ</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2J</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2L</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3EFGIJ</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2G</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2H</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3DEIJL</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Sudáfrica-Canadá·0|-</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Brasil-Japón·0|-</v>
      </c>
      <c r="D165" s="689"/>
      <c r="E165" s="675"/>
      <c r="F165" s="675"/>
      <c r="G165" s="675"/>
      <c r="H165" s="675"/>
      <c r="I165" s="338"/>
      <c r="J165" s="356"/>
      <c r="K165" s="356"/>
      <c r="L165" s="356"/>
      <c r="M165" s="372"/>
      <c r="N165" s="363"/>
    </row>
    <row r="166" spans="1:14" ht="15" customHeight="1">
      <c r="A166" s="686"/>
      <c r="B166" s="346" t="str">
        <f ca="1">CONCATENATE(WORLDCUP!AA103,"-",WORLDCUP!AF103)</f>
        <v>Alemania-3ABCDF</v>
      </c>
      <c r="C166" s="335" t="str">
        <f ca="1">CONCATENATE(WORLDCUP!AA103,"-",WORLDCUP!AF103,"·",IF(WORLDCUP!AC103&gt;WORLDCUP!AD103,1,IF(WORLDCUP!AC103&lt;WORLDCUP!AD103,2,IF(AND(WORLDCUP!AC103=WORLDCUP!AD103,WORLDCUP!AC103&lt;&gt;"",WORLDCUP!AD103&lt;&gt;""),"X",0))),"|",WORLDCUP!AC103,"-",WORLDCUP!AD103)</f>
        <v>Alemania-3ABCDF·0|-</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Bajos-Marruecos·0|-</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Marfil-Noruega·0|-</v>
      </c>
      <c r="D168" s="689"/>
      <c r="E168" s="356"/>
      <c r="F168" s="356"/>
      <c r="G168" s="356"/>
      <c r="H168" s="356"/>
      <c r="I168" s="338"/>
      <c r="J168" s="356"/>
      <c r="K168" s="356"/>
      <c r="L168" s="356"/>
      <c r="M168" s="372"/>
      <c r="N168" s="363"/>
    </row>
    <row r="169" spans="1:14" ht="15" customHeight="1">
      <c r="A169" s="686"/>
      <c r="B169" s="346" t="str">
        <f ca="1">CONCATENATE(WORLDCUP!AA106,"-",WORLDCUP!AF106)</f>
        <v>Francia-3CDFGH</v>
      </c>
      <c r="C169" s="335" t="str">
        <f ca="1">CONCATENATE(WORLDCUP!AA106,"-",WORLDCUP!AF106,"·",IF(WORLDCUP!AC106&gt;WORLDCUP!AD106,1,IF(WORLDCUP!AC106&lt;WORLDCUP!AD106,2,IF(AND(WORLDCUP!AC106=WORLDCUP!AD106,WORLDCUP!AC106&lt;&gt;"",WORLDCUP!AD106&lt;&gt;""),"X",0))),"|",WORLDCUP!AC106,"-",WORLDCUP!AD106)</f>
        <v>Francia-3CDFGH·0|-</v>
      </c>
      <c r="D169" s="689"/>
      <c r="E169" s="356"/>
      <c r="F169" s="356"/>
      <c r="G169" s="356"/>
      <c r="H169" s="356"/>
      <c r="I169" s="338"/>
      <c r="J169" s="356"/>
      <c r="K169" s="356"/>
      <c r="L169" s="356"/>
      <c r="M169" s="372"/>
      <c r="N169" s="363"/>
    </row>
    <row r="170" spans="1:14" ht="15" customHeight="1">
      <c r="A170" s="686"/>
      <c r="B170" s="346" t="str">
        <f ca="1">CONCATENATE(WORLDCUP!AA107,"-",WORLDCUP!AF107)</f>
        <v>México-3CEFHI</v>
      </c>
      <c r="C170" s="335" t="str">
        <f ca="1">CONCATENATE(WORLDCUP!AA107,"-",WORLDCUP!AF107,"·",IF(WORLDCUP!AC107&gt;WORLDCUP!AD107,1,IF(WORLDCUP!AC107&lt;WORLDCUP!AD107,2,IF(AND(WORLDCUP!AC107=WORLDCUP!AD107,WORLDCUP!AC107&lt;&gt;"",WORLDCUP!AD107&lt;&gt;""),"X",0))),"|",WORLDCUP!AC107,"-",WORLDCUP!AD107)</f>
        <v>México-3CEFHI·0|-</v>
      </c>
      <c r="D170" s="689"/>
      <c r="E170" s="356"/>
      <c r="F170" s="356"/>
      <c r="G170" s="356"/>
      <c r="H170" s="356"/>
      <c r="I170" s="338"/>
      <c r="J170" s="356"/>
      <c r="K170" s="356"/>
      <c r="L170" s="356"/>
      <c r="M170" s="372"/>
      <c r="N170" s="363"/>
    </row>
    <row r="171" spans="1:14" ht="15" customHeight="1">
      <c r="A171" s="686"/>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9"/>
      <c r="E171" s="356"/>
      <c r="F171" s="356"/>
      <c r="G171" s="356"/>
      <c r="H171" s="356"/>
      <c r="I171" s="338"/>
      <c r="J171" s="356"/>
      <c r="K171" s="356"/>
      <c r="L171" s="356"/>
      <c r="M171" s="372"/>
      <c r="N171" s="363"/>
    </row>
    <row r="172" spans="1:14" ht="15" customHeight="1">
      <c r="A172" s="686"/>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9"/>
      <c r="E172" s="356"/>
      <c r="F172" s="356"/>
      <c r="G172" s="356"/>
      <c r="H172" s="356"/>
      <c r="I172" s="338"/>
      <c r="J172" s="356"/>
      <c r="K172" s="356"/>
      <c r="L172" s="356"/>
      <c r="M172" s="372"/>
      <c r="N172" s="363"/>
    </row>
    <row r="173" spans="1:14" ht="15" customHeight="1">
      <c r="A173" s="686"/>
      <c r="B173" s="346" t="str">
        <f ca="1">CONCATENATE(WORLDCUP!AA110,"-",WORLDCUP!AF110)</f>
        <v>Estados Unidos-3BEFIJ</v>
      </c>
      <c r="C173" s="335" t="str">
        <f ca="1">CONCATENATE(WORLDCUP!AA110,"-",WORLDCUP!AF110,"·",IF(WORLDCUP!AC110&gt;WORLDCUP!AD110,1,IF(WORLDCUP!AC110&lt;WORLDCUP!AD110,2,IF(AND(WORLDCUP!AC110=WORLDCUP!AD110,WORLDCUP!AC110&lt;&gt;"",WORLDCUP!AD110&lt;&gt;""),"X",0))),"|",WORLDCUP!AC110,"-",WORLDCUP!AD110)</f>
        <v>Estados Unidos-3BEFIJ·0|-</v>
      </c>
      <c r="D173" s="689"/>
      <c r="E173" s="356"/>
      <c r="F173" s="356"/>
      <c r="G173" s="356"/>
      <c r="H173" s="356"/>
      <c r="I173" s="338"/>
      <c r="J173" s="356"/>
      <c r="K173" s="356"/>
      <c r="L173" s="356"/>
      <c r="M173" s="372"/>
      <c r="N173" s="363"/>
    </row>
    <row r="174" spans="1:14" ht="15" customHeight="1">
      <c r="A174" s="686"/>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9"/>
      <c r="E174" s="356"/>
      <c r="F174" s="356"/>
      <c r="G174" s="356"/>
      <c r="H174" s="356"/>
      <c r="I174" s="338"/>
      <c r="J174" s="356"/>
      <c r="K174" s="356"/>
      <c r="L174" s="356"/>
      <c r="M174" s="372"/>
      <c r="N174" s="363"/>
    </row>
    <row r="175" spans="1:14" ht="15" customHeight="1">
      <c r="A175" s="686"/>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9"/>
      <c r="E175" s="356"/>
      <c r="F175" s="356"/>
      <c r="G175" s="356"/>
      <c r="H175" s="356"/>
      <c r="I175" s="338"/>
      <c r="J175" s="356"/>
      <c r="K175" s="356"/>
      <c r="L175" s="356"/>
      <c r="M175" s="372"/>
      <c r="N175" s="363"/>
    </row>
    <row r="176" spans="1:14" ht="15" customHeight="1">
      <c r="A176" s="686"/>
      <c r="B176" s="346" t="str">
        <f ca="1">CONCATENATE(WORLDCUP!AA113,"-",WORLDCUP!AF113)</f>
        <v>Suiza-3EFGIJ</v>
      </c>
      <c r="C176" s="335" t="str">
        <f ca="1">CONCATENATE(WORLDCUP!AA113,"-",WORLDCUP!AF113,"·",IF(WORLDCUP!AC113&gt;WORLDCUP!AD113,1,IF(WORLDCUP!AC113&lt;WORLDCUP!AD113,2,IF(AND(WORLDCUP!AC113=WORLDCUP!AD113,WORLDCUP!AC113&lt;&gt;"",WORLDCUP!AD113&lt;&gt;""),"X",0))),"|",WORLDCUP!AC113,"-",WORLDCUP!AD113)</f>
        <v>Suiza-3EFGIJ·0|-</v>
      </c>
      <c r="D176" s="689"/>
      <c r="E176" s="356"/>
      <c r="F176" s="356"/>
      <c r="G176" s="356"/>
      <c r="H176" s="356"/>
      <c r="I176" s="338"/>
      <c r="J176" s="356"/>
      <c r="K176" s="356"/>
      <c r="L176" s="356"/>
      <c r="M176" s="372"/>
      <c r="N176" s="363"/>
    </row>
    <row r="177" spans="1:14" ht="15" customHeight="1">
      <c r="A177" s="686"/>
      <c r="B177" s="346" t="str">
        <f ca="1">CONCATENATE(WORLDCUP!AA114,"-",WORLDCUP!AF114)</f>
        <v>Australia-2G</v>
      </c>
      <c r="C177" s="335" t="str">
        <f ca="1">CONCATENATE(WORLDCUP!AA114,"-",WORLDCUP!AF114,"·",IF(WORLDCUP!AC114&gt;WORLDCUP!AD114,1,IF(WORLDCUP!AC114&lt;WORLDCUP!AD114,2,IF(AND(WORLDCUP!AC114=WORLDCUP!AD114,WORLDCUP!AC114&lt;&gt;"",WORLDCUP!AD114&lt;&gt;""),"X",0))),"|",WORLDCUP!AC114,"-",WORLDCUP!AD114)</f>
        <v>Australia-2G·0|-</v>
      </c>
      <c r="D177" s="689"/>
      <c r="E177" s="356"/>
      <c r="F177" s="356"/>
      <c r="G177" s="356"/>
      <c r="H177" s="356"/>
      <c r="I177" s="338"/>
      <c r="J177" s="356"/>
      <c r="K177" s="356"/>
      <c r="L177" s="356"/>
      <c r="M177" s="372"/>
      <c r="N177" s="363"/>
    </row>
    <row r="178" spans="1:14" ht="15" customHeight="1">
      <c r="A178" s="686"/>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9"/>
      <c r="E178" s="356"/>
      <c r="F178" s="356"/>
      <c r="G178" s="356"/>
      <c r="H178" s="356"/>
      <c r="I178" s="338"/>
      <c r="J178" s="356"/>
      <c r="K178" s="356"/>
      <c r="L178" s="356"/>
      <c r="M178" s="372"/>
      <c r="N178" s="363"/>
    </row>
    <row r="179" spans="1:14" ht="15" customHeight="1">
      <c r="A179" s="686"/>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WORLDCUP!AA120</f>
        <v>W73</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Fra</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Paí</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1</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Mar</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1</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1</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Jap</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Cos</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Nor</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1</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6</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1</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4</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-2</v>
      </c>
      <c r="W47" s="458" t="str">
        <f ca="1">+INDEX(WORLDCUP!$AR$6:$AR$97,MATCH(X47,WORLDCUP!$AI$6:$AI$97,0))&amp;"-"&amp;INDEX(WORLDCUP!$AS$6:$AS$97,MATCH(X47,WORLDCUP!$AI$6:$AI$97,0))</f>
        <v>0-2</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Argelia</v>
      </c>
      <c r="E167" s="9" t="str">
        <f ca="1">+WORLDCUP!BD66</f>
        <v>Senegal</v>
      </c>
      <c r="F167" s="9" t="str">
        <f ca="1">+WORLDCUP!BD63</f>
        <v>Suecia</v>
      </c>
      <c r="G167" s="9" t="str">
        <f ca="1">+WORLDCUP!BD58</f>
        <v>Corea del Sur</v>
      </c>
      <c r="H167" s="9" t="str">
        <f ca="1">+WORLDCUP!BD64</f>
        <v>Bélgica</v>
      </c>
      <c r="I167" s="9" t="str">
        <f ca="1">+WORLDCUP!BD69</f>
        <v>Croacia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Cabo Verde</v>
      </c>
      <c r="H168" s="9" t="str">
        <f ca="1">+WORLDCUP!BD64</f>
        <v>Bélgica</v>
      </c>
      <c r="I168" s="9" t="str">
        <f ca="1">+WORLDCUP!BD69</f>
        <v>Croacia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Cabo Verde</v>
      </c>
      <c r="I169" s="9" t="str">
        <f ca="1">+WORLDCUP!BD69</f>
        <v>Croacia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Bélgica</v>
      </c>
      <c r="I170" s="9" t="str">
        <f ca="1">+WORLDCUP!BD69</f>
        <v>Croacia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Argelia</v>
      </c>
      <c r="F171" s="9" t="str">
        <f ca="1">+WORLDCUP!BD63</f>
        <v>Suecia</v>
      </c>
      <c r="G171" s="9" t="str">
        <f ca="1">+WORLDCUP!BD58</f>
        <v>Corea del Sur</v>
      </c>
      <c r="H171" s="9" t="str">
        <f ca="1">+WORLDCUP!BD65</f>
        <v>Cabo Verde</v>
      </c>
      <c r="I171" s="9" t="str">
        <f ca="1">+WORLDCUP!BD69</f>
        <v>Croacia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Corea del Sur</v>
      </c>
      <c r="H172" s="9" t="str">
        <f ca="1">+WORLDCUP!BD65</f>
        <v>Cabo Verde</v>
      </c>
      <c r="I172" s="9" t="str">
        <f ca="1">+WORLDCUP!BD69</f>
        <v>Croacia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Argelia</v>
      </c>
      <c r="F173" s="9" t="str">
        <f ca="1">+WORLDCUP!BD63</f>
        <v>Suecia</v>
      </c>
      <c r="G173" s="9" t="str">
        <f ca="1">+WORLDCUP!BD58</f>
        <v>Corea del Sur</v>
      </c>
      <c r="H173" s="9" t="str">
        <f ca="1">+WORLDCUP!BD65</f>
        <v>Cabo Verde</v>
      </c>
      <c r="I173" s="9" t="str">
        <f ca="1">+WORLDCUP!BD69</f>
        <v>Croacia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Argelia</v>
      </c>
      <c r="F174" s="9" t="str">
        <f ca="1">+WORLDCUP!BD63</f>
        <v>Suecia</v>
      </c>
      <c r="G174" s="9" t="str">
        <f ca="1">+WORLDCUP!BD58</f>
        <v>Corea del Sur</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Argelia</v>
      </c>
      <c r="E175" s="9" t="str">
        <f ca="1">+WORLDCUP!BD66</f>
        <v>Senegal</v>
      </c>
      <c r="F175" s="9" t="str">
        <f ca="1">+WORLDCUP!BD61</f>
        <v>Paraguay</v>
      </c>
      <c r="G175" s="9" t="str">
        <f ca="1">+WORLDCUP!BD58</f>
        <v>Corea del Sur</v>
      </c>
      <c r="H175" s="9" t="str">
        <f ca="1">+WORLDCUP!BD64</f>
        <v>Bélgica</v>
      </c>
      <c r="I175" s="9" t="str">
        <f ca="1">+WORLDCUP!BD69</f>
        <v>Croacia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Croacia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Argelia</v>
      </c>
      <c r="F177" s="9" t="str">
        <f ca="1">+WORLDCUP!BD61</f>
        <v>Paraguay</v>
      </c>
      <c r="G177" s="9" t="str">
        <f ca="1">+WORLDCUP!BD58</f>
        <v>Corea del Sur</v>
      </c>
      <c r="H177" s="9" t="str">
        <f ca="1">+WORLDCUP!BD63</f>
        <v>Suecia</v>
      </c>
      <c r="I177" s="9" t="str">
        <f ca="1">+WORLDCUP!BD69</f>
        <v>Croacia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Argelia</v>
      </c>
      <c r="F178" s="9" t="str">
        <f ca="1">+WORLDCUP!BD61</f>
        <v>Paraguay</v>
      </c>
      <c r="G178" s="9" t="str">
        <f ca="1">+WORLDCUP!BD58</f>
        <v>Corea del Sur</v>
      </c>
      <c r="H178" s="9" t="str">
        <f ca="1">+WORLDCUP!BD63</f>
        <v>Suecia</v>
      </c>
      <c r="I178" s="9" t="str">
        <f ca="1">+WORLDCUP!BD69</f>
        <v>Croacia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Corea del Sur</v>
      </c>
      <c r="H179" s="9" t="str">
        <f ca="1">+WORLDCUP!BD63</f>
        <v>Suecia</v>
      </c>
      <c r="I179" s="9" t="str">
        <f ca="1">+WORLDCUP!BD69</f>
        <v>Croacia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Argelia</v>
      </c>
      <c r="F180" s="9" t="str">
        <f ca="1">+WORLDCUP!BD61</f>
        <v>Paraguay</v>
      </c>
      <c r="G180" s="9" t="str">
        <f ca="1">+WORLDCUP!BD58</f>
        <v>Corea del Sur</v>
      </c>
      <c r="H180" s="9" t="str">
        <f ca="1">+WORLDCUP!BD63</f>
        <v>Suecia</v>
      </c>
      <c r="I180" s="9" t="str">
        <f ca="1">+WORLDCUP!BD69</f>
        <v>Croacia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Cabo Verde</v>
      </c>
      <c r="I182" s="9" t="str">
        <f ca="1">+WORLDCUP!BD69</f>
        <v>Croacia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Bélgica</v>
      </c>
      <c r="I183" s="9" t="str">
        <f ca="1">+WORLDCUP!BD69</f>
        <v>Croacia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Argelia</v>
      </c>
      <c r="F184" s="9" t="str">
        <f ca="1">+WORLDCUP!BD61</f>
        <v>Paraguay</v>
      </c>
      <c r="G184" s="9" t="str">
        <f ca="1">+WORLDCUP!BD58</f>
        <v>Corea del Sur</v>
      </c>
      <c r="H184" s="9" t="str">
        <f ca="1">+WORLDCUP!BD65</f>
        <v>Cabo Verde</v>
      </c>
      <c r="I184" s="9" t="str">
        <f ca="1">+WORLDCUP!BD69</f>
        <v>Croacia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Corea del Sur</v>
      </c>
      <c r="H185" s="9" t="str">
        <f ca="1">+WORLDCUP!BD65</f>
        <v>Cabo Verde</v>
      </c>
      <c r="I185" s="9" t="str">
        <f ca="1">+WORLDCUP!BD69</f>
        <v>Croacia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Argelia</v>
      </c>
      <c r="F186" s="9" t="str">
        <f ca="1">+WORLDCUP!BD61</f>
        <v>Paraguay</v>
      </c>
      <c r="G186" s="9" t="str">
        <f ca="1">+WORLDCUP!BD58</f>
        <v>Corea del Sur</v>
      </c>
      <c r="H186" s="9" t="str">
        <f ca="1">+WORLDCUP!BD65</f>
        <v>Cabo Verde</v>
      </c>
      <c r="I186" s="9" t="str">
        <f ca="1">+WORLDCUP!BD69</f>
        <v>Croacia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Argelia</v>
      </c>
      <c r="F187" s="9" t="str">
        <f ca="1">+WORLDCUP!BD61</f>
        <v>Paraguay</v>
      </c>
      <c r="G187" s="9" t="str">
        <f ca="1">+WORLDCUP!BD58</f>
        <v>Corea del Sur</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Croacia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Croacia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Croacia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Croacia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Argelia</v>
      </c>
      <c r="F193" s="9" t="str">
        <f ca="1">+WORLDCUP!BD61</f>
        <v>Paraguay</v>
      </c>
      <c r="G193" s="9" t="str">
        <f ca="1">+WORLDCUP!BD58</f>
        <v>Corea del Sur</v>
      </c>
      <c r="H193" s="9" t="str">
        <f ca="1">+WORLDCUP!BD63</f>
        <v>Suecia</v>
      </c>
      <c r="I193" s="9" t="str">
        <f ca="1">+WORLDCUP!BD69</f>
        <v>Croacia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Corea del Sur</v>
      </c>
      <c r="H194" s="9" t="str">
        <f ca="1">+WORLDCUP!BD63</f>
        <v>Suecia</v>
      </c>
      <c r="I194" s="9" t="str">
        <f ca="1">+WORLDCUP!BD69</f>
        <v>Croacia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Argelia</v>
      </c>
      <c r="F195" s="9" t="str">
        <f ca="1">+WORLDCUP!BD61</f>
        <v>Paraguay</v>
      </c>
      <c r="G195" s="9" t="str">
        <f ca="1">+WORLDCUP!BD58</f>
        <v>Corea del Sur</v>
      </c>
      <c r="H195" s="9" t="str">
        <f ca="1">+WORLDCUP!BD63</f>
        <v>Suecia</v>
      </c>
      <c r="I195" s="9" t="str">
        <f ca="1">+WORLDCUP!BD69</f>
        <v>Croacia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Corea del Sur</v>
      </c>
      <c r="H197" s="9" t="str">
        <f ca="1">+WORLDCUP!BD63</f>
        <v>Suecia</v>
      </c>
      <c r="I197" s="9" t="str">
        <f ca="1">+WORLDCUP!BD69</f>
        <v>Croacia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Argelia</v>
      </c>
      <c r="F198" s="9" t="str">
        <f ca="1">+WORLDCUP!BD61</f>
        <v>Paraguay</v>
      </c>
      <c r="G198" s="9" t="str">
        <f ca="1">+WORLDCUP!BD58</f>
        <v>Corea del Sur</v>
      </c>
      <c r="H198" s="9" t="str">
        <f ca="1">+WORLDCUP!BD63</f>
        <v>Suecia</v>
      </c>
      <c r="I198" s="9" t="str">
        <f ca="1">+WORLDCUP!BD69</f>
        <v>Croacia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Corea del Sur</v>
      </c>
      <c r="H200" s="9" t="str">
        <f ca="1">+WORLDCUP!BD63</f>
        <v>Suecia</v>
      </c>
      <c r="I200" s="9" t="str">
        <f ca="1">+WORLDCUP!BD69</f>
        <v>Croacia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Argelia</v>
      </c>
      <c r="E203" s="9" t="str">
        <f ca="1">+WORLDCUP!BD66</f>
        <v>Senegal</v>
      </c>
      <c r="F203" s="9" t="str">
        <f ca="1">+WORLDCUP!BD60</f>
        <v>Escocia</v>
      </c>
      <c r="G203" s="9" t="str">
        <f ca="1">+WORLDCUP!BD58</f>
        <v>Corea del Sur</v>
      </c>
      <c r="H203" s="9" t="str">
        <f ca="1">+WORLDCUP!BD64</f>
        <v>Bélgica</v>
      </c>
      <c r="I203" s="9" t="str">
        <f ca="1">+WORLDCUP!BD69</f>
        <v>Croacia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Croacia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Argelia</v>
      </c>
      <c r="F205" s="9" t="str">
        <f ca="1">+WORLDCUP!BD60</f>
        <v>Escocia</v>
      </c>
      <c r="G205" s="9" t="str">
        <f ca="1">+WORLDCUP!BD58</f>
        <v>Corea del Sur</v>
      </c>
      <c r="H205" s="9" t="str">
        <f ca="1">+WORLDCUP!BD63</f>
        <v>Suecia</v>
      </c>
      <c r="I205" s="9" t="str">
        <f ca="1">+WORLDCUP!BD69</f>
        <v>Croacia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Argelia</v>
      </c>
      <c r="F206" s="9" t="str">
        <f ca="1">+WORLDCUP!BD60</f>
        <v>Escocia</v>
      </c>
      <c r="G206" s="9" t="str">
        <f ca="1">+WORLDCUP!BD58</f>
        <v>Corea del Sur</v>
      </c>
      <c r="H206" s="9" t="str">
        <f ca="1">+WORLDCUP!BD63</f>
        <v>Suecia</v>
      </c>
      <c r="I206" s="9" t="str">
        <f ca="1">+WORLDCUP!BD69</f>
        <v>Croacia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Corea del Sur</v>
      </c>
      <c r="H207" s="9" t="str">
        <f ca="1">+WORLDCUP!BD63</f>
        <v>Suecia</v>
      </c>
      <c r="I207" s="9" t="str">
        <f ca="1">+WORLDCUP!BD69</f>
        <v>Croacia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Argelia</v>
      </c>
      <c r="F208" s="9" t="str">
        <f ca="1">+WORLDCUP!BD60</f>
        <v>Escocia</v>
      </c>
      <c r="G208" s="9" t="str">
        <f ca="1">+WORLDCUP!BD58</f>
        <v>Corea del Sur</v>
      </c>
      <c r="H208" s="9" t="str">
        <f ca="1">+WORLDCUP!BD63</f>
        <v>Suecia</v>
      </c>
      <c r="I208" s="9" t="str">
        <f ca="1">+WORLDCUP!BD69</f>
        <v>Croacia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Cabo Verde</v>
      </c>
      <c r="I210" s="9" t="str">
        <f ca="1">+WORLDCUP!BD69</f>
        <v>Croacia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Bélgica</v>
      </c>
      <c r="I211" s="9" t="str">
        <f ca="1">+WORLDCUP!BD69</f>
        <v>Croacia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Argelia</v>
      </c>
      <c r="F212" s="9" t="str">
        <f ca="1">+WORLDCUP!BD60</f>
        <v>Escocia</v>
      </c>
      <c r="G212" s="9" t="str">
        <f ca="1">+WORLDCUP!BD58</f>
        <v>Corea del Sur</v>
      </c>
      <c r="H212" s="9" t="str">
        <f ca="1">+WORLDCUP!BD65</f>
        <v>Cabo Verde</v>
      </c>
      <c r="I212" s="9" t="str">
        <f ca="1">+WORLDCUP!BD69</f>
        <v>Croacia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Corea del Sur</v>
      </c>
      <c r="H213" s="9" t="str">
        <f ca="1">+WORLDCUP!BD65</f>
        <v>Cabo Verde</v>
      </c>
      <c r="I213" s="9" t="str">
        <f ca="1">+WORLDCUP!BD69</f>
        <v>Croacia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Argelia</v>
      </c>
      <c r="F214" s="9" t="str">
        <f ca="1">+WORLDCUP!BD60</f>
        <v>Escocia</v>
      </c>
      <c r="G214" s="9" t="str">
        <f ca="1">+WORLDCUP!BD58</f>
        <v>Corea del Sur</v>
      </c>
      <c r="H214" s="9" t="str">
        <f ca="1">+WORLDCUP!BD65</f>
        <v>Cabo Verde</v>
      </c>
      <c r="I214" s="9" t="str">
        <f ca="1">+WORLDCUP!BD69</f>
        <v>Croacia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Argelia</v>
      </c>
      <c r="F215" s="9" t="str">
        <f ca="1">+WORLDCUP!BD60</f>
        <v>Escocia</v>
      </c>
      <c r="G215" s="9" t="str">
        <f ca="1">+WORLDCUP!BD58</f>
        <v>Corea del Sur</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Croacia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Croacia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Croacia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Croacia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Argelia</v>
      </c>
      <c r="F221" s="9" t="str">
        <f ca="1">+WORLDCUP!BD60</f>
        <v>Escocia</v>
      </c>
      <c r="G221" s="9" t="str">
        <f ca="1">+WORLDCUP!BD58</f>
        <v>Corea del Sur</v>
      </c>
      <c r="H221" s="9" t="str">
        <f ca="1">+WORLDCUP!BD63</f>
        <v>Suecia</v>
      </c>
      <c r="I221" s="9" t="str">
        <f ca="1">+WORLDCUP!BD69</f>
        <v>Croacia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Corea del Sur</v>
      </c>
      <c r="H222" s="9" t="str">
        <f ca="1">+WORLDCUP!BD63</f>
        <v>Suecia</v>
      </c>
      <c r="I222" s="9" t="str">
        <f ca="1">+WORLDCUP!BD69</f>
        <v>Croacia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Argelia</v>
      </c>
      <c r="F223" s="9" t="str">
        <f ca="1">+WORLDCUP!BD60</f>
        <v>Escocia</v>
      </c>
      <c r="G223" s="9" t="str">
        <f ca="1">+WORLDCUP!BD58</f>
        <v>Corea del Sur</v>
      </c>
      <c r="H223" s="9" t="str">
        <f ca="1">+WORLDCUP!BD63</f>
        <v>Suecia</v>
      </c>
      <c r="I223" s="9" t="str">
        <f ca="1">+WORLDCUP!BD69</f>
        <v>Croacia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Corea del Sur</v>
      </c>
      <c r="H225" s="9" t="str">
        <f ca="1">+WORLDCUP!BD63</f>
        <v>Suecia</v>
      </c>
      <c r="I225" s="9" t="str">
        <f ca="1">+WORLDCUP!BD69</f>
        <v>Croacia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Argelia</v>
      </c>
      <c r="F226" s="9" t="str">
        <f ca="1">+WORLDCUP!BD60</f>
        <v>Escocia</v>
      </c>
      <c r="G226" s="9" t="str">
        <f ca="1">+WORLDCUP!BD58</f>
        <v>Corea del Sur</v>
      </c>
      <c r="H226" s="9" t="str">
        <f ca="1">+WORLDCUP!BD63</f>
        <v>Suecia</v>
      </c>
      <c r="I226" s="9" t="str">
        <f ca="1">+WORLDCUP!BD69</f>
        <v>Croacia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Corea del Sur</v>
      </c>
      <c r="H228" s="9" t="str">
        <f ca="1">+WORLDCUP!BD63</f>
        <v>Suecia</v>
      </c>
      <c r="I228" s="9" t="str">
        <f ca="1">+WORLDCUP!BD69</f>
        <v>Croacia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Croacia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Corea del Sur</v>
      </c>
      <c r="H232" s="9" t="str">
        <f ca="1">+WORLDCUP!BD61</f>
        <v>Paraguay</v>
      </c>
      <c r="I232" s="9" t="str">
        <f ca="1">+WORLDCUP!BD69</f>
        <v>Croacia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Argelia</v>
      </c>
      <c r="F233" s="9" t="str">
        <f ca="1">+WORLDCUP!BD60</f>
        <v>Escocia</v>
      </c>
      <c r="G233" s="9" t="str">
        <f ca="1">+WORLDCUP!BD58</f>
        <v>Corea del Sur</v>
      </c>
      <c r="H233" s="9" t="str">
        <f ca="1">+WORLDCUP!BD61</f>
        <v>Paraguay</v>
      </c>
      <c r="I233" s="9" t="str">
        <f ca="1">+WORLDCUP!BD69</f>
        <v>Croacia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Corea del Sur</v>
      </c>
      <c r="H234" s="9" t="str">
        <f ca="1">+WORLDCUP!BD61</f>
        <v>Paraguay</v>
      </c>
      <c r="I234" s="9" t="str">
        <f ca="1">+WORLDCUP!BD69</f>
        <v>Croacia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Argelia</v>
      </c>
      <c r="F235" s="9" t="str">
        <f ca="1">+WORLDCUP!BD60</f>
        <v>Escocia</v>
      </c>
      <c r="G235" s="9" t="str">
        <f ca="1">+WORLDCUP!BD58</f>
        <v>Corea del Sur</v>
      </c>
      <c r="H235" s="9" t="str">
        <f ca="1">+WORLDCUP!BD61</f>
        <v>Paraguay</v>
      </c>
      <c r="I235" s="9" t="str">
        <f ca="1">+WORLDCUP!BD69</f>
        <v>Croacia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Croacia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Croacia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Croacia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Croacia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Argelia</v>
      </c>
      <c r="F242" s="9" t="str">
        <f ca="1">+WORLDCUP!BD61</f>
        <v>Paraguay</v>
      </c>
      <c r="G242" s="9" t="str">
        <f ca="1">+WORLDCUP!BD58</f>
        <v>Corea del Sur</v>
      </c>
      <c r="H242" s="9" t="str">
        <f ca="1">+WORLDCUP!BD63</f>
        <v>Suecia</v>
      </c>
      <c r="I242" s="9" t="str">
        <f ca="1">+WORLDCUP!BD69</f>
        <v>Croacia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Corea del Sur</v>
      </c>
      <c r="H243" s="9" t="str">
        <f ca="1">+WORLDCUP!BD63</f>
        <v>Suecia</v>
      </c>
      <c r="I243" s="9" t="str">
        <f ca="1">+WORLDCUP!BD69</f>
        <v>Croacia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Argelia</v>
      </c>
      <c r="F244" s="9" t="str">
        <f ca="1">+WORLDCUP!BD61</f>
        <v>Paraguay</v>
      </c>
      <c r="G244" s="9" t="str">
        <f ca="1">+WORLDCUP!BD58</f>
        <v>Corea del Sur</v>
      </c>
      <c r="H244" s="9" t="str">
        <f ca="1">+WORLDCUP!BD63</f>
        <v>Suecia</v>
      </c>
      <c r="I244" s="9" t="str">
        <f ca="1">+WORLDCUP!BD69</f>
        <v>Croacia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Corea del Sur</v>
      </c>
      <c r="H246" s="9" t="str">
        <f ca="1">+WORLDCUP!BD61</f>
        <v>Paraguay</v>
      </c>
      <c r="I246" s="9" t="str">
        <f ca="1">+WORLDCUP!BD69</f>
        <v>Croacia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Argelia</v>
      </c>
      <c r="F247" s="9" t="str">
        <f ca="1">+WORLDCUP!BD61</f>
        <v>Paraguay</v>
      </c>
      <c r="G247" s="9" t="str">
        <f ca="1">+WORLDCUP!BD58</f>
        <v>Corea del Sur</v>
      </c>
      <c r="H247" s="9" t="str">
        <f ca="1">+WORLDCUP!BD63</f>
        <v>Suecia</v>
      </c>
      <c r="I247" s="9" t="str">
        <f ca="1">+WORLDCUP!BD69</f>
        <v>Croacia</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Cabo Verde</v>
      </c>
      <c r="D248" s="9" t="str">
        <f ca="1">+WORLDCUP!BD64</f>
        <v>Bélgica</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Corea del Sur</v>
      </c>
      <c r="H249" s="9" t="str">
        <f ca="1">+WORLDCUP!BD61</f>
        <v>Paraguay</v>
      </c>
      <c r="I249" s="9" t="str">
        <f ca="1">+WORLDCUP!BD69</f>
        <v>Croacia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Croacia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Croacia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Croacia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Croacia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Argelia</v>
      </c>
      <c r="F257" s="9" t="str">
        <f ca="1">+WORLDCUP!BD60</f>
        <v>Escocia</v>
      </c>
      <c r="G257" s="9" t="str">
        <f ca="1">+WORLDCUP!BD58</f>
        <v>Corea del Sur</v>
      </c>
      <c r="H257" s="9" t="str">
        <f ca="1">+WORLDCUP!BD61</f>
        <v>Paraguay</v>
      </c>
      <c r="I257" s="9" t="str">
        <f ca="1">+WORLDCUP!BD69</f>
        <v>Croacia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Corea del Sur</v>
      </c>
      <c r="H258" s="9" t="str">
        <f ca="1">+WORLDCUP!BD61</f>
        <v>Paraguay</v>
      </c>
      <c r="I258" s="9" t="str">
        <f ca="1">+WORLDCUP!BD69</f>
        <v>Croacia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Argelia</v>
      </c>
      <c r="F259" s="9" t="str">
        <f ca="1">+WORLDCUP!BD60</f>
        <v>Escocia</v>
      </c>
      <c r="G259" s="9" t="str">
        <f ca="1">+WORLDCUP!BD58</f>
        <v>Corea del Sur</v>
      </c>
      <c r="H259" s="9" t="str">
        <f ca="1">+WORLDCUP!BD61</f>
        <v>Paraguay</v>
      </c>
      <c r="I259" s="9" t="str">
        <f ca="1">+WORLDCUP!BD69</f>
        <v>Croacia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Corea del Sur</v>
      </c>
      <c r="H261" s="9" t="str">
        <f ca="1">+WORLDCUP!BD61</f>
        <v>Paraguay</v>
      </c>
      <c r="I261" s="9" t="str">
        <f ca="1">+WORLDCUP!BD69</f>
        <v>Croacia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Argelia</v>
      </c>
      <c r="F262" s="9" t="str">
        <f ca="1">+WORLDCUP!BD60</f>
        <v>Escocia</v>
      </c>
      <c r="G262" s="9" t="str">
        <f ca="1">+WORLDCUP!BD58</f>
        <v>Corea del Sur</v>
      </c>
      <c r="H262" s="9" t="str">
        <f ca="1">+WORLDCUP!BD61</f>
        <v>Paraguay</v>
      </c>
      <c r="I262" s="9" t="str">
        <f ca="1">+WORLDCUP!BD69</f>
        <v>Croacia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Corea del Sur</v>
      </c>
      <c r="H264" s="9" t="str">
        <f ca="1">+WORLDCUP!BD61</f>
        <v>Paraguay</v>
      </c>
      <c r="I264" s="9" t="str">
        <f ca="1">+WORLDCUP!BD69</f>
        <v>Croacia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Croacia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Croacia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Croacia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Croacia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Croacia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Croacia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Corea del Sur</v>
      </c>
      <c r="H277" s="9" t="str">
        <f ca="1">+WORLDCUP!BD63</f>
        <v>Suecia</v>
      </c>
      <c r="I277" s="9" t="str">
        <f ca="1">+WORLDCUP!BD69</f>
        <v>Croacia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Argelia</v>
      </c>
      <c r="F278" s="9" t="str">
        <f ca="1">+WORLDCUP!BD61</f>
        <v>Paraguay</v>
      </c>
      <c r="G278" s="9" t="str">
        <f ca="1">+WORLDCUP!BD58</f>
        <v>Corea del Sur</v>
      </c>
      <c r="H278" s="9" t="str">
        <f ca="1">+WORLDCUP!BD63</f>
        <v>Suecia</v>
      </c>
      <c r="I278" s="9" t="str">
        <f ca="1">+WORLDCUP!BD69</f>
        <v>Croacia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Corea del Sur</v>
      </c>
      <c r="H280" s="9" t="str">
        <f ca="1">+WORLDCUP!BD63</f>
        <v>Suecia</v>
      </c>
      <c r="I280" s="9" t="str">
        <f ca="1">+WORLDCUP!BD69</f>
        <v>Croacia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Corea del Sur</v>
      </c>
      <c r="H283" s="9" t="str">
        <f ca="1">+WORLDCUP!BD61</f>
        <v>Paraguay</v>
      </c>
      <c r="I283" s="9" t="str">
        <f ca="1">+WORLDCUP!BD69</f>
        <v>Croacia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Cabo Verde</v>
      </c>
      <c r="D284" s="9" t="str">
        <f ca="1">+WORLDCUP!BD64</f>
        <v>Bélgica</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Argelia</v>
      </c>
      <c r="E287" s="9" t="str">
        <f ca="1">+WORLDCUP!BD59</f>
        <v>Bosnia y Herzegovina</v>
      </c>
      <c r="F287" s="9" t="str">
        <f ca="1">+WORLDCUP!BD58</f>
        <v>Corea del Sur</v>
      </c>
      <c r="G287" s="9" t="str">
        <f ca="1">+WORLDCUP!BD66</f>
        <v>Senegal</v>
      </c>
      <c r="H287" s="9" t="str">
        <f ca="1">+WORLDCUP!BD64</f>
        <v>Bélgica</v>
      </c>
      <c r="I287" s="9" t="str">
        <f ca="1">+WORLDCUP!BD69</f>
        <v>Croacia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Croacia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Bélgica</v>
      </c>
      <c r="I289" s="9" t="str">
        <f ca="1">+WORLDCUP!BD69</f>
        <v>Croacia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Corea del Sur</v>
      </c>
      <c r="H290" s="9" t="str">
        <f ca="1">+WORLDCUP!BD64</f>
        <v>Bélgica</v>
      </c>
      <c r="I290" s="9" t="str">
        <f ca="1">+WORLDCUP!BD69</f>
        <v>Croacia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Corea del Sur</v>
      </c>
      <c r="G291" s="9" t="str">
        <f ca="1">+WORLDCUP!BD66</f>
        <v>Senegal</v>
      </c>
      <c r="H291" s="9" t="str">
        <f ca="1">+WORLDCUP!BD63</f>
        <v>Suecia</v>
      </c>
      <c r="I291" s="9" t="str">
        <f ca="1">+WORLDCUP!BD69</f>
        <v>Croacia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Corea del Sur</v>
      </c>
      <c r="H292" s="9" t="str">
        <f ca="1">+WORLDCUP!BD64</f>
        <v>Bélgica</v>
      </c>
      <c r="I292" s="9" t="str">
        <f ca="1">+WORLDCUP!BD69</f>
        <v>Croacia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Corea del Sur</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Cabo Verde</v>
      </c>
      <c r="I294" s="9" t="str">
        <f ca="1">+WORLDCUP!BD69</f>
        <v>Croacia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Bélgica</v>
      </c>
      <c r="I295" s="9" t="str">
        <f ca="1">+WORLDCUP!BD69</f>
        <v>Croacia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Cabo Verde</v>
      </c>
      <c r="H296" s="9" t="str">
        <f ca="1">+WORLDCUP!BD64</f>
        <v>Bélgica</v>
      </c>
      <c r="I296" s="9" t="str">
        <f ca="1">+WORLDCUP!BD69</f>
        <v>Croacia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Corea del Sur</v>
      </c>
      <c r="G297" s="9" t="str">
        <f ca="1">+WORLDCUP!BD66</f>
        <v>Senegal</v>
      </c>
      <c r="H297" s="9" t="str">
        <f ca="1">+WORLDCUP!BD65</f>
        <v>Cabo Verde</v>
      </c>
      <c r="I297" s="9" t="str">
        <f ca="1">+WORLDCUP!BD69</f>
        <v>Croacia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Cabo Verde</v>
      </c>
      <c r="H298" s="9" t="str">
        <f ca="1">+WORLDCUP!BD64</f>
        <v>Bélgica</v>
      </c>
      <c r="I298" s="9" t="str">
        <f ca="1">+WORLDCUP!BD69</f>
        <v>Croacia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Croacia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Cabo Verde</v>
      </c>
      <c r="I301" s="9" t="str">
        <f ca="1">+WORLDCUP!BD69</f>
        <v>Croacia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Cabo Verde</v>
      </c>
      <c r="I302" s="9" t="str">
        <f ca="1">+WORLDCUP!BD69</f>
        <v>Croacia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Cabo Verde</v>
      </c>
      <c r="I303" s="9" t="str">
        <f ca="1">+WORLDCUP!BD69</f>
        <v>Croacia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Bélgica</v>
      </c>
      <c r="I305" s="9" t="str">
        <f ca="1">+WORLDCUP!BD69</f>
        <v>Croacia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Corea del Sur</v>
      </c>
      <c r="G306" s="9" t="str">
        <f ca="1">+WORLDCUP!BD66</f>
        <v>Senegal</v>
      </c>
      <c r="H306" s="9" t="str">
        <f ca="1">+WORLDCUP!BD63</f>
        <v>Suecia</v>
      </c>
      <c r="I306" s="9" t="str">
        <f ca="1">+WORLDCUP!BD69</f>
        <v>Croacia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Bélgica</v>
      </c>
      <c r="I307" s="9" t="str">
        <f ca="1">+WORLDCUP!BD69</f>
        <v>Croacia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Corea del Sur</v>
      </c>
      <c r="H309" s="9" t="str">
        <f ca="1">+WORLDCUP!BD65</f>
        <v>Cabo Verde</v>
      </c>
      <c r="I309" s="9" t="str">
        <f ca="1">+WORLDCUP!BD69</f>
        <v>Croacia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Corea del Sur</v>
      </c>
      <c r="H310" s="9" t="str">
        <f ca="1">+WORLDCUP!BD64</f>
        <v>Bélgica</v>
      </c>
      <c r="I310" s="9" t="str">
        <f ca="1">+WORLDCUP!BD69</f>
        <v>Croacia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Corea del Sur</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Corea del Sur</v>
      </c>
      <c r="H312" s="9" t="str">
        <f ca="1">+WORLDCUP!BD65</f>
        <v>Cabo Verde</v>
      </c>
      <c r="I312" s="9" t="str">
        <f ca="1">+WORLDCUP!BD69</f>
        <v>Croacia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Corea del Sur</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Corea del Sur</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Cabo Verde</v>
      </c>
      <c r="I315" s="9" t="str">
        <f ca="1">+WORLDCUP!BD69</f>
        <v>Croacia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Bélgica</v>
      </c>
      <c r="I316" s="9" t="str">
        <f ca="1">+WORLDCUP!BD69</f>
        <v>Croacia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Corea del Sur</v>
      </c>
      <c r="H317" s="9" t="str">
        <f ca="1">+WORLDCUP!BD64</f>
        <v>Bélgica</v>
      </c>
      <c r="I317" s="9" t="str">
        <f ca="1">+WORLDCUP!BD69</f>
        <v>Croacia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Corea del Sur</v>
      </c>
      <c r="H318" s="9" t="str">
        <f ca="1">+WORLDCUP!BD65</f>
        <v>Cabo Verde</v>
      </c>
      <c r="I318" s="9" t="str">
        <f ca="1">+WORLDCUP!BD69</f>
        <v>Croacia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Corea del Sur</v>
      </c>
      <c r="H319" s="9" t="str">
        <f ca="1">+WORLDCUP!BD64</f>
        <v>Bélgica</v>
      </c>
      <c r="I319" s="9" t="str">
        <f ca="1">+WORLDCUP!BD69</f>
        <v>Croacia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Corea del Sur</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Croacia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Croacia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Croacia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Croacia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Bélgica</v>
      </c>
      <c r="I326" s="9" t="str">
        <f ca="1">+WORLDCUP!BD69</f>
        <v>Croacia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Corea del Sur</v>
      </c>
      <c r="H327" s="9" t="str">
        <f ca="1">+WORLDCUP!BD63</f>
        <v>Suecia</v>
      </c>
      <c r="I327" s="9" t="str">
        <f ca="1">+WORLDCUP!BD69</f>
        <v>Croacia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Bélgica</v>
      </c>
      <c r="I328" s="9" t="str">
        <f ca="1">+WORLDCUP!BD69</f>
        <v>Croacia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Corea del Sur</v>
      </c>
      <c r="H330" s="9" t="str">
        <f ca="1">+WORLDCUP!BD63</f>
        <v>Suecia</v>
      </c>
      <c r="I330" s="9" t="str">
        <f ca="1">+WORLDCUP!BD69</f>
        <v>Croacia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Corea del Sur</v>
      </c>
      <c r="H331" s="9" t="str">
        <f ca="1">+WORLDCUP!BD63</f>
        <v>Suecia</v>
      </c>
      <c r="I331" s="9" t="str">
        <f ca="1">+WORLDCUP!BD69</f>
        <v>Croacia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Corea del Sur</v>
      </c>
      <c r="H333" s="9" t="str">
        <f ca="1">+WORLDCUP!BD63</f>
        <v>Suecia</v>
      </c>
      <c r="I333" s="9" t="str">
        <f ca="1">+WORLDCUP!BD69</f>
        <v>Croacia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Croacia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Cabo Verde</v>
      </c>
      <c r="I337" s="9" t="str">
        <f ca="1">+WORLDCUP!BD69</f>
        <v>Croacia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Cabo Verde</v>
      </c>
      <c r="I338" s="9" t="str">
        <f ca="1">+WORLDCUP!BD69</f>
        <v>Croacia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Cabo Verde</v>
      </c>
      <c r="I339" s="9" t="str">
        <f ca="1">+WORLDCUP!BD69</f>
        <v>Croacia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Bélgica</v>
      </c>
      <c r="I341" s="9" t="str">
        <f ca="1">+WORLDCUP!BD69</f>
        <v>Croacia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Corea del Sur</v>
      </c>
      <c r="G342" s="9" t="str">
        <f ca="1">+WORLDCUP!BD66</f>
        <v>Senegal</v>
      </c>
      <c r="H342" s="9" t="str">
        <f ca="1">+WORLDCUP!BD61</f>
        <v>Paraguay</v>
      </c>
      <c r="I342" s="9" t="str">
        <f ca="1">+WORLDCUP!BD69</f>
        <v>Croacia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Bélgica</v>
      </c>
      <c r="I343" s="9" t="str">
        <f ca="1">+WORLDCUP!BD69</f>
        <v>Croacia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Corea del Sur</v>
      </c>
      <c r="H345" s="9" t="str">
        <f ca="1">+WORLDCUP!BD65</f>
        <v>Cabo Verde</v>
      </c>
      <c r="I345" s="9" t="str">
        <f ca="1">+WORLDCUP!BD69</f>
        <v>Croacia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Corea del Sur</v>
      </c>
      <c r="H346" s="9" t="str">
        <f ca="1">+WORLDCUP!BD64</f>
        <v>Bélgica</v>
      </c>
      <c r="I346" s="9" t="str">
        <f ca="1">+WORLDCUP!BD69</f>
        <v>Croacia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Corea del Sur</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Corea del Sur</v>
      </c>
      <c r="H348" s="9" t="str">
        <f ca="1">+WORLDCUP!BD65</f>
        <v>Cabo Verde</v>
      </c>
      <c r="I348" s="9" t="str">
        <f ca="1">+WORLDCUP!BD69</f>
        <v>Croacia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Corea del Sur</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Corea del Sur</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Croacia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Croacia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1</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Croacia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Croacia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Croacia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Croacia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Corea del Sur</v>
      </c>
      <c r="H361" s="9" t="str">
        <f ca="1">+WORLDCUP!BD63</f>
        <v>Suecia</v>
      </c>
      <c r="I361" s="9" t="str">
        <f ca="1">+WORLDCUP!BD69</f>
        <v>Croacia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Corea del Sur</v>
      </c>
      <c r="H362" s="9" t="str">
        <f ca="1">+WORLDCUP!BD63</f>
        <v>Suecia</v>
      </c>
      <c r="I362" s="9" t="str">
        <f ca="1">+WORLDCUP!BD69</f>
        <v>Croacia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Corea del Sur</v>
      </c>
      <c r="H364" s="9" t="str">
        <f ca="1">+WORLDCUP!BD63</f>
        <v>Suecia</v>
      </c>
      <c r="I364" s="9" t="str">
        <f ca="1">+WORLDCUP!BD69</f>
        <v>Croacia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Corea del Sur</v>
      </c>
      <c r="H367" s="9" t="str">
        <f ca="1">+WORLDCUP!BD63</f>
        <v>Suecia</v>
      </c>
      <c r="I367" s="9" t="str">
        <f ca="1">+WORLDCUP!BD69</f>
        <v>Croacia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Cabo Verde</v>
      </c>
      <c r="I371" s="9" t="str">
        <f ca="1">+WORLDCUP!BD69</f>
        <v>Croacia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Bélgica</v>
      </c>
      <c r="I372" s="9" t="str">
        <f ca="1">+WORLDCUP!BD69</f>
        <v>Croacia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Corea del Sur</v>
      </c>
      <c r="H373" s="9" t="str">
        <f ca="1">+WORLDCUP!BD64</f>
        <v>Bélgica</v>
      </c>
      <c r="I373" s="9" t="str">
        <f ca="1">+WORLDCUP!BD69</f>
        <v>Croacia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Corea del Sur</v>
      </c>
      <c r="H374" s="9" t="str">
        <f ca="1">+WORLDCUP!BD65</f>
        <v>Cabo Verde</v>
      </c>
      <c r="I374" s="9" t="str">
        <f ca="1">+WORLDCUP!BD69</f>
        <v>Croacia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Corea del Sur</v>
      </c>
      <c r="H375" s="9" t="str">
        <f ca="1">+WORLDCUP!BD64</f>
        <v>Bélgica</v>
      </c>
      <c r="I375" s="9" t="str">
        <f ca="1">+WORLDCUP!BD69</f>
        <v>Croacia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Corea del Sur</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Croacia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Croacia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Croacia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Croacia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Bélgica</v>
      </c>
      <c r="I382" s="9" t="str">
        <f ca="1">+WORLDCUP!BD69</f>
        <v>Croacia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Corea del Sur</v>
      </c>
      <c r="H383" s="9" t="str">
        <f ca="1">+WORLDCUP!BD63</f>
        <v>Suecia</v>
      </c>
      <c r="I383" s="9" t="str">
        <f ca="1">+WORLDCUP!BD69</f>
        <v>Croacia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Bélgica</v>
      </c>
      <c r="I384" s="9" t="str">
        <f ca="1">+WORLDCUP!BD69</f>
        <v>Croacia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Corea del Sur</v>
      </c>
      <c r="H386" s="9" t="str">
        <f ca="1">+WORLDCUP!BD63</f>
        <v>Suecia</v>
      </c>
      <c r="I386" s="9" t="str">
        <f ca="1">+WORLDCUP!BD69</f>
        <v>Croacia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Corea del Sur</v>
      </c>
      <c r="H387" s="9" t="str">
        <f ca="1">+WORLDCUP!BD63</f>
        <v>Suecia</v>
      </c>
      <c r="I387" s="9" t="str">
        <f ca="1">+WORLDCUP!BD69</f>
        <v>Croacia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Corea del Sur</v>
      </c>
      <c r="H389" s="9" t="str">
        <f ca="1">+WORLDCUP!BD63</f>
        <v>Suecia</v>
      </c>
      <c r="I389" s="9" t="str">
        <f ca="1">+WORLDCUP!BD69</f>
        <v>Croacia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Croacia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Cabo Verde</v>
      </c>
      <c r="I393" s="9" t="str">
        <f ca="1">+WORLDCUP!BD69</f>
        <v>Croacia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Cabo Verde</v>
      </c>
      <c r="I394" s="9" t="str">
        <f ca="1">+WORLDCUP!BD69</f>
        <v>Croacia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Cabo Verde</v>
      </c>
      <c r="I395" s="9" t="str">
        <f ca="1">+WORLDCUP!BD69</f>
        <v>Croacia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Bélgica</v>
      </c>
      <c r="I397" s="9" t="str">
        <f ca="1">+WORLDCUP!BD69</f>
        <v>Croacia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Corea del Sur</v>
      </c>
      <c r="G398" s="9" t="str">
        <f ca="1">+WORLDCUP!BD66</f>
        <v>Senegal</v>
      </c>
      <c r="H398" s="9" t="str">
        <f ca="1">+WORLDCUP!BD60</f>
        <v>Escocia</v>
      </c>
      <c r="I398" s="9" t="str">
        <f ca="1">+WORLDCUP!BD69</f>
        <v>Croacia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Bélgica</v>
      </c>
      <c r="I399" s="9" t="str">
        <f ca="1">+WORLDCUP!BD69</f>
        <v>Croacia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Corea del Sur</v>
      </c>
      <c r="H401" s="9" t="str">
        <f ca="1">+WORLDCUP!BD65</f>
        <v>Cabo Verde</v>
      </c>
      <c r="I401" s="9" t="str">
        <f ca="1">+WORLDCUP!BD69</f>
        <v>Croacia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Corea del Sur</v>
      </c>
      <c r="H402" s="9" t="str">
        <f ca="1">+WORLDCUP!BD64</f>
        <v>Bélgica</v>
      </c>
      <c r="I402" s="9" t="str">
        <f ca="1">+WORLDCUP!BD69</f>
        <v>Croacia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Corea del Sur</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Corea del Sur</v>
      </c>
      <c r="H404" s="9" t="str">
        <f ca="1">+WORLDCUP!BD65</f>
        <v>Cabo Verde</v>
      </c>
      <c r="I404" s="9" t="str">
        <f ca="1">+WORLDCUP!BD69</f>
        <v>Croacia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Corea del Sur</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Corea del Sur</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Croacia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Croacia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Croacia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Croacia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Croacia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Croacia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Corea del Sur</v>
      </c>
      <c r="H417" s="9" t="str">
        <f ca="1">+WORLDCUP!BD63</f>
        <v>Suecia</v>
      </c>
      <c r="I417" s="9" t="str">
        <f ca="1">+WORLDCUP!BD69</f>
        <v>Croacia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Corea del Sur</v>
      </c>
      <c r="H418" s="9" t="str">
        <f ca="1">+WORLDCUP!BD63</f>
        <v>Suecia</v>
      </c>
      <c r="I418" s="9" t="str">
        <f ca="1">+WORLDCUP!BD69</f>
        <v>Croacia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Corea del Sur</v>
      </c>
      <c r="H420" s="9" t="str">
        <f ca="1">+WORLDCUP!BD63</f>
        <v>Suecia</v>
      </c>
      <c r="I420" s="9" t="str">
        <f ca="1">+WORLDCUP!BD69</f>
        <v>Croacia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Corea del Sur</v>
      </c>
      <c r="H423" s="9" t="str">
        <f ca="1">+WORLDCUP!BD63</f>
        <v>Suecia</v>
      </c>
      <c r="I423" s="9" t="str">
        <f ca="1">+WORLDCUP!BD69</f>
        <v>Croacia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Croacia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Croacia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Croacia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Croacia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Bélgica</v>
      </c>
      <c r="I432" s="9" t="str">
        <f ca="1">+WORLDCUP!BD69</f>
        <v>Croacia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Corea del Sur</v>
      </c>
      <c r="H433" s="9" t="str">
        <f ca="1">+WORLDCUP!BD61</f>
        <v>Paraguay</v>
      </c>
      <c r="I433" s="9" t="str">
        <f ca="1">+WORLDCUP!BD69</f>
        <v>Croacia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Bélgica</v>
      </c>
      <c r="I434" s="9" t="str">
        <f ca="1">+WORLDCUP!BD69</f>
        <v>Croacia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Corea del Sur</v>
      </c>
      <c r="H436" s="9" t="str">
        <f ca="1">+WORLDCUP!BD61</f>
        <v>Paraguay</v>
      </c>
      <c r="I436" s="9" t="str">
        <f ca="1">+WORLDCUP!BD69</f>
        <v>Croacia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Corea del Sur</v>
      </c>
      <c r="H437" s="9" t="str">
        <f ca="1">+WORLDCUP!BD61</f>
        <v>Paraguay</v>
      </c>
      <c r="I437" s="9" t="str">
        <f ca="1">+WORLDCUP!BD69</f>
        <v>Croacia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Corea del Sur</v>
      </c>
      <c r="H439" s="9" t="str">
        <f ca="1">+WORLDCUP!BD61</f>
        <v>Paraguay</v>
      </c>
      <c r="I439" s="9" t="str">
        <f ca="1">+WORLDCUP!BD69</f>
        <v>Croacia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Croacia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Croacia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Croacia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Croacia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Croacia</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Croacia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Corea del Sur</v>
      </c>
      <c r="H452" s="9" t="str">
        <f ca="1">+WORLDCUP!BD63</f>
        <v>Suecia</v>
      </c>
      <c r="I452" s="9" t="str">
        <f ca="1">+WORLDCUP!BD69</f>
        <v>Croacia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Corea del Sur</v>
      </c>
      <c r="H453" s="9" t="str">
        <f ca="1">+WORLDCUP!BD63</f>
        <v>Suecia</v>
      </c>
      <c r="I453" s="9" t="str">
        <f ca="1">+WORLDCUP!BD69</f>
        <v>Croacia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Corea del Sur</v>
      </c>
      <c r="H455" s="9" t="str">
        <f ca="1">+WORLDCUP!BD63</f>
        <v>Suecia</v>
      </c>
      <c r="I455" s="9" t="str">
        <f ca="1">+WORLDCUP!BD69</f>
        <v>Croacia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Corea del Sur</v>
      </c>
      <c r="H458" s="9" t="str">
        <f ca="1">+WORLDCUP!BD63</f>
        <v>Suecia</v>
      </c>
      <c r="I458" s="9" t="str">
        <f ca="1">+WORLDCUP!BD69</f>
        <v>Croacia</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Croacia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Croacia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Croacia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Croacia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Croacia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Croacia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Corea del Sur</v>
      </c>
      <c r="H472" s="9" t="str">
        <f ca="1">+WORLDCUP!BD61</f>
        <v>Paraguay</v>
      </c>
      <c r="I472" s="9" t="str">
        <f ca="1">+WORLDCUP!BD69</f>
        <v>Croacia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Corea del Sur</v>
      </c>
      <c r="H473" s="9" t="str">
        <f ca="1">+WORLDCUP!BD61</f>
        <v>Paraguay</v>
      </c>
      <c r="I473" s="9" t="str">
        <f ca="1">+WORLDCUP!BD69</f>
        <v>Croacia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Corea del Sur</v>
      </c>
      <c r="H475" s="9" t="str">
        <f ca="1">+WORLDCUP!BD61</f>
        <v>Paraguay</v>
      </c>
      <c r="I475" s="9" t="str">
        <f ca="1">+WORLDCUP!BD69</f>
        <v>Croacia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Corea del Sur</v>
      </c>
      <c r="H478" s="9" t="str">
        <f ca="1">+WORLDCUP!BD61</f>
        <v>Paraguay</v>
      </c>
      <c r="I478" s="9" t="str">
        <f ca="1">+WORLDCUP!BD69</f>
        <v>Croacia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Croacia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Croacia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Croacia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Croacia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Corea del Sur</v>
      </c>
      <c r="H492" s="9" t="str">
        <f ca="1">+WORLDCUP!BD63</f>
        <v>Suecia</v>
      </c>
      <c r="I492" s="9" t="str">
        <f ca="1">+WORLDCUP!BD69</f>
        <v>Croacia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2026-06-26T21:00:59Z</dcterms:modified>
</cp:coreProperties>
</file>