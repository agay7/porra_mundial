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41334EAE-8240-4CB7-AC74-7507F2882F80}"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41" i="3"/>
  <c r="T69" i="3"/>
  <c r="U73" i="3"/>
  <c r="T81" i="3"/>
  <c r="T89" i="3" l="1"/>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l="1"/>
  <c r="DN45" i="3"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<sst xmlns="http://schemas.openxmlformats.org/spreadsheetml/2006/main" count="6814" uniqueCount="1534">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</sst>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96" zoomScale="55" zoomScaleNormal="100" workbookViewId="0">
      <selection activeCell="AD117" sqref="AD117"/>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5"/>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16"/>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26"/>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27"/>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40"/>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40"/>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41"/>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46"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46"/>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46"/>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46"/>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46"/>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47"/>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42"/>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43"/>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48"/>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49"/>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44"/>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44"/>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44"/>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45"/>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0"/>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0"/>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50"/>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50"/>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0"/>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ca="1" si="289"/>
        <v>Egipto</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Australia</v>
      </c>
      <c r="AB114" s="87">
        <v>2</v>
      </c>
      <c r="AC114" s="50">
        <v>1</v>
      </c>
      <c r="AD114" s="51">
        <v>1</v>
      </c>
      <c r="AE114" s="87">
        <v>4</v>
      </c>
      <c r="AF114" s="89" t="str">
        <f t="shared" ca="1" si="293"/>
        <v>Egipto</v>
      </c>
      <c r="AG114" s="313">
        <f t="shared" ca="1" si="294"/>
        <v>1</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ca="1" si="289"/>
        <v>Argentina</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50"/>
      <c r="X115" s="24">
        <f ca="1">Horarios!C115</f>
        <v>46207</v>
      </c>
      <c r="Y115" s="25">
        <f ca="1">Horarios!C115</f>
        <v>46207</v>
      </c>
      <c r="Z115" s="266">
        <f t="shared" si="296"/>
        <v>86</v>
      </c>
      <c r="AA115" s="86" t="str">
        <f t="shared" ca="1" si="292"/>
        <v>Argentina</v>
      </c>
      <c r="AB115" s="87"/>
      <c r="AC115" s="50">
        <v>3</v>
      </c>
      <c r="AD115" s="51">
        <v>2</v>
      </c>
      <c r="AE115" s="87"/>
      <c r="AF115" s="89" t="str">
        <f t="shared" ca="1" si="293"/>
        <v>Cabo Verde</v>
      </c>
      <c r="AG115" s="313">
        <f t="shared" ca="1" si="294"/>
        <v>1</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ca="1" si="289"/>
        <v>Colombia</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Colombia</v>
      </c>
      <c r="AB116" s="91"/>
      <c r="AC116" s="50">
        <v>1</v>
      </c>
      <c r="AD116" s="51">
        <v>0</v>
      </c>
      <c r="AE116" s="91"/>
      <c r="AF116" s="92" t="str">
        <f t="shared" ca="1" si="293"/>
        <v>Ghana</v>
      </c>
      <c r="AG116" s="313">
        <f t="shared" ca="1" si="294"/>
        <v>1</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c r="AD120" s="51"/>
      <c r="AE120" s="87"/>
      <c r="AF120" s="89" t="str">
        <f t="shared" ref="AF120:AF127" ca="1" si="321">+INDEX($N$101:$N$147,MATCH(AH120,$J$101:$J$147,0))</f>
        <v>Marruecos</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ca="1" si="320"/>
        <v>Paraguay</v>
      </c>
      <c r="AB121" s="87"/>
      <c r="AC121" s="50"/>
      <c r="AD121" s="51"/>
      <c r="AE121" s="87"/>
      <c r="AF121" s="89" t="str">
        <f t="shared" ca="1" si="321"/>
        <v>Francia</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ca="1" si="320"/>
        <v>Brasil</v>
      </c>
      <c r="AB122" s="87"/>
      <c r="AC122" s="50"/>
      <c r="AD122" s="51"/>
      <c r="AE122" s="87"/>
      <c r="AF122" s="89" t="str">
        <f t="shared" ca="1" si="321"/>
        <v>Noruega</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ca="1" si="320"/>
        <v>México</v>
      </c>
      <c r="AB123" s="87"/>
      <c r="AC123" s="50"/>
      <c r="AD123" s="51"/>
      <c r="AE123" s="87"/>
      <c r="AF123" s="89" t="str">
        <f t="shared" ca="1" si="321"/>
        <v>Inglaterra</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52"/>
      <c r="X124" s="24">
        <f ca="1">Horarios!C124</f>
        <v>46209.875</v>
      </c>
      <c r="Y124" s="25">
        <f ca="1">Horarios!C124</f>
        <v>46209.875</v>
      </c>
      <c r="Z124" s="266">
        <f t="shared" si="319"/>
        <v>93</v>
      </c>
      <c r="AA124" s="86" t="str">
        <f t="shared" ca="1" si="320"/>
        <v>Portugal</v>
      </c>
      <c r="AB124" s="93"/>
      <c r="AC124" s="50"/>
      <c r="AD124" s="51"/>
      <c r="AE124" s="88"/>
      <c r="AF124" s="89" t="str">
        <f t="shared" ca="1" si="321"/>
        <v>España</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ca="1" si="320"/>
        <v>Estados Unidos</v>
      </c>
      <c r="AB125" s="87"/>
      <c r="AC125" s="50"/>
      <c r="AD125" s="51"/>
      <c r="AE125" s="87"/>
      <c r="AF125" s="89" t="str">
        <f t="shared" ca="1" si="321"/>
        <v>Bélgica</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ca="1" si="318"/>
        <v>Argentina</v>
      </c>
      <c r="N126" s="16" t="str">
        <f t="shared" ca="1" si="318"/>
        <v>Egipto</v>
      </c>
      <c r="O126" s="16"/>
      <c r="P126" s="16"/>
      <c r="Q126" s="16"/>
      <c r="R126" s="16"/>
      <c r="S126" s="16"/>
      <c r="T126" s="16"/>
      <c r="U126" s="16"/>
      <c r="V126" s="17"/>
      <c r="W126" s="652"/>
      <c r="X126" s="24">
        <f ca="1">Horarios!C126</f>
        <v>46210.75</v>
      </c>
      <c r="Y126" s="25">
        <f ca="1">Horarios!C126</f>
        <v>46210.75</v>
      </c>
      <c r="Z126" s="266">
        <f t="shared" si="319"/>
        <v>95</v>
      </c>
      <c r="AA126" s="86" t="str">
        <f t="shared" ca="1" si="320"/>
        <v>Argentina</v>
      </c>
      <c r="AB126" s="87"/>
      <c r="AC126" s="50"/>
      <c r="AD126" s="51"/>
      <c r="AE126" s="87"/>
      <c r="AF126" s="89" t="str">
        <f t="shared" ca="1" si="321"/>
        <v>Egipto</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ca="1" si="318"/>
        <v>Suiza</v>
      </c>
      <c r="N127" s="16" t="str">
        <f t="shared" ca="1" si="318"/>
        <v>Colombia</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ca="1" si="320"/>
        <v>Suiza</v>
      </c>
      <c r="AB127" s="91"/>
      <c r="AC127" s="50"/>
      <c r="AD127" s="51"/>
      <c r="AE127" s="91"/>
      <c r="AF127" s="92" t="str">
        <f t="shared" ca="1" si="321"/>
        <v>Colombia</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 ca="1">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 ca="1">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1</v>
      </c>
      <c r="E87" s="7">
        <f>WORLDCUP!AD114</f>
        <v>1</v>
      </c>
      <c r="H87" s="7">
        <f>IF(AND(NOT(ISBLANK(WORLDCUP!AC114)),NOT(ISBLANK(WORLDCUP!AD114))),1,0)</f>
        <v>1</v>
      </c>
      <c r="J87" s="613">
        <f ca="1">WORLDCUP!X114</f>
        <v>46206.833333333336</v>
      </c>
      <c r="K87" s="614">
        <f ca="1">WORLDCUP!Y114</f>
        <v>46206.833333333336</v>
      </c>
    </row>
    <row r="88" spans="1:11">
      <c r="A88" s="7">
        <v>87</v>
      </c>
      <c r="B88" s="611" t="str">
        <f ca="1">WORLDCUP!AA115</f>
        <v>Argentina</v>
      </c>
      <c r="C88" t="str">
        <f ca="1">WORLDCUP!AF115</f>
        <v>Cabo Verde</v>
      </c>
      <c r="D88" s="7">
        <f>WORLDCUP!AC115</f>
        <v>3</v>
      </c>
      <c r="E88" s="7">
        <f>WORLDCUP!AD115</f>
        <v>2</v>
      </c>
      <c r="H88" s="7">
        <f>IF(AND(NOT(ISBLANK(WORLDCUP!AC115)),NOT(ISBLANK(WORLDCUP!AD115))),1,0)</f>
        <v>1</v>
      </c>
      <c r="J88" s="613">
        <f ca="1">WORLDCUP!X115</f>
        <v>46207</v>
      </c>
      <c r="K88" s="614">
        <f ca="1">WORLDCUP!Y115</f>
        <v>46207</v>
      </c>
    </row>
    <row r="89" spans="1:11">
      <c r="A89" s="7">
        <v>88</v>
      </c>
      <c r="B89" s="611" t="str">
        <f ca="1">WORLDCUP!AA116</f>
        <v>Colombia</v>
      </c>
      <c r="C89" t="str">
        <f ca="1">WORLDCUP!AF116</f>
        <v>Ghana</v>
      </c>
      <c r="D89" s="7">
        <f>WORLDCUP!AC116</f>
        <v>1</v>
      </c>
      <c r="E89" s="7">
        <f>WORLDCUP!AD116</f>
        <v>0</v>
      </c>
      <c r="H89" s="7">
        <f>IF(AND(NOT(ISBLANK(WORLDCUP!AC116)),NOT(ISBLANK(WORLDCUP!AD116))),1,0)</f>
        <v>1</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 ca="1">WORLDCUP!AA122</f>
        <v>Brasil</v>
      </c>
      <c r="C92" t="str">
        <f ca="1">WORLDCUP!AF122</f>
        <v>Noruega</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 ca="1">WORLDCUP!AA123</f>
        <v>México</v>
      </c>
      <c r="C93" t="str">
        <f ca="1">WORLDCUP!AF123</f>
        <v>Inglaterra</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 ca="1">WORLDCUP!AA125</f>
        <v>Estados Unidos</v>
      </c>
      <c r="C95" t="str">
        <f ca="1">WORLDCUP!AF125</f>
        <v>Bélgica</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 ca="1">WORLDCUP!AA126</f>
        <v>Argentina</v>
      </c>
      <c r="C96" t="str">
        <f ca="1">WORLDCUP!AF126</f>
        <v>Egipto</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 ca="1">WORLDCUP!AA127</f>
        <v>Suiza</v>
      </c>
      <c r="C97" t="str">
        <f ca="1">WORLDCUP!AF127</f>
        <v>Colombia</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Estados Unidos</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Australia</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Paraguay</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Turquía</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Países Bajos</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Japón</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Suecia</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Túnez</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Bélgica</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Egipto</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Irán</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Nueva Zelanda</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España</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Cabo Verde</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Uruguay</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Arabia Saudita</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Francia</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Noruega</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Senegal</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Irak</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Argentina</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Austria</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Argelia</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Jordania</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Colombia</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Portugal</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RD Congo</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Uzbekistán</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Inglaterra</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Croacia</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Ghana</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Panamá</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Países Bajos</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Francia</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Inglaterra</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Bélgica</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Estados Unidos</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España</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Portugal</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Australia</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Argentina</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Colombia</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Japón</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Paraguay</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Noruega</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Suecia</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Ecuador</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RD Congo</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Senegal</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Bosnia y Herzegovina</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Austria</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Croacia</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Argelia</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Egipto</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Cabo Verde</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Ghana</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89"/>
      <c r="E165" s="675"/>
      <c r="F165" s="675"/>
      <c r="G165" s="675"/>
      <c r="H165" s="675"/>
      <c r="I165" s="338"/>
      <c r="J165" s="356"/>
      <c r="K165" s="356"/>
      <c r="L165" s="356"/>
      <c r="M165" s="372"/>
      <c r="N165" s="363"/>
    </row>
    <row r="166" spans="1:14" ht="15" customHeight="1">
      <c r="A166" s="686"/>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89"/>
      <c r="E166" s="675"/>
      <c r="F166" s="675"/>
      <c r="G166" s="675"/>
      <c r="H166" s="675"/>
      <c r="I166" s="338"/>
      <c r="J166" s="356"/>
      <c r="K166" s="356"/>
      <c r="L166" s="356"/>
      <c r="M166" s="372"/>
      <c r="N166" s="363"/>
    </row>
    <row r="167" spans="1:14" ht="15" customHeight="1">
      <c r="A167" s="686"/>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89"/>
      <c r="E167" s="675"/>
      <c r="F167" s="675"/>
      <c r="G167" s="675"/>
      <c r="H167" s="675"/>
      <c r="I167" s="338"/>
      <c r="J167" s="356"/>
      <c r="K167" s="356"/>
      <c r="L167" s="356"/>
      <c r="M167" s="372"/>
      <c r="N167" s="363"/>
    </row>
    <row r="168" spans="1:14" ht="15" customHeight="1">
      <c r="A168" s="686"/>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89"/>
      <c r="E168" s="356"/>
      <c r="F168" s="356"/>
      <c r="G168" s="356"/>
      <c r="H168" s="356"/>
      <c r="I168" s="338"/>
      <c r="J168" s="356"/>
      <c r="K168" s="356"/>
      <c r="L168" s="356"/>
      <c r="M168" s="372"/>
      <c r="N168" s="363"/>
    </row>
    <row r="169" spans="1:14" ht="15" customHeight="1">
      <c r="A169" s="686"/>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89"/>
      <c r="E169" s="356"/>
      <c r="F169" s="356"/>
      <c r="G169" s="356"/>
      <c r="H169" s="356"/>
      <c r="I169" s="338"/>
      <c r="J169" s="356"/>
      <c r="K169" s="356"/>
      <c r="L169" s="356"/>
      <c r="M169" s="372"/>
      <c r="N169" s="363"/>
    </row>
    <row r="170" spans="1:14" ht="15" customHeight="1">
      <c r="A170" s="686"/>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89"/>
      <c r="E170" s="356"/>
      <c r="F170" s="356"/>
      <c r="G170" s="356"/>
      <c r="H170" s="356"/>
      <c r="I170" s="338"/>
      <c r="J170" s="356"/>
      <c r="K170" s="356"/>
      <c r="L170" s="356"/>
      <c r="M170" s="372"/>
      <c r="N170" s="363"/>
    </row>
    <row r="171" spans="1:14" ht="15" customHeight="1">
      <c r="A171" s="686"/>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89"/>
      <c r="E171" s="356"/>
      <c r="F171" s="356"/>
      <c r="G171" s="356"/>
      <c r="H171" s="356"/>
      <c r="I171" s="338"/>
      <c r="J171" s="356"/>
      <c r="K171" s="356"/>
      <c r="L171" s="356"/>
      <c r="M171" s="372"/>
      <c r="N171" s="363"/>
    </row>
    <row r="172" spans="1:14" ht="15" customHeight="1">
      <c r="A172" s="686"/>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89"/>
      <c r="E172" s="356"/>
      <c r="F172" s="356"/>
      <c r="G172" s="356"/>
      <c r="H172" s="356"/>
      <c r="I172" s="338"/>
      <c r="J172" s="356"/>
      <c r="K172" s="356"/>
      <c r="L172" s="356"/>
      <c r="M172" s="372"/>
      <c r="N172" s="363"/>
    </row>
    <row r="173" spans="1:14" ht="15" customHeight="1">
      <c r="A173" s="686"/>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89"/>
      <c r="E173" s="356"/>
      <c r="F173" s="356"/>
      <c r="G173" s="356"/>
      <c r="H173" s="356"/>
      <c r="I173" s="338"/>
      <c r="J173" s="356"/>
      <c r="K173" s="356"/>
      <c r="L173" s="356"/>
      <c r="M173" s="372"/>
      <c r="N173" s="363"/>
    </row>
    <row r="174" spans="1:14" ht="15" customHeight="1">
      <c r="A174" s="686"/>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89"/>
      <c r="E174" s="356"/>
      <c r="F174" s="356"/>
      <c r="G174" s="356"/>
      <c r="H174" s="356"/>
      <c r="I174" s="338"/>
      <c r="J174" s="356"/>
      <c r="K174" s="356"/>
      <c r="L174" s="356"/>
      <c r="M174" s="372"/>
      <c r="N174" s="363"/>
    </row>
    <row r="175" spans="1:14" ht="15" customHeight="1">
      <c r="A175" s="686"/>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89"/>
      <c r="E175" s="356"/>
      <c r="F175" s="356"/>
      <c r="G175" s="356"/>
      <c r="H175" s="356"/>
      <c r="I175" s="338"/>
      <c r="J175" s="356"/>
      <c r="K175" s="356"/>
      <c r="L175" s="356"/>
      <c r="M175" s="372"/>
      <c r="N175" s="363"/>
    </row>
    <row r="176" spans="1:14" ht="15" customHeight="1">
      <c r="A176" s="686"/>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89"/>
      <c r="E176" s="356"/>
      <c r="F176" s="356"/>
      <c r="G176" s="356"/>
      <c r="H176" s="356"/>
      <c r="I176" s="338"/>
      <c r="J176" s="356"/>
      <c r="K176" s="356"/>
      <c r="L176" s="356"/>
      <c r="M176" s="372"/>
      <c r="N176" s="363"/>
    </row>
    <row r="177" spans="1:14" ht="15" customHeight="1">
      <c r="A177" s="686"/>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Australia-Egipto·X|1-1</v>
      </c>
      <c r="D177" s="689"/>
      <c r="E177" s="356"/>
      <c r="F177" s="356"/>
      <c r="G177" s="356"/>
      <c r="H177" s="356"/>
      <c r="I177" s="338"/>
      <c r="J177" s="356"/>
      <c r="K177" s="356"/>
      <c r="L177" s="356"/>
      <c r="M177" s="372"/>
      <c r="N177" s="363"/>
    </row>
    <row r="178" spans="1:14" ht="15" customHeight="1">
      <c r="A178" s="686"/>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Verde·1|3-2</v>
      </c>
      <c r="D178" s="689"/>
      <c r="E178" s="356"/>
      <c r="F178" s="356"/>
      <c r="G178" s="356"/>
      <c r="H178" s="356"/>
      <c r="I178" s="338"/>
      <c r="J178" s="356"/>
      <c r="K178" s="356"/>
      <c r="L178" s="356"/>
      <c r="M178" s="372"/>
      <c r="N178" s="363"/>
    </row>
    <row r="179" spans="1:14" ht="15" customHeight="1">
      <c r="A179" s="686"/>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Colombia-Ghana·1|1-0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 ca="1">WORLDCUP!AA120</f>
        <v>Canadá</v>
      </c>
      <c r="D182" s="689"/>
      <c r="E182" s="356"/>
      <c r="F182" s="356"/>
      <c r="G182" s="356"/>
      <c r="H182" s="356"/>
      <c r="I182" s="338"/>
      <c r="J182" s="356"/>
      <c r="K182" s="356"/>
      <c r="L182" s="356"/>
      <c r="M182" s="372"/>
      <c r="N182" s="363"/>
    </row>
    <row r="183" spans="1:14" ht="15" customHeight="1">
      <c r="A183" s="686"/>
      <c r="B183" s="346" t="str">
        <f>B182</f>
        <v>Octavofinalista</v>
      </c>
      <c r="C183" s="335" t="str">
        <f ca="1">WORLDCUP!AA121</f>
        <v>Paraguay</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 ca="1">WORLDCUP!AA122</f>
        <v>Brasil</v>
      </c>
      <c r="D184" s="689"/>
      <c r="E184" s="356"/>
      <c r="F184" s="356"/>
      <c r="G184" s="356"/>
      <c r="H184" s="356"/>
      <c r="I184" s="338"/>
      <c r="J184" s="356"/>
      <c r="K184" s="356"/>
      <c r="L184" s="356"/>
      <c r="M184" s="372"/>
      <c r="N184" s="363"/>
    </row>
    <row r="185" spans="1:14" ht="15" customHeight="1">
      <c r="A185" s="686"/>
      <c r="B185" s="346" t="str">
        <f t="shared" si="2"/>
        <v>Octavofinalista</v>
      </c>
      <c r="C185" s="335" t="str">
        <f ca="1">WORLDCUP!AA123</f>
        <v>México</v>
      </c>
      <c r="D185" s="689"/>
      <c r="E185" s="356"/>
      <c r="F185" s="356"/>
      <c r="G185" s="356"/>
      <c r="H185" s="356"/>
      <c r="I185" s="338"/>
      <c r="J185" s="356"/>
      <c r="K185" s="356"/>
      <c r="L185" s="356"/>
      <c r="M185" s="372"/>
      <c r="N185" s="363"/>
    </row>
    <row r="186" spans="1:14" ht="15" customHeight="1">
      <c r="A186" s="686"/>
      <c r="B186" s="346" t="str">
        <f t="shared" si="2"/>
        <v>Octavofinalista</v>
      </c>
      <c r="C186" s="335" t="str">
        <f ca="1">WORLDCUP!AA124</f>
        <v>Portugal</v>
      </c>
      <c r="D186" s="689"/>
      <c r="E186" s="356"/>
      <c r="F186" s="356"/>
      <c r="G186" s="356"/>
      <c r="H186" s="356"/>
      <c r="I186" s="338"/>
      <c r="J186" s="356"/>
      <c r="K186" s="356"/>
      <c r="L186" s="356"/>
      <c r="M186" s="372"/>
      <c r="N186" s="363"/>
    </row>
    <row r="187" spans="1:14" ht="15" customHeight="1">
      <c r="A187" s="686"/>
      <c r="B187" s="346" t="str">
        <f t="shared" si="2"/>
        <v>Octavofinalista</v>
      </c>
      <c r="C187" s="335" t="str">
        <f ca="1">WORLDCUP!AA125</f>
        <v>Estados Unidos</v>
      </c>
      <c r="D187" s="689"/>
      <c r="E187" s="356"/>
      <c r="F187" s="356"/>
      <c r="G187" s="356"/>
      <c r="H187" s="356"/>
      <c r="I187" s="338"/>
      <c r="J187" s="356"/>
      <c r="K187" s="356"/>
      <c r="L187" s="356"/>
      <c r="M187" s="372"/>
      <c r="N187" s="363"/>
    </row>
    <row r="188" spans="1:14" ht="15" customHeight="1">
      <c r="A188" s="686"/>
      <c r="B188" s="346" t="str">
        <f t="shared" si="2"/>
        <v>Octavofinalista</v>
      </c>
      <c r="C188" s="335" t="str">
        <f ca="1">WORLDCUP!AA126</f>
        <v>Argentina</v>
      </c>
      <c r="D188" s="689"/>
      <c r="E188" s="356"/>
      <c r="F188" s="356"/>
      <c r="G188" s="356"/>
      <c r="H188" s="356"/>
      <c r="I188" s="338"/>
      <c r="J188" s="356"/>
      <c r="K188" s="356"/>
      <c r="L188" s="356"/>
      <c r="M188" s="372"/>
      <c r="N188" s="363"/>
    </row>
    <row r="189" spans="1:14" ht="15" customHeight="1">
      <c r="A189" s="686"/>
      <c r="B189" s="346" t="str">
        <f t="shared" si="2"/>
        <v>Octavofinalista</v>
      </c>
      <c r="C189" s="335" t="str">
        <f ca="1">WORLDCUP!AA127</f>
        <v>Suiza</v>
      </c>
      <c r="D189" s="689"/>
      <c r="E189" s="356"/>
      <c r="F189" s="356"/>
      <c r="G189" s="356"/>
      <c r="H189" s="356"/>
      <c r="I189" s="338"/>
      <c r="J189" s="356"/>
      <c r="K189" s="356"/>
      <c r="L189" s="356"/>
      <c r="M189" s="372"/>
      <c r="N189" s="363"/>
    </row>
    <row r="190" spans="1:14" ht="15" customHeight="1">
      <c r="A190" s="686"/>
      <c r="B190" s="346" t="str">
        <f t="shared" si="2"/>
        <v>Octavofinalista</v>
      </c>
      <c r="C190" s="335" t="str">
        <f ca="1">WORLDCUP!AF120</f>
        <v>Marruecos</v>
      </c>
      <c r="D190" s="689"/>
      <c r="E190" s="356"/>
      <c r="F190" s="356"/>
      <c r="G190" s="356"/>
      <c r="H190" s="356"/>
      <c r="I190" s="338"/>
      <c r="J190" s="356"/>
      <c r="K190" s="356"/>
      <c r="L190" s="356"/>
      <c r="M190" s="372"/>
      <c r="N190" s="363"/>
    </row>
    <row r="191" spans="1:14" ht="15" customHeight="1">
      <c r="A191" s="686"/>
      <c r="B191" s="346" t="str">
        <f t="shared" si="2"/>
        <v>Octavofinalista</v>
      </c>
      <c r="C191" s="335" t="str">
        <f ca="1">WORLDCUP!AF121</f>
        <v>Francia</v>
      </c>
      <c r="D191" s="689"/>
      <c r="E191" s="356"/>
      <c r="F191" s="356"/>
      <c r="G191" s="356"/>
      <c r="H191" s="356"/>
      <c r="I191" s="338"/>
      <c r="J191" s="356"/>
      <c r="K191" s="356"/>
      <c r="L191" s="356"/>
      <c r="M191" s="372"/>
      <c r="N191" s="363"/>
    </row>
    <row r="192" spans="1:14" ht="15" customHeight="1">
      <c r="A192" s="686"/>
      <c r="B192" s="346" t="str">
        <f t="shared" si="2"/>
        <v>Octavofinalista</v>
      </c>
      <c r="C192" s="335" t="str">
        <f ca="1">WORLDCUP!AF122</f>
        <v>Noruega</v>
      </c>
      <c r="D192" s="689"/>
      <c r="E192" s="356"/>
      <c r="F192" s="356"/>
      <c r="G192" s="356"/>
      <c r="H192" s="356"/>
      <c r="I192" s="338"/>
      <c r="J192" s="356"/>
      <c r="K192" s="356"/>
      <c r="L192" s="356"/>
      <c r="M192" s="372"/>
      <c r="N192" s="363"/>
    </row>
    <row r="193" spans="1:14" ht="15" customHeight="1">
      <c r="A193" s="686"/>
      <c r="B193" s="346" t="str">
        <f t="shared" si="2"/>
        <v>Octavofinalista</v>
      </c>
      <c r="C193" s="335" t="str">
        <f ca="1">WORLDCUP!AF123</f>
        <v>Inglaterra</v>
      </c>
      <c r="D193" s="689"/>
      <c r="E193" s="356"/>
      <c r="F193" s="356"/>
      <c r="G193" s="356"/>
      <c r="H193" s="356"/>
      <c r="I193" s="338"/>
      <c r="J193" s="356"/>
      <c r="K193" s="356"/>
      <c r="L193" s="356"/>
      <c r="M193" s="372"/>
      <c r="N193" s="363"/>
    </row>
    <row r="194" spans="1:14" ht="15" customHeight="1">
      <c r="A194" s="686"/>
      <c r="B194" s="346" t="str">
        <f t="shared" si="2"/>
        <v>Octavofinalista</v>
      </c>
      <c r="C194" s="335" t="str">
        <f ca="1">WORLDCUP!AF124</f>
        <v>España</v>
      </c>
      <c r="D194" s="689"/>
      <c r="E194" s="356"/>
      <c r="F194" s="356"/>
      <c r="G194" s="356"/>
      <c r="H194" s="356"/>
      <c r="I194" s="338"/>
      <c r="J194" s="356"/>
      <c r="K194" s="356"/>
      <c r="L194" s="356"/>
      <c r="M194" s="372"/>
      <c r="N194" s="363"/>
    </row>
    <row r="195" spans="1:14" ht="15" customHeight="1">
      <c r="A195" s="686"/>
      <c r="B195" s="346" t="str">
        <f t="shared" si="2"/>
        <v>Octavofinalista</v>
      </c>
      <c r="C195" s="335" t="str">
        <f ca="1">WORLDCUP!AF125</f>
        <v>Bélgica</v>
      </c>
      <c r="D195" s="689"/>
      <c r="E195" s="356"/>
      <c r="F195" s="356"/>
      <c r="G195" s="356"/>
      <c r="H195" s="356"/>
      <c r="I195" s="338"/>
      <c r="J195" s="356"/>
      <c r="K195" s="356"/>
      <c r="L195" s="356"/>
      <c r="M195" s="372"/>
      <c r="N195" s="363"/>
    </row>
    <row r="196" spans="1:14" ht="15" customHeight="1">
      <c r="A196" s="686"/>
      <c r="B196" s="346" t="str">
        <f t="shared" si="2"/>
        <v>Octavofinalista</v>
      </c>
      <c r="C196" s="335" t="str">
        <f ca="1">WORLDCUP!AF126</f>
        <v>Egipto</v>
      </c>
      <c r="D196" s="689"/>
      <c r="E196" s="356"/>
      <c r="F196" s="356"/>
      <c r="G196" s="356"/>
      <c r="H196" s="356"/>
      <c r="I196" s="338"/>
      <c r="J196" s="356"/>
      <c r="K196" s="356"/>
      <c r="L196" s="356"/>
      <c r="M196" s="372"/>
      <c r="N196" s="363"/>
    </row>
    <row r="197" spans="1:14" ht="15" customHeight="1">
      <c r="A197" s="686"/>
      <c r="B197" s="346" t="str">
        <f t="shared" si="2"/>
        <v>Octavofinalista</v>
      </c>
      <c r="C197" s="335" t="str">
        <f ca="1">WORLDCUP!AF127</f>
        <v>Colombia</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Paraguay-Francia·0|-</v>
      </c>
      <c r="D201" s="669"/>
      <c r="E201" s="668"/>
      <c r="F201" s="668"/>
      <c r="G201" s="668"/>
      <c r="H201" s="668"/>
      <c r="I201" s="338"/>
      <c r="J201" s="356"/>
      <c r="K201" s="356"/>
      <c r="L201" s="356"/>
      <c r="M201" s="372"/>
      <c r="N201" s="363"/>
    </row>
    <row r="202" spans="1:14" ht="15" customHeight="1">
      <c r="A202" s="686"/>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Brasil-Noruega·0|-</v>
      </c>
      <c r="D202" s="669"/>
      <c r="E202" s="668"/>
      <c r="F202" s="668"/>
      <c r="G202" s="668"/>
      <c r="H202" s="668"/>
      <c r="I202" s="338"/>
      <c r="J202" s="356"/>
      <c r="K202" s="356"/>
      <c r="L202" s="356"/>
      <c r="M202" s="372"/>
      <c r="N202" s="363"/>
    </row>
    <row r="203" spans="1:14" ht="15" customHeight="1">
      <c r="A203" s="686"/>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México-Inglaterra·0|-</v>
      </c>
      <c r="D203" s="669"/>
      <c r="E203" s="668"/>
      <c r="F203" s="668"/>
      <c r="G203" s="668"/>
      <c r="H203" s="668"/>
      <c r="I203" s="338"/>
      <c r="J203" s="356"/>
      <c r="K203" s="356"/>
      <c r="L203" s="356"/>
      <c r="M203" s="372"/>
      <c r="N203" s="363"/>
    </row>
    <row r="204" spans="1:14" ht="15" customHeight="1">
      <c r="A204" s="686"/>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Portugal-España·0|-</v>
      </c>
      <c r="D204" s="669"/>
      <c r="E204" s="338"/>
      <c r="F204" s="338"/>
      <c r="G204" s="338"/>
      <c r="H204" s="338"/>
      <c r="I204" s="338"/>
      <c r="J204" s="356"/>
      <c r="K204" s="356"/>
      <c r="L204" s="356"/>
      <c r="M204" s="372"/>
      <c r="N204" s="363"/>
    </row>
    <row r="205" spans="1:14" ht="15" customHeight="1">
      <c r="A205" s="686"/>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Unidos-Bélgica·0|-</v>
      </c>
      <c r="D205" s="669"/>
      <c r="E205" s="338"/>
      <c r="F205" s="338"/>
      <c r="G205" s="338"/>
      <c r="H205" s="338"/>
      <c r="I205" s="338"/>
      <c r="J205" s="356"/>
      <c r="K205" s="356"/>
      <c r="L205" s="356"/>
      <c r="M205" s="372"/>
      <c r="N205" s="363"/>
    </row>
    <row r="206" spans="1:14" ht="15" customHeight="1">
      <c r="A206" s="686"/>
      <c r="B206" s="347" t="str">
        <f ca="1">CONCATENATE(WORLDCUP!AA126,"-",WORLDCUP!AF126)</f>
        <v>Argentina-Egipto</v>
      </c>
      <c r="C206" s="337" t="str">
        <f ca="1">CONCATENATE(WORLDCUP!AA126,"-",WORLDCUP!AF126,"·",IF(WORLDCUP!AC126&gt;WORLDCUP!AD126,1,IF(WORLDCUP!AC126&lt;WORLDCUP!AD126,2,IF(AND(WORLDCUP!AC126=WORLDCUP!AD126,WORLDCUP!AC126&lt;&gt;"",WORLDCUP!AD126&lt;&gt;""),"X",0))),"|",WORLDCUP!AC126,"-",WORLDCUP!AD126)</f>
        <v>Argentina-Egipto·0|-</v>
      </c>
      <c r="D206" s="669"/>
      <c r="E206" s="338"/>
      <c r="F206" s="338"/>
      <c r="G206" s="338"/>
      <c r="H206" s="338"/>
      <c r="I206" s="338"/>
      <c r="J206" s="356"/>
      <c r="K206" s="356"/>
      <c r="L206" s="356"/>
      <c r="M206" s="372"/>
      <c r="N206" s="363"/>
    </row>
    <row r="207" spans="1:14" ht="15" customHeight="1">
      <c r="A207" s="686"/>
      <c r="B207" s="347" t="str">
        <f ca="1">CONCATENATE(WORLDCUP!AA127,"-",WORLDCUP!AF127)</f>
        <v>Suiza-Colombia</v>
      </c>
      <c r="C207" s="337" t="str">
        <f ca="1">CONCATENATE(WORLDCUP!AA127,"-",WORLDCUP!AF127,"·",IF(WORLDCUP!AC127&gt;WORLDCUP!AD127,1,IF(WORLDCUP!AC127&lt;WORLDCUP!AD127,2,IF(AND(WORLDCUP!AC127=WORLDCUP!AD127,WORLDCUP!AC127&lt;&gt;"",WORLDCUP!AD127&lt;&gt;""),"X",0))),"|",WORLDCUP!AC127,"-",WORLDCUP!AD127)</f>
        <v>Suiza-Colombia·0|-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0</v>
      </c>
      <c r="BJ7" s="443">
        <f ca="1">COUNTIF(Pool!$C$182:$C$197,Fixture!BG7)-BK7-BL7-BM7-BN7-BO7</f>
        <v>1</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1</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0</v>
      </c>
      <c r="BJ16" s="443">
        <f ca="1">COUNTIF(Pool!$C$182:$C$197,Fixture!BG16)-BK16-BL16-BM16-BN16-BO16</f>
        <v>1</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0</v>
      </c>
      <c r="BJ22" s="443">
        <f ca="1">COUNTIF(Pool!$C$182:$C$197,Fixture!BG22)-BK22-BL22-BM22-BN22-BO22</f>
        <v>1</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1</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1</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1</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1</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1</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f>+IF(ISBLANK(INDEX(WORLDCUP!$AC$101:$AC$147,MATCH(Y39,WORLDCUP!$Z$101:$Z$147,0))),"",INDEX(WORLDCUP!$AC$101:$AC$147,MATCH(Y39,WORLDCUP!$Z$101:$Z$147,0)))</f>
        <v>3</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f>+IF(ISBLANK(INDEX(WORLDCUP!$AD$101:$AD$147,MATCH(Y40,WORLDCUP!$Z$101:$Z$147,0))),"",INDEX(WORLDCUP!$AD$101:$AD$147,MATCH(Y40,WORLDCUP!$Z$101:$Z$147,0)))</f>
        <v>2</v>
      </c>
      <c r="AC40" s="433" t="str">
        <f>+IF(ISBLANK(INDEX(WORLDCUP!$AE$101:$AE$147,MATCH(Y40,WORLDCUP!$Z$101:$Z$147,0))),"","( "&amp;INDEX(WORLDCUP!$AE$101:$AE$147,MATCH(Y40,WORLDCUP!$Z$101:$Z$147,0))&amp;" )")</f>
        <v/>
      </c>
      <c r="AD40" s="434">
        <v>95</v>
      </c>
      <c r="AE40" s="435" t="str">
        <f ca="1">+MID(INDEX(WORLDCUP!$AA$101:$AA$147,MATCH(AD40,WORLDCUP!$Z$101:$Z$147,0)),1,3)</f>
        <v>Arg</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 ca="1">+MID(INDEX(WORLDCUP!$AF$101:$AF$147,MATCH(AD41,WORLDCUP!$Z$101:$Z$147,0)),1,3)</f>
        <v>Egi</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f>+IF(ISBLANK(INDEX(WORLDCUP!$AC$101:$AC$147,MATCH(Y42,WORLDCUP!$Z$101:$Z$147,0))),"",INDEX(WORLDCUP!$AC$101:$AC$147,MATCH(Y42,WORLDCUP!$Z$101:$Z$147,0)))</f>
        <v>1</v>
      </c>
      <c r="AC42" s="485" t="str">
        <f>+IF(ISBLANK(INDEX(WORLDCUP!$AB$101:$AB$147,MATCH(Y42,WORLDCUP!$Z$101:$Z$147,0))),"","( "&amp;INDEX(WORLDCUP!$AB$101:$AB$147,MATCH(Y42,WORLDCUP!$Z$101:$Z$147,0))&amp;" )")</f>
        <v>( 2 )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f>+IF(ISBLANK(INDEX(WORLDCUP!$AD$101:$AD$147,MATCH(Y43,WORLDCUP!$Z$101:$Z$147,0))),"",INDEX(WORLDCUP!$AD$101:$AD$147,MATCH(Y43,WORLDCUP!$Z$101:$Z$147,0)))</f>
        <v>1</v>
      </c>
      <c r="AC43" s="486" t="str">
        <f>+IF(ISBLANK(INDEX(WORLDCUP!$AE$101:$AE$147,MATCH(Y43,WORLDCUP!$Z$101:$Z$147,0))),"","( "&amp;INDEX(WORLDCUP!$AE$101:$AE$147,MATCH(Y43,WORLDCUP!$Z$101:$Z$147,0))&amp;" )")</f>
        <v>( 4 )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 ca="1">+MID(INDEX(WORLDCUP!$AF$101:$AF$147,MATCH(AD47,WORLDCUP!$Z$101:$Z$147,0)),1,3)</f>
        <v>Col</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1</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f>+IF(ISBLANK(INDEX(WORLDCUP!$AC$101:$AC$147,MATCH(Y48,WORLDCUP!$Z$101:$Z$147,0))),"",INDEX(WORLDCUP!$AC$101:$AC$147,MATCH(Y48,WORLDCUP!$Z$101:$Z$147,0)))</f>
        <v>1</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f>+IF(ISBLANK(INDEX(WORLDCUP!$AD$101:$AD$147,MATCH(Y49,WORLDCUP!$Z$101:$Z$147,0))),"",INDEX(WORLDCUP!$AD$101:$AD$147,MATCH(Y49,WORLDCUP!$Z$101:$Z$147,0)))</f>
        <v>0</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2026-07-04T09:09:47Z</dcterms:modified>
</cp:coreProperties>
</file>