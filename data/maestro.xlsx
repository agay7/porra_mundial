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3C59A444-1B82-4469-B92D-973F3DB01CB8}"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U41" i="3"/>
  <c r="T69" i="3"/>
  <c r="U73" i="3"/>
  <c r="T81" i="3"/>
  <c r="T89" i="3" l="1"/>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c r="DN45" i="3" l="1"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<sst xmlns="http://schemas.openxmlformats.org/spreadsheetml/2006/main" count="6814" uniqueCount="1534">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</sst>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14" fontId="83" fillId="36" borderId="0" xfId="0" quotePrefix="1" applyNumberFormat="1" applyFont="1" applyFill="1" applyAlignment="1" applyProtection="1">
      <alignment horizontal="center" vertical="top"/>
      <protection hidden="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14" fontId="83" fillId="13" borderId="0" xfId="0" applyNumberFormat="1" applyFont="1" applyFill="1" applyAlignment="1" applyProtection="1">
      <alignment horizontal="center" vertical="center" textRotation="2"/>
      <protection hidden="1"/>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14" fontId="85" fillId="3" borderId="0" xfId="0" quotePrefix="1" applyNumberFormat="1" applyFont="1" applyFill="1" applyAlignment="1" applyProtection="1">
      <alignment horizontal="center" vertical="center"/>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14" fontId="83" fillId="35" borderId="0" xfId="0" quotePrefix="1" applyNumberFormat="1" applyFont="1" applyFill="1" applyAlignment="1" applyProtection="1">
      <alignment horizontal="center" vertical="top"/>
      <protection hidden="1"/>
    </xf>
    <xf numFmtId="0" fontId="83" fillId="3" borderId="0" xfId="0" applyFont="1" applyFill="1" applyAlignment="1" applyProtection="1">
      <alignment horizontal="center" vertical="center"/>
      <protection hidden="1"/>
    </xf>
    <xf numFmtId="0" fontId="48" fillId="5" borderId="0" xfId="0" applyFont="1" applyFill="1" applyAlignment="1" applyProtection="1">
      <alignment horizontal="left" vertical="center" wrapText="1"/>
      <protection hidden="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96" zoomScale="55" zoomScaleNormal="100" workbookViewId="0">
      <selection activeCell="AD114" sqref="AD114"/>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19" t="str">
        <f>Idiomas!D8</f>
        <v>XXIII Mundial USA/MEX/CAN 2026</v>
      </c>
      <c r="X1" s="619"/>
      <c r="Y1" s="619"/>
      <c r="Z1" s="619"/>
      <c r="AA1" s="619"/>
      <c r="AB1" s="619"/>
      <c r="AC1" s="619"/>
      <c r="AD1" s="619"/>
      <c r="AE1" s="619"/>
      <c r="AF1" s="619"/>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15"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15"/>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15"/>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15"/>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15"/>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16"/>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17"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17"/>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17"/>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17"/>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17"/>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18"/>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26"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26"/>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26"/>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26"/>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26"/>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27"/>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28"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28"/>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28"/>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28"/>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28"/>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29"/>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30"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30"/>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30"/>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30"/>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30"/>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31"/>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38"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38"/>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38"/>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38"/>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38"/>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39"/>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58"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58"/>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58"/>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58"/>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58"/>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59"/>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40"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40"/>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40"/>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40"/>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40"/>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41"/>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46"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46"/>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46"/>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46"/>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46"/>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47"/>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42"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42"/>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42"/>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42"/>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42"/>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43"/>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48"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48"/>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48"/>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48"/>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48"/>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49"/>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44"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44"/>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44"/>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44"/>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44"/>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45"/>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50"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50"/>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50"/>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50"/>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50"/>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50"/>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50"/>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50"/>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50"/>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50"/>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50"/>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50"/>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50"/>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si="289"/>
        <v>W88</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50"/>
      <c r="X114" s="24">
        <f ca="1">Horarios!C114</f>
        <v>46206.833333333336</v>
      </c>
      <c r="Y114" s="25">
        <f ca="1">Horarios!C114</f>
        <v>46206.833333333336</v>
      </c>
      <c r="Z114" s="266">
        <f t="shared" si="296"/>
        <v>88</v>
      </c>
      <c r="AA114" s="86" t="str">
        <f t="shared" ca="1" si="292"/>
        <v>Australia</v>
      </c>
      <c r="AB114" s="87"/>
      <c r="AC114" s="50"/>
      <c r="AD114" s="51"/>
      <c r="AE114" s="87"/>
      <c r="AF114" s="89" t="str">
        <f t="shared" ca="1" si="293"/>
        <v>Egipto</v>
      </c>
      <c r="AG114" s="313">
        <f t="shared" si="294"/>
        <v>0</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si="289"/>
        <v>W86</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50"/>
      <c r="X115" s="24">
        <f ca="1">Horarios!C115</f>
        <v>46207</v>
      </c>
      <c r="Y115" s="25">
        <f ca="1">Horarios!C115</f>
        <v>46207</v>
      </c>
      <c r="Z115" s="266">
        <f t="shared" si="296"/>
        <v>86</v>
      </c>
      <c r="AA115" s="86" t="str">
        <f t="shared" ca="1" si="292"/>
        <v>Argentina</v>
      </c>
      <c r="AB115" s="87"/>
      <c r="AC115" s="50"/>
      <c r="AD115" s="51"/>
      <c r="AE115" s="87"/>
      <c r="AF115" s="89" t="str">
        <f t="shared" ca="1" si="293"/>
        <v>Cabo Verde</v>
      </c>
      <c r="AG115" s="313">
        <f t="shared" si="294"/>
        <v>0</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si="289"/>
        <v>W87</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51"/>
      <c r="X116" s="28">
        <f ca="1">Horarios!C116</f>
        <v>46207.145833333336</v>
      </c>
      <c r="Y116" s="29">
        <f ca="1">Horarios!C116</f>
        <v>46207.145833333336</v>
      </c>
      <c r="Z116" s="267">
        <f t="shared" si="296"/>
        <v>87</v>
      </c>
      <c r="AA116" s="90" t="str">
        <f t="shared" ca="1" si="292"/>
        <v>Colombia</v>
      </c>
      <c r="AB116" s="91"/>
      <c r="AC116" s="50"/>
      <c r="AD116" s="51"/>
      <c r="AE116" s="91"/>
      <c r="AF116" s="92" t="str">
        <f t="shared" ca="1" si="293"/>
        <v>Ghana</v>
      </c>
      <c r="AG116" s="313">
        <f t="shared" si="294"/>
        <v>0</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si="317">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52"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c r="AD120" s="51"/>
      <c r="AE120" s="87"/>
      <c r="AF120" s="89" t="str">
        <f t="shared" ref="AF120:AF127" ca="1" si="321">+INDEX($N$101:$N$147,MATCH(AH120,$J$101:$J$147,0))</f>
        <v>Marruecos</v>
      </c>
      <c r="AG120" s="313">
        <f t="shared" ref="AG120:AG127" si="322">IF(D120="W"&amp;AH120,0,1)</f>
        <v>0</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si="317"/>
        <v>W89</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52"/>
      <c r="X121" s="24">
        <f ca="1">Horarios!C121</f>
        <v>46207.958333333336</v>
      </c>
      <c r="Y121" s="25">
        <f ca="1">Horarios!C121</f>
        <v>46207.958333333336</v>
      </c>
      <c r="Z121" s="266">
        <f t="shared" si="319"/>
        <v>89</v>
      </c>
      <c r="AA121" s="86" t="str">
        <f t="shared" ca="1" si="320"/>
        <v>Paraguay</v>
      </c>
      <c r="AB121" s="87"/>
      <c r="AC121" s="50"/>
      <c r="AD121" s="51"/>
      <c r="AE121" s="87"/>
      <c r="AF121" s="89" t="str">
        <f t="shared" ca="1" si="321"/>
        <v>Francia</v>
      </c>
      <c r="AG121" s="313">
        <f t="shared" si="322"/>
        <v>0</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si="317"/>
        <v>W91</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52"/>
      <c r="X122" s="24">
        <f ca="1">Horarios!C122</f>
        <v>46208.916666666664</v>
      </c>
      <c r="Y122" s="25">
        <f ca="1">Horarios!C122</f>
        <v>46208.916666666664</v>
      </c>
      <c r="Z122" s="266">
        <f t="shared" si="319"/>
        <v>91</v>
      </c>
      <c r="AA122" s="86" t="str">
        <f t="shared" ca="1" si="320"/>
        <v>Brasil</v>
      </c>
      <c r="AB122" s="87"/>
      <c r="AC122" s="50"/>
      <c r="AD122" s="51"/>
      <c r="AE122" s="87"/>
      <c r="AF122" s="89" t="str">
        <f t="shared" ca="1" si="321"/>
        <v>Noruega</v>
      </c>
      <c r="AG122" s="313">
        <f t="shared" si="322"/>
        <v>0</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si="317"/>
        <v>W92</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52"/>
      <c r="X123" s="24">
        <f ca="1">Horarios!C123</f>
        <v>46209.083333333336</v>
      </c>
      <c r="Y123" s="25">
        <f ca="1">Horarios!C123</f>
        <v>46209.083333333336</v>
      </c>
      <c r="Z123" s="266">
        <f t="shared" si="319"/>
        <v>92</v>
      </c>
      <c r="AA123" s="86" t="str">
        <f t="shared" ca="1" si="320"/>
        <v>México</v>
      </c>
      <c r="AB123" s="87"/>
      <c r="AC123" s="50"/>
      <c r="AD123" s="51"/>
      <c r="AE123" s="87"/>
      <c r="AF123" s="89" t="str">
        <f t="shared" ca="1" si="321"/>
        <v>Inglaterra</v>
      </c>
      <c r="AG123" s="313">
        <f t="shared" si="322"/>
        <v>0</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si="317"/>
        <v>W93</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52"/>
      <c r="X124" s="24">
        <f ca="1">Horarios!C124</f>
        <v>46209.875</v>
      </c>
      <c r="Y124" s="25">
        <f ca="1">Horarios!C124</f>
        <v>46209.875</v>
      </c>
      <c r="Z124" s="266">
        <f t="shared" si="319"/>
        <v>93</v>
      </c>
      <c r="AA124" s="86" t="str">
        <f t="shared" ca="1" si="320"/>
        <v>Portugal</v>
      </c>
      <c r="AB124" s="93"/>
      <c r="AC124" s="50"/>
      <c r="AD124" s="51"/>
      <c r="AE124" s="88"/>
      <c r="AF124" s="89" t="str">
        <f t="shared" ca="1" si="321"/>
        <v>España</v>
      </c>
      <c r="AG124" s="313">
        <f t="shared" si="322"/>
        <v>0</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52"/>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si="318"/>
        <v>W86</v>
      </c>
      <c r="N126" s="16" t="str">
        <f t="shared" si="318"/>
        <v>W88</v>
      </c>
      <c r="O126" s="16"/>
      <c r="P126" s="16"/>
      <c r="Q126" s="16"/>
      <c r="R126" s="16"/>
      <c r="S126" s="16"/>
      <c r="T126" s="16"/>
      <c r="U126" s="16"/>
      <c r="V126" s="17"/>
      <c r="W126" s="652"/>
      <c r="X126" s="24">
        <f ca="1">Horarios!C126</f>
        <v>46210.75</v>
      </c>
      <c r="Y126" s="25">
        <f ca="1">Horarios!C126</f>
        <v>46210.75</v>
      </c>
      <c r="Z126" s="266">
        <f t="shared" si="319"/>
        <v>95</v>
      </c>
      <c r="AA126" s="86" t="str">
        <f t="shared" si="320"/>
        <v>W86</v>
      </c>
      <c r="AB126" s="87"/>
      <c r="AC126" s="50"/>
      <c r="AD126" s="51"/>
      <c r="AE126" s="87"/>
      <c r="AF126" s="89" t="str">
        <f t="shared" si="321"/>
        <v>W88</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si="318"/>
        <v>W87</v>
      </c>
      <c r="O127" s="16"/>
      <c r="P127" s="16"/>
      <c r="Q127" s="16"/>
      <c r="R127" s="16"/>
      <c r="S127" s="16"/>
      <c r="T127" s="16"/>
      <c r="U127" s="16"/>
      <c r="V127" s="17"/>
      <c r="W127" s="653"/>
      <c r="X127" s="28">
        <f ca="1">Horarios!C127</f>
        <v>46210.916666666664</v>
      </c>
      <c r="Y127" s="29">
        <f ca="1">Horarios!C127</f>
        <v>46210.916666666664</v>
      </c>
      <c r="Z127" s="267">
        <f t="shared" si="319"/>
        <v>96</v>
      </c>
      <c r="AA127" s="90" t="str">
        <f t="shared" ca="1" si="320"/>
        <v>Suiza</v>
      </c>
      <c r="AB127" s="91"/>
      <c r="AC127" s="50"/>
      <c r="AD127" s="51"/>
      <c r="AE127" s="91"/>
      <c r="AF127" s="92" t="str">
        <f t="shared" si="321"/>
        <v>W87</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si="323">+INDEX($D$101:$D$147,MATCH(E131,$AH$101:$AH$147,0))</f>
        <v>W89</v>
      </c>
      <c r="N131" s="16" t="str">
        <f t="shared" si="323"/>
        <v>W90</v>
      </c>
      <c r="O131" s="16"/>
      <c r="P131" s="16"/>
      <c r="Q131" s="16"/>
      <c r="R131" s="16"/>
      <c r="S131" s="16"/>
      <c r="T131" s="16"/>
      <c r="U131" s="16"/>
      <c r="V131" s="17"/>
      <c r="W131" s="654" t="s">
        <v>36</v>
      </c>
      <c r="X131" s="24">
        <f ca="1">Horarios!C131</f>
        <v>46212.916666666664</v>
      </c>
      <c r="Y131" s="25">
        <f ca="1">Horarios!C131</f>
        <v>46212.916666666664</v>
      </c>
      <c r="Z131" s="268">
        <f t="shared" ref="Z131:Z134" si="324">AH131</f>
        <v>97</v>
      </c>
      <c r="AA131" s="86" t="str">
        <f t="shared" ref="AA131:AA134" si="325">+INDEX($M$101:$M$147,MATCH(AH131,$J$101:$J$147,0))</f>
        <v>W89</v>
      </c>
      <c r="AB131" s="93"/>
      <c r="AC131" s="50"/>
      <c r="AD131" s="51"/>
      <c r="AE131" s="88"/>
      <c r="AF131" s="108" t="str">
        <f>+INDEX($N$101:$N$147,MATCH(AH131,$J$101:$J$147,0))</f>
        <v>W90</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si="323"/>
        <v>W93</v>
      </c>
      <c r="N132" s="16" t="str">
        <f t="shared" si="323"/>
        <v>W94</v>
      </c>
      <c r="O132" s="16"/>
      <c r="P132" s="16"/>
      <c r="Q132" s="16"/>
      <c r="R132" s="16"/>
      <c r="S132" s="16"/>
      <c r="T132" s="16"/>
      <c r="U132" s="16"/>
      <c r="V132" s="17"/>
      <c r="W132" s="654"/>
      <c r="X132" s="24">
        <f ca="1">Horarios!C132</f>
        <v>46213.875</v>
      </c>
      <c r="Y132" s="25">
        <f ca="1">Horarios!C132</f>
        <v>46213.875</v>
      </c>
      <c r="Z132" s="268">
        <f t="shared" si="324"/>
        <v>98</v>
      </c>
      <c r="AA132" s="86" t="str">
        <f t="shared" si="325"/>
        <v>W93</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si="323"/>
        <v>W91</v>
      </c>
      <c r="N133" s="16" t="str">
        <f t="shared" si="323"/>
        <v>W92</v>
      </c>
      <c r="O133" s="16"/>
      <c r="P133" s="16"/>
      <c r="Q133" s="16"/>
      <c r="R133" s="16"/>
      <c r="S133" s="16"/>
      <c r="T133" s="16"/>
      <c r="U133" s="16"/>
      <c r="V133" s="17"/>
      <c r="W133" s="654"/>
      <c r="X133" s="24">
        <f ca="1">Horarios!C133</f>
        <v>46214.958333333336</v>
      </c>
      <c r="Y133" s="25">
        <f ca="1">Horarios!C133</f>
        <v>46214.958333333336</v>
      </c>
      <c r="Z133" s="268">
        <f t="shared" si="324"/>
        <v>99</v>
      </c>
      <c r="AA133" s="86" t="str">
        <f t="shared" si="325"/>
        <v>W91</v>
      </c>
      <c r="AB133" s="87"/>
      <c r="AC133" s="50"/>
      <c r="AD133" s="51"/>
      <c r="AE133" s="87"/>
      <c r="AF133" s="108" t="str">
        <f>+INDEX($N$101:$N$147,MATCH(AH133,$J$101:$J$147,0))</f>
        <v>W92</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55"/>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56"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57"/>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20" t="str">
        <f ca="1">IF(SUM(COUNTIF(AG4:AG97,0),COUNTIF(AG101:AG156,0)&gt;0),AL148,AL149)</f>
        <v>PORRA INCOMPLETA:</v>
      </c>
      <c r="AK151" s="621"/>
      <c r="AL151" s="621"/>
      <c r="AM151" s="621"/>
      <c r="AN151" s="621"/>
      <c r="AO151" s="621"/>
      <c r="AP151" s="621"/>
      <c r="AQ151" s="621"/>
      <c r="AR151" s="621"/>
      <c r="AS151" s="621"/>
      <c r="AT151" s="621"/>
      <c r="AU151" s="622"/>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23"/>
      <c r="AK152" s="624"/>
      <c r="AL152" s="624"/>
      <c r="AM152" s="624"/>
      <c r="AN152" s="624"/>
      <c r="AO152" s="624"/>
      <c r="AP152" s="624"/>
      <c r="AQ152" s="624"/>
      <c r="AR152" s="624"/>
      <c r="AS152" s="624"/>
      <c r="AT152" s="624"/>
      <c r="AU152" s="625"/>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23"/>
      <c r="AK153" s="624"/>
      <c r="AL153" s="624"/>
      <c r="AM153" s="624"/>
      <c r="AN153" s="624"/>
      <c r="AO153" s="624"/>
      <c r="AP153" s="624"/>
      <c r="AQ153" s="624"/>
      <c r="AR153" s="624"/>
      <c r="AS153" s="624"/>
      <c r="AT153" s="624"/>
      <c r="AU153" s="625"/>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23"/>
      <c r="AK154" s="624"/>
      <c r="AL154" s="624"/>
      <c r="AM154" s="624"/>
      <c r="AN154" s="624"/>
      <c r="AO154" s="624"/>
      <c r="AP154" s="624"/>
      <c r="AQ154" s="624"/>
      <c r="AR154" s="624"/>
      <c r="AS154" s="624"/>
      <c r="AT154" s="624"/>
      <c r="AU154" s="625"/>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32" t="str">
        <f ca="1">IF(SUM(COUNTIF(AG4:AG97,0),COUNTIF(AG101:AG156,0)&gt;0),AM148,AM149)</f>
        <v>Aún falta alguna apuesta</v>
      </c>
      <c r="AK155" s="633"/>
      <c r="AL155" s="633"/>
      <c r="AM155" s="633"/>
      <c r="AN155" s="633"/>
      <c r="AO155" s="633"/>
      <c r="AP155" s="633"/>
      <c r="AQ155" s="633"/>
      <c r="AR155" s="633"/>
      <c r="AS155" s="633"/>
      <c r="AT155" s="633"/>
      <c r="AU155" s="634"/>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32"/>
      <c r="AK156" s="633"/>
      <c r="AL156" s="633"/>
      <c r="AM156" s="633"/>
      <c r="AN156" s="633"/>
      <c r="AO156" s="633"/>
      <c r="AP156" s="633"/>
      <c r="AQ156" s="633"/>
      <c r="AR156" s="633"/>
      <c r="AS156" s="633"/>
      <c r="AT156" s="633"/>
      <c r="AU156" s="634"/>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35"/>
      <c r="AK157" s="636"/>
      <c r="AL157" s="636"/>
      <c r="AM157" s="636"/>
      <c r="AN157" s="636"/>
      <c r="AO157" s="636"/>
      <c r="AP157" s="636"/>
      <c r="AQ157" s="636"/>
      <c r="AR157" s="636"/>
      <c r="AS157" s="636"/>
      <c r="AT157" s="636"/>
      <c r="AU157" s="637"/>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0</v>
      </c>
      <c r="E87" s="7">
        <f>WORLDCUP!AD114</f>
        <v>0</v>
      </c>
      <c r="H87" s="7">
        <f>IF(AND(NOT(ISBLANK(WORLDCUP!AC114)),NOT(ISBLANK(WORLDCUP!AD114))),1,0)</f>
        <v>0</v>
      </c>
      <c r="J87" s="613">
        <f ca="1">WORLDCUP!X114</f>
        <v>46206.833333333336</v>
      </c>
      <c r="K87" s="614">
        <f ca="1">WORLDCUP!Y114</f>
        <v>46206.833333333336</v>
      </c>
    </row>
    <row r="88" spans="1:11">
      <c r="A88" s="7">
        <v>87</v>
      </c>
      <c r="B88" s="611" t="str">
        <f ca="1">WORLDCUP!AA115</f>
        <v>Argentina</v>
      </c>
      <c r="C88" t="str">
        <f ca="1">WORLDCUP!AF115</f>
        <v>Cabo Verde</v>
      </c>
      <c r="D88" s="7">
        <f>WORLDCUP!AC115</f>
        <v>0</v>
      </c>
      <c r="E88" s="7">
        <f>WORLDCUP!AD115</f>
        <v>0</v>
      </c>
      <c r="H88" s="7">
        <f>IF(AND(NOT(ISBLANK(WORLDCUP!AC115)),NOT(ISBLANK(WORLDCUP!AD115))),1,0)</f>
        <v>0</v>
      </c>
      <c r="J88" s="613">
        <f ca="1">WORLDCUP!X115</f>
        <v>46207</v>
      </c>
      <c r="K88" s="614">
        <f ca="1">WORLDCUP!Y115</f>
        <v>46207</v>
      </c>
    </row>
    <row r="89" spans="1:11">
      <c r="A89" s="7">
        <v>88</v>
      </c>
      <c r="B89" s="611" t="str">
        <f ca="1">WORLDCUP!AA116</f>
        <v>Colombia</v>
      </c>
      <c r="C89" t="str">
        <f ca="1">WORLDCUP!AF116</f>
        <v>Ghana</v>
      </c>
      <c r="D89" s="7">
        <f>WORLDCUP!AC116</f>
        <v>0</v>
      </c>
      <c r="E89" s="7">
        <f>WORLDCUP!AD116</f>
        <v>0</v>
      </c>
      <c r="H89" s="7">
        <f>IF(AND(NOT(ISBLANK(WORLDCUP!AC116)),NOT(ISBLANK(WORLDCUP!AD116))),1,0)</f>
        <v>0</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0</v>
      </c>
      <c r="H90" s="7">
        <f>IF(AND(NOT(ISBLANK(WORLDCUP!AC120)),NOT(ISBLANK(WORLDCUP!AD120))),1,0)</f>
        <v>0</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0</v>
      </c>
      <c r="H91" s="7">
        <f>IF(AND(NOT(ISBLANK(WORLDCUP!AC121)),NOT(ISBLANK(WORLDCUP!AD121))),1,0)</f>
        <v>0</v>
      </c>
      <c r="J91" s="613">
        <f ca="1">WORLDCUP!X121</f>
        <v>46207.958333333336</v>
      </c>
      <c r="K91" s="614">
        <f ca="1">WORLDCUP!Y121</f>
        <v>46207.958333333336</v>
      </c>
    </row>
    <row r="92" spans="1:11">
      <c r="A92" s="7">
        <v>91</v>
      </c>
      <c r="B92" s="611" t="str">
        <f ca="1">WORLDCUP!AA122</f>
        <v>Brasil</v>
      </c>
      <c r="C92" t="str">
        <f ca="1">WORLDCUP!AF122</f>
        <v>Noruega</v>
      </c>
      <c r="D92" s="7">
        <f>WORLDCUP!AC122</f>
        <v>0</v>
      </c>
      <c r="E92" s="7">
        <f>WORLDCUP!AD122</f>
        <v>0</v>
      </c>
      <c r="H92" s="7">
        <f>IF(AND(NOT(ISBLANK(WORLDCUP!AC122)),NOT(ISBLANK(WORLDCUP!AD122))),1,0)</f>
        <v>0</v>
      </c>
      <c r="J92" s="613">
        <f ca="1">WORLDCUP!X122</f>
        <v>46208.916666666664</v>
      </c>
      <c r="K92" s="614">
        <f ca="1">WORLDCUP!Y122</f>
        <v>46208.916666666664</v>
      </c>
    </row>
    <row r="93" spans="1:11">
      <c r="A93" s="7">
        <v>92</v>
      </c>
      <c r="B93" s="611" t="str">
        <f ca="1">WORLDCUP!AA123</f>
        <v>México</v>
      </c>
      <c r="C93" t="str">
        <f ca="1">WORLDCUP!AF123</f>
        <v>Inglaterra</v>
      </c>
      <c r="D93" s="7">
        <f>WORLDCUP!AC123</f>
        <v>0</v>
      </c>
      <c r="E93" s="7">
        <f>WORLDCUP!AD123</f>
        <v>0</v>
      </c>
      <c r="H93" s="7">
        <f>IF(AND(NOT(ISBLANK(WORLDCUP!AC123)),NOT(ISBLANK(WORLDCUP!AD123))),1,0)</f>
        <v>0</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0</v>
      </c>
      <c r="H94" s="7">
        <f>IF(AND(NOT(ISBLANK(WORLDCUP!AC124)),NOT(ISBLANK(WORLDCUP!AD124))),1,0)</f>
        <v>0</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WORLDCUP!AA126</f>
        <v>W86</v>
      </c>
      <c r="C96" t="str">
        <f>WORLDCUP!AF126</f>
        <v>W88</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WORLDCUP!AF127</f>
        <v>W87</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WORLDCUP!AA131</f>
        <v>W89</v>
      </c>
      <c r="C98" t="str">
        <f>WORLDCUP!AF131</f>
        <v>W90</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WORLDCUP!AA132</f>
        <v>W93</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WORLDCUP!AA133</f>
        <v>W91</v>
      </c>
      <c r="C100" t="str">
        <f>WORLDCUP!AF133</f>
        <v>W92</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1" t="str">
        <f>Idiomas!D106</f>
        <v>EL ADMINISTRADOR DE LA PORRA SEGUIRÁ LAS INSTRUCCIONES DE AQUÍ ABAJO</v>
      </c>
      <c r="F1" s="681"/>
      <c r="G1" s="681"/>
      <c r="H1" s="681"/>
      <c r="I1" s="681"/>
      <c r="J1" s="681"/>
      <c r="K1" s="681"/>
      <c r="L1" s="681"/>
      <c r="M1" s="681"/>
      <c r="N1" s="681"/>
    </row>
    <row r="2" spans="1:14" ht="20" customHeight="1" thickBot="1">
      <c r="A2" s="276"/>
      <c r="B2" s="277"/>
      <c r="C2" s="277"/>
      <c r="D2" s="354"/>
      <c r="E2" s="681"/>
      <c r="F2" s="681"/>
      <c r="G2" s="681"/>
      <c r="H2" s="681"/>
      <c r="I2" s="681"/>
      <c r="J2" s="681"/>
      <c r="K2" s="681"/>
      <c r="L2" s="681"/>
      <c r="M2" s="681"/>
      <c r="N2" s="681"/>
    </row>
    <row r="3" spans="1:14" ht="35" customHeight="1" thickBot="1">
      <c r="A3" s="276"/>
      <c r="B3" s="280" t="str">
        <f>HYPERLINK(Idiomas!D10,Idiomas!D9)</f>
        <v>▼ Descargar Excel Administrador Porra ▼</v>
      </c>
      <c r="C3" s="277"/>
      <c r="D3" s="354"/>
      <c r="E3" s="684" t="str">
        <f>Idiomas!D107</f>
        <v>·Si haceis todo el Mundial de golpe, incluido el predictor, copiar de la C5 a la C258 y pegar valores en la plantilla de Administrador.</v>
      </c>
      <c r="F3" s="684"/>
      <c r="G3" s="684"/>
      <c r="H3" s="684"/>
      <c r="I3" s="684"/>
      <c r="J3" s="684"/>
      <c r="K3" s="684"/>
      <c r="L3" s="684"/>
      <c r="M3" s="684"/>
      <c r="N3" s="685"/>
    </row>
    <row r="4" spans="1:14" ht="45" customHeight="1">
      <c r="A4" s="276"/>
      <c r="B4" s="277"/>
      <c r="C4" s="559" t="str">
        <f>Idiomas!D105</f>
        <v>¡No tocar nada, se rellena solo!</v>
      </c>
      <c r="D4" s="354"/>
      <c r="E4" s="683"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3"/>
      <c r="G4" s="683"/>
      <c r="H4" s="683"/>
      <c r="I4" s="683"/>
      <c r="J4" s="683"/>
      <c r="K4" s="683"/>
      <c r="L4" s="683"/>
      <c r="M4" s="683"/>
      <c r="N4" s="363"/>
    </row>
    <row r="5" spans="1:14" ht="19" customHeight="1">
      <c r="A5" s="339"/>
      <c r="B5" s="340" t="str">
        <f>Idiomas!D125</f>
        <v>FASE DE GRUPOS</v>
      </c>
      <c r="C5" s="332" t="str">
        <f>Home!C10</f>
        <v>Nombre</v>
      </c>
      <c r="E5" s="672" t="str">
        <f>Idiomas!D109</f>
        <v>·Si haceis jornada a jornada seguir las instrucciones de cada jornada</v>
      </c>
      <c r="F5" s="672"/>
      <c r="G5" s="672"/>
      <c r="H5" s="672"/>
      <c r="I5" s="672"/>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76" t="str">
        <f>Idiomas!D122</f>
        <v>J1</v>
      </c>
      <c r="E6" s="682" t="str">
        <f>Idiomas!D110</f>
        <v>·Para la primera jornada copiar de la C5 a la C29 y pega valores en la plantilla de administrador. ¡OJO! COPIAR TAMBIÉN de la C253 a la C258.</v>
      </c>
      <c r="F6" s="682"/>
      <c r="G6" s="682"/>
      <c r="H6" s="682"/>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76"/>
      <c r="E7" s="668"/>
      <c r="F7" s="668"/>
      <c r="G7" s="668"/>
      <c r="H7" s="668"/>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76"/>
      <c r="E8" s="668"/>
      <c r="F8" s="668"/>
      <c r="G8" s="668"/>
      <c r="H8" s="668"/>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76"/>
      <c r="E9" s="668"/>
      <c r="F9" s="668"/>
      <c r="G9" s="668"/>
      <c r="H9" s="668"/>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76"/>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76"/>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76"/>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76"/>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76"/>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76"/>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76"/>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76"/>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76"/>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76"/>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76"/>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76"/>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76"/>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76"/>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76"/>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76"/>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76"/>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76"/>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76"/>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77"/>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78" t="str">
        <f>Idiomas!D123</f>
        <v>J2</v>
      </c>
      <c r="E30" s="682" t="str">
        <f>Idiomas!D111</f>
        <v>·Para la segunda jornada copiar de la C30 a la C53 y pega valores en la plantilla de administrador.</v>
      </c>
      <c r="F30" s="682"/>
      <c r="G30" s="682"/>
      <c r="H30" s="682"/>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78"/>
      <c r="E31" s="668"/>
      <c r="F31" s="668"/>
      <c r="G31" s="668"/>
      <c r="H31" s="668"/>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78"/>
      <c r="E32" s="668"/>
      <c r="F32" s="668"/>
      <c r="G32" s="668"/>
      <c r="H32" s="668"/>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78"/>
      <c r="E33" s="668"/>
      <c r="F33" s="668"/>
      <c r="G33" s="668"/>
      <c r="H33" s="668"/>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78"/>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78"/>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78"/>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78"/>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78"/>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78"/>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78"/>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78"/>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78"/>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78"/>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78"/>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78"/>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78"/>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78"/>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78"/>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78"/>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78"/>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78"/>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78"/>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79"/>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87" t="str">
        <f>Idiomas!D124</f>
        <v>J3</v>
      </c>
      <c r="E54" s="682" t="str">
        <f>Idiomas!D112</f>
        <v>·Para la tercera jornada copiar de la C54 a la C161 y pega valores en la plantilla de administrador.</v>
      </c>
      <c r="F54" s="682"/>
      <c r="G54" s="682"/>
      <c r="H54" s="682"/>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87"/>
      <c r="E55" s="668"/>
      <c r="F55" s="668"/>
      <c r="G55" s="668"/>
      <c r="H55" s="668"/>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87"/>
      <c r="E56" s="668"/>
      <c r="F56" s="668"/>
      <c r="G56" s="668"/>
      <c r="H56" s="668"/>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87"/>
      <c r="E57" s="668"/>
      <c r="F57" s="668"/>
      <c r="G57" s="668"/>
      <c r="H57" s="668"/>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87"/>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87"/>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87"/>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87"/>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87"/>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87"/>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87"/>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87"/>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87"/>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87"/>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87"/>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87"/>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87"/>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87"/>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87"/>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87"/>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87"/>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87"/>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87"/>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87"/>
      <c r="E77" s="356"/>
      <c r="F77" s="356"/>
      <c r="G77" s="356"/>
      <c r="H77" s="356"/>
      <c r="I77" s="367"/>
      <c r="J77" s="356"/>
      <c r="K77" s="356"/>
      <c r="L77" s="356"/>
      <c r="M77" s="365"/>
      <c r="N77" s="363"/>
    </row>
    <row r="78" spans="1:14" ht="15" customHeight="1">
      <c r="A78" s="339"/>
      <c r="B78" s="339"/>
      <c r="C78" s="336"/>
      <c r="D78" s="687"/>
      <c r="E78" s="356"/>
      <c r="F78" s="356"/>
      <c r="G78" s="356"/>
      <c r="H78" s="356"/>
      <c r="I78" s="367"/>
      <c r="J78" s="356"/>
      <c r="K78" s="356"/>
      <c r="L78" s="356"/>
      <c r="M78" s="365"/>
      <c r="N78" s="363"/>
    </row>
    <row r="79" spans="1:14" ht="19" customHeight="1">
      <c r="A79" s="339"/>
      <c r="B79" s="344" t="str">
        <f>Idiomas!D126</f>
        <v>POSICIÓN GRUPOS</v>
      </c>
      <c r="C79" s="336"/>
      <c r="D79" s="687"/>
      <c r="E79" s="356"/>
      <c r="F79" s="356"/>
      <c r="G79" s="356"/>
      <c r="H79" s="356"/>
      <c r="I79" s="367"/>
      <c r="J79" s="356"/>
      <c r="K79" s="356"/>
      <c r="L79" s="356"/>
      <c r="M79" s="365"/>
      <c r="N79" s="363"/>
    </row>
    <row r="80" spans="1:14" ht="15" customHeight="1">
      <c r="A80" s="680" t="s">
        <v>0</v>
      </c>
      <c r="B80" s="345" t="str">
        <f>Idiomas!D140</f>
        <v>1º GRUPO A</v>
      </c>
      <c r="C80" s="335" t="str">
        <f ca="1">IF(OR(SUM(WORLDCUP!$AN$6:$AN$9)=12,WORLDCUP!$AJ$99=144),WORLDCUP!AL6,B80)</f>
        <v>México</v>
      </c>
      <c r="D80" s="687"/>
      <c r="E80" s="356"/>
      <c r="F80" s="356"/>
      <c r="G80" s="356"/>
      <c r="H80" s="356"/>
      <c r="I80" s="367"/>
      <c r="J80" s="356"/>
      <c r="K80" s="356"/>
      <c r="L80" s="356"/>
      <c r="M80" s="365"/>
      <c r="N80" s="363"/>
    </row>
    <row r="81" spans="1:14" ht="15" customHeight="1">
      <c r="A81" s="680"/>
      <c r="B81" s="345" t="str">
        <f>Idiomas!D141</f>
        <v>2º GRUPO A</v>
      </c>
      <c r="C81" s="335" t="str">
        <f ca="1">IF(OR(SUM(WORLDCUP!$AN$6:$AN$9)=12,WORLDCUP!$AJ$99=144),WORLDCUP!AL7,B81)</f>
        <v>Sudáfrica</v>
      </c>
      <c r="D81" s="687"/>
      <c r="E81" s="356"/>
      <c r="F81" s="356"/>
      <c r="G81" s="356"/>
      <c r="H81" s="356"/>
      <c r="I81" s="367"/>
      <c r="J81" s="356"/>
      <c r="K81" s="356"/>
      <c r="L81" s="356"/>
      <c r="M81" s="365"/>
      <c r="N81" s="363"/>
    </row>
    <row r="82" spans="1:14" ht="15" customHeight="1">
      <c r="A82" s="680"/>
      <c r="B82" s="345" t="str">
        <f>Idiomas!D142</f>
        <v>3º GRUPO A</v>
      </c>
      <c r="C82" s="335" t="str">
        <f ca="1">IF(OR(SUM(WORLDCUP!$AN$6:$AN$9)=12,WORLDCUP!$AJ$99=144),WORLDCUP!AL8,B82)</f>
        <v>Corea del Sur</v>
      </c>
      <c r="D82" s="687"/>
      <c r="E82" s="356"/>
      <c r="F82" s="356"/>
      <c r="G82" s="356"/>
      <c r="H82" s="356"/>
      <c r="I82" s="367"/>
      <c r="J82" s="356"/>
      <c r="K82" s="356"/>
      <c r="L82" s="356"/>
      <c r="M82" s="365"/>
      <c r="N82" s="363"/>
    </row>
    <row r="83" spans="1:14" ht="15" customHeight="1">
      <c r="A83" s="680"/>
      <c r="B83" s="345" t="str">
        <f>Idiomas!D143</f>
        <v>4º GRUPO A</v>
      </c>
      <c r="C83" s="335" t="str">
        <f ca="1">IF(OR(SUM(WORLDCUP!$AN$6:$AN$9)=12,WORLDCUP!$AJ$99=144),WORLDCUP!AL9,B83)</f>
        <v>República Checa</v>
      </c>
      <c r="D83" s="687"/>
      <c r="E83" s="356"/>
      <c r="F83" s="356"/>
      <c r="G83" s="356"/>
      <c r="H83" s="356"/>
      <c r="I83" s="367"/>
      <c r="J83" s="356"/>
      <c r="K83" s="356"/>
      <c r="L83" s="356"/>
      <c r="M83" s="365"/>
      <c r="N83" s="363"/>
    </row>
    <row r="84" spans="1:14" ht="15" customHeight="1">
      <c r="A84" s="690" t="s">
        <v>1</v>
      </c>
      <c r="B84" s="343" t="str">
        <f>Idiomas!D144</f>
        <v>1º GRUPO B</v>
      </c>
      <c r="C84" s="335" t="str">
        <f ca="1">IF(OR(SUM(WORLDCUP!$AN$14:$AN$17)=12,WORLDCUP!$AJ$99=144),WORLDCUP!AL14,B84)</f>
        <v>Suiza</v>
      </c>
      <c r="D84" s="687"/>
      <c r="E84" s="356"/>
      <c r="F84" s="356"/>
      <c r="G84" s="356"/>
      <c r="H84" s="356"/>
      <c r="I84" s="367"/>
      <c r="J84" s="356"/>
      <c r="K84" s="356"/>
      <c r="L84" s="356"/>
      <c r="M84" s="365"/>
      <c r="N84" s="363"/>
    </row>
    <row r="85" spans="1:14" ht="15" customHeight="1">
      <c r="A85" s="690"/>
      <c r="B85" s="343" t="str">
        <f>Idiomas!D145</f>
        <v>2º GRUPO B</v>
      </c>
      <c r="C85" s="335" t="str">
        <f ca="1">IF(OR(SUM(WORLDCUP!$AN$14:$AN$17)=12,WORLDCUP!$AJ$99=144),WORLDCUP!AL15,B85)</f>
        <v>Canadá</v>
      </c>
      <c r="D85" s="687"/>
      <c r="E85" s="356"/>
      <c r="F85" s="356"/>
      <c r="G85" s="356"/>
      <c r="H85" s="356"/>
      <c r="I85" s="367"/>
      <c r="J85" s="356"/>
      <c r="K85" s="356"/>
      <c r="L85" s="356"/>
      <c r="M85" s="365"/>
      <c r="N85" s="363"/>
    </row>
    <row r="86" spans="1:14" ht="15" customHeight="1">
      <c r="A86" s="690"/>
      <c r="B86" s="343" t="str">
        <f>Idiomas!D146</f>
        <v>3º GRUPO B</v>
      </c>
      <c r="C86" s="335" t="str">
        <f ca="1">IF(OR(SUM(WORLDCUP!$AN$14:$AN$17)=12,WORLDCUP!$AJ$99=144),WORLDCUP!AL16,B86)</f>
        <v>Bosnia y Herzegovina</v>
      </c>
      <c r="D86" s="687"/>
      <c r="E86" s="356"/>
      <c r="F86" s="356"/>
      <c r="G86" s="356"/>
      <c r="H86" s="356"/>
      <c r="I86" s="367"/>
      <c r="J86" s="356"/>
      <c r="K86" s="356"/>
      <c r="L86" s="356"/>
      <c r="M86" s="365"/>
      <c r="N86" s="363"/>
    </row>
    <row r="87" spans="1:14" ht="15" customHeight="1">
      <c r="A87" s="690"/>
      <c r="B87" s="343" t="str">
        <f>Idiomas!D147</f>
        <v>4º GRUPO B</v>
      </c>
      <c r="C87" s="335" t="str">
        <f ca="1">IF(OR(SUM(WORLDCUP!$AN$14:$AN$17)=12,WORLDCUP!$AJ$99=144),WORLDCUP!AL17,B87)</f>
        <v>Catar</v>
      </c>
      <c r="D87" s="687"/>
      <c r="E87" s="356"/>
      <c r="F87" s="356"/>
      <c r="G87" s="356"/>
      <c r="H87" s="356"/>
      <c r="I87" s="367"/>
      <c r="J87" s="356"/>
      <c r="K87" s="356"/>
      <c r="L87" s="356"/>
      <c r="M87" s="365"/>
      <c r="N87" s="363"/>
    </row>
    <row r="88" spans="1:14" ht="15" customHeight="1">
      <c r="A88" s="680" t="s">
        <v>2</v>
      </c>
      <c r="B88" s="345" t="str">
        <f>Idiomas!D148</f>
        <v>1º GRUPO C</v>
      </c>
      <c r="C88" s="335" t="str">
        <f ca="1">IF(OR(SUM(WORLDCUP!$AN$22:$AN$25)=12,WORLDCUP!$AJ$99=144),WORLDCUP!AL22,B88)</f>
        <v>Brasil</v>
      </c>
      <c r="D88" s="687"/>
      <c r="E88" s="356"/>
      <c r="F88" s="356"/>
      <c r="G88" s="356"/>
      <c r="H88" s="356"/>
      <c r="I88" s="367"/>
      <c r="J88" s="356"/>
      <c r="K88" s="356"/>
      <c r="L88" s="356"/>
      <c r="M88" s="365"/>
      <c r="N88" s="363"/>
    </row>
    <row r="89" spans="1:14" ht="15" customHeight="1">
      <c r="A89" s="680"/>
      <c r="B89" s="345" t="str">
        <f>Idiomas!D149</f>
        <v>2º GRUPO C</v>
      </c>
      <c r="C89" s="335" t="str">
        <f ca="1">IF(OR(SUM(WORLDCUP!$AN$22:$AN$25)=12,WORLDCUP!$AJ$99=144),WORLDCUP!AL23,B89)</f>
        <v>Marruecos</v>
      </c>
      <c r="D89" s="687"/>
      <c r="E89" s="356"/>
      <c r="F89" s="356"/>
      <c r="G89" s="356"/>
      <c r="H89" s="356"/>
      <c r="I89" s="367"/>
      <c r="J89" s="356"/>
      <c r="K89" s="356"/>
      <c r="L89" s="356"/>
      <c r="M89" s="365"/>
      <c r="N89" s="363"/>
    </row>
    <row r="90" spans="1:14" ht="15" customHeight="1">
      <c r="A90" s="680"/>
      <c r="B90" s="345" t="str">
        <f>Idiomas!D150</f>
        <v>3º GRUPO C</v>
      </c>
      <c r="C90" s="335" t="str">
        <f ca="1">IF(OR(SUM(WORLDCUP!$AN$22:$AN$25)=12,WORLDCUP!$AJ$99=144),WORLDCUP!AL24,B90)</f>
        <v>Escocia</v>
      </c>
      <c r="D90" s="687"/>
      <c r="E90" s="356"/>
      <c r="F90" s="356"/>
      <c r="G90" s="356"/>
      <c r="H90" s="356"/>
      <c r="I90" s="367"/>
      <c r="J90" s="356"/>
      <c r="K90" s="356"/>
      <c r="L90" s="356"/>
      <c r="M90" s="365"/>
      <c r="N90" s="363"/>
    </row>
    <row r="91" spans="1:14" ht="15" customHeight="1">
      <c r="A91" s="680"/>
      <c r="B91" s="345" t="str">
        <f>Idiomas!D151</f>
        <v>4º GRUPO C</v>
      </c>
      <c r="C91" s="335" t="str">
        <f ca="1">IF(OR(SUM(WORLDCUP!$AN$22:$AN$25)=12,WORLDCUP!$AJ$99=144),WORLDCUP!AL25,B91)</f>
        <v>Haití</v>
      </c>
      <c r="D91" s="687"/>
      <c r="E91" s="356"/>
      <c r="F91" s="356"/>
      <c r="G91" s="356"/>
      <c r="H91" s="356"/>
      <c r="I91" s="367"/>
      <c r="J91" s="356"/>
      <c r="K91" s="356"/>
      <c r="L91" s="356"/>
      <c r="M91" s="365"/>
      <c r="N91" s="363"/>
    </row>
    <row r="92" spans="1:14" ht="15" customHeight="1">
      <c r="A92" s="690" t="s">
        <v>74</v>
      </c>
      <c r="B92" s="343" t="str">
        <f>Idiomas!D152</f>
        <v>1º GRUPO D</v>
      </c>
      <c r="C92" s="335" t="str">
        <f ca="1">IF(OR(SUM(WORLDCUP!$AN$30:$AN$33)=12,WORLDCUP!$AJ$99=144),WORLDCUP!AL30,B92)</f>
        <v>Estados Unidos</v>
      </c>
      <c r="D92" s="687"/>
      <c r="E92" s="356"/>
      <c r="F92" s="356"/>
      <c r="G92" s="356"/>
      <c r="H92" s="356"/>
      <c r="I92" s="367"/>
      <c r="J92" s="356"/>
      <c r="K92" s="356"/>
      <c r="L92" s="356"/>
      <c r="M92" s="365"/>
      <c r="N92" s="363"/>
    </row>
    <row r="93" spans="1:14" ht="15" customHeight="1">
      <c r="A93" s="690"/>
      <c r="B93" s="343" t="str">
        <f>Idiomas!D153</f>
        <v>2º GRUPO D</v>
      </c>
      <c r="C93" s="335" t="str">
        <f ca="1">IF(OR(SUM(WORLDCUP!$AN$30:$AN$33)=12,WORLDCUP!$AJ$99=144),WORLDCUP!AL31,B93)</f>
        <v>Australia</v>
      </c>
      <c r="D93" s="687"/>
      <c r="E93" s="356"/>
      <c r="F93" s="356"/>
      <c r="G93" s="356"/>
      <c r="H93" s="356"/>
      <c r="I93" s="367"/>
      <c r="J93" s="356"/>
      <c r="K93" s="356"/>
      <c r="L93" s="356"/>
      <c r="M93" s="365"/>
      <c r="N93" s="363"/>
    </row>
    <row r="94" spans="1:14" ht="15" customHeight="1">
      <c r="A94" s="690"/>
      <c r="B94" s="343" t="str">
        <f>Idiomas!D154</f>
        <v>3º GRUPO D</v>
      </c>
      <c r="C94" s="335" t="str">
        <f ca="1">IF(OR(SUM(WORLDCUP!$AN$30:$AN$33)=12,WORLDCUP!$AJ$99=144),WORLDCUP!AL32,B94)</f>
        <v>Paraguay</v>
      </c>
      <c r="D94" s="687"/>
      <c r="E94" s="356"/>
      <c r="F94" s="356"/>
      <c r="G94" s="356"/>
      <c r="H94" s="356"/>
      <c r="I94" s="367"/>
      <c r="J94" s="356"/>
      <c r="K94" s="356"/>
      <c r="L94" s="356"/>
      <c r="M94" s="365"/>
      <c r="N94" s="363"/>
    </row>
    <row r="95" spans="1:14" ht="15" customHeight="1">
      <c r="A95" s="690"/>
      <c r="B95" s="343" t="str">
        <f>Idiomas!D155</f>
        <v>4º GRUPO D</v>
      </c>
      <c r="C95" s="335" t="str">
        <f ca="1">IF(OR(SUM(WORLDCUP!$AN$30:$AN$33)=12,WORLDCUP!$AJ$99=144),WORLDCUP!AL33,B95)</f>
        <v>Turquía</v>
      </c>
      <c r="D95" s="687"/>
      <c r="E95" s="356"/>
      <c r="F95" s="356"/>
      <c r="G95" s="356"/>
      <c r="H95" s="356"/>
      <c r="I95" s="367"/>
      <c r="J95" s="356"/>
      <c r="K95" s="356"/>
      <c r="L95" s="356"/>
      <c r="M95" s="365"/>
      <c r="N95" s="363"/>
    </row>
    <row r="96" spans="1:14" ht="15" customHeight="1">
      <c r="A96" s="680" t="s">
        <v>3</v>
      </c>
      <c r="B96" s="345" t="str">
        <f>Idiomas!D156</f>
        <v>1º GRUPO E</v>
      </c>
      <c r="C96" s="335" t="str">
        <f ca="1">IF(OR(SUM(WORLDCUP!$AN$38:$AN$41)=12,WORLDCUP!$AJ$99=144),WORLDCUP!AL38,B96)</f>
        <v>Alemania</v>
      </c>
      <c r="D96" s="687"/>
      <c r="E96" s="356"/>
      <c r="F96" s="356"/>
      <c r="G96" s="356"/>
      <c r="H96" s="356"/>
      <c r="I96" s="367"/>
      <c r="J96" s="356"/>
      <c r="K96" s="356"/>
      <c r="L96" s="356"/>
      <c r="M96" s="365"/>
      <c r="N96" s="363"/>
    </row>
    <row r="97" spans="1:14" ht="15" customHeight="1">
      <c r="A97" s="680"/>
      <c r="B97" s="345" t="str">
        <f>Idiomas!D157</f>
        <v>2º GRUPO E</v>
      </c>
      <c r="C97" s="335" t="str">
        <f ca="1">IF(OR(SUM(WORLDCUP!$AN$38:$AN$41)=12,WORLDCUP!$AJ$99=144),WORLDCUP!AL39,B97)</f>
        <v>Costa de Marfil</v>
      </c>
      <c r="D97" s="687"/>
      <c r="E97" s="356"/>
      <c r="F97" s="356"/>
      <c r="G97" s="356"/>
      <c r="H97" s="356"/>
      <c r="I97" s="367"/>
      <c r="J97" s="356"/>
      <c r="K97" s="356"/>
      <c r="L97" s="356"/>
      <c r="M97" s="365"/>
      <c r="N97" s="363"/>
    </row>
    <row r="98" spans="1:14" ht="15" customHeight="1">
      <c r="A98" s="680"/>
      <c r="B98" s="345" t="str">
        <f>Idiomas!D158</f>
        <v>3º GRUPO E</v>
      </c>
      <c r="C98" s="335" t="str">
        <f ca="1">IF(OR(SUM(WORLDCUP!$AN$38:$AN$41)=12,WORLDCUP!$AJ$99=144),WORLDCUP!AL40,B98)</f>
        <v>Ecuador</v>
      </c>
      <c r="D98" s="687"/>
      <c r="E98" s="356"/>
      <c r="F98" s="356"/>
      <c r="G98" s="356"/>
      <c r="H98" s="356"/>
      <c r="I98" s="367"/>
      <c r="J98" s="356"/>
      <c r="K98" s="356"/>
      <c r="L98" s="356"/>
      <c r="M98" s="365"/>
      <c r="N98" s="363"/>
    </row>
    <row r="99" spans="1:14" ht="15" customHeight="1">
      <c r="A99" s="680"/>
      <c r="B99" s="345" t="str">
        <f>Idiomas!D159</f>
        <v>4º GRUPO E</v>
      </c>
      <c r="C99" s="335" t="str">
        <f ca="1">IF(OR(SUM(WORLDCUP!$AN$38:$AN$41)=12,WORLDCUP!$AJ$99=144),WORLDCUP!AL41,B99)</f>
        <v>Curazao</v>
      </c>
      <c r="D99" s="687"/>
      <c r="E99" s="356"/>
      <c r="F99" s="356"/>
      <c r="G99" s="356"/>
      <c r="H99" s="356"/>
      <c r="I99" s="367"/>
      <c r="J99" s="356"/>
      <c r="K99" s="356"/>
      <c r="L99" s="356"/>
      <c r="M99" s="365"/>
      <c r="N99" s="363"/>
    </row>
    <row r="100" spans="1:14" ht="15" customHeight="1">
      <c r="A100" s="690" t="s">
        <v>4</v>
      </c>
      <c r="B100" s="343" t="str">
        <f>Idiomas!D160</f>
        <v>1º GRUPO F</v>
      </c>
      <c r="C100" s="335" t="str">
        <f ca="1">IF(OR(SUM(WORLDCUP!$AN$46:$AN$49)=12,WORLDCUP!$AJ$99=144),WORLDCUP!AL46,B100)</f>
        <v>Países Bajos</v>
      </c>
      <c r="D100" s="687"/>
      <c r="E100" s="356"/>
      <c r="F100" s="356"/>
      <c r="G100" s="356"/>
      <c r="H100" s="356"/>
      <c r="I100" s="367"/>
      <c r="J100" s="356"/>
      <c r="K100" s="356"/>
      <c r="L100" s="356"/>
      <c r="M100" s="365"/>
      <c r="N100" s="363"/>
    </row>
    <row r="101" spans="1:14" ht="15" customHeight="1">
      <c r="A101" s="690"/>
      <c r="B101" s="343" t="str">
        <f>Idiomas!D161</f>
        <v>2º GRUPO F</v>
      </c>
      <c r="C101" s="335" t="str">
        <f ca="1">IF(OR(SUM(WORLDCUP!$AN$46:$AN$49)=12,WORLDCUP!$AJ$99=144),WORLDCUP!AL47,B101)</f>
        <v>Japón</v>
      </c>
      <c r="D101" s="687"/>
      <c r="E101" s="356"/>
      <c r="F101" s="356"/>
      <c r="G101" s="356"/>
      <c r="H101" s="356"/>
      <c r="I101" s="367"/>
      <c r="J101" s="356"/>
      <c r="K101" s="356"/>
      <c r="L101" s="356"/>
      <c r="M101" s="365"/>
      <c r="N101" s="363"/>
    </row>
    <row r="102" spans="1:14" ht="15" customHeight="1">
      <c r="A102" s="690"/>
      <c r="B102" s="343" t="str">
        <f>Idiomas!D162</f>
        <v>3º GRUPO F</v>
      </c>
      <c r="C102" s="335" t="str">
        <f ca="1">IF(OR(SUM(WORLDCUP!$AN$46:$AN$49)=12,WORLDCUP!$AJ$99=144),WORLDCUP!AL48,B102)</f>
        <v>Suecia</v>
      </c>
      <c r="D102" s="687"/>
      <c r="E102" s="356"/>
      <c r="F102" s="356"/>
      <c r="G102" s="356"/>
      <c r="H102" s="356"/>
      <c r="I102" s="367"/>
      <c r="J102" s="356"/>
      <c r="K102" s="356"/>
      <c r="L102" s="356"/>
      <c r="M102" s="365"/>
      <c r="N102" s="363"/>
    </row>
    <row r="103" spans="1:14" ht="15" customHeight="1">
      <c r="A103" s="690"/>
      <c r="B103" s="343" t="str">
        <f>Idiomas!D163</f>
        <v>4º GRUPO F</v>
      </c>
      <c r="C103" s="335" t="str">
        <f ca="1">IF(OR(SUM(WORLDCUP!$AN$46:$AN$49)=12,WORLDCUP!$AJ$99=144),WORLDCUP!AL49,B103)</f>
        <v>Túnez</v>
      </c>
      <c r="D103" s="687"/>
      <c r="E103" s="356"/>
      <c r="F103" s="356"/>
      <c r="G103" s="356"/>
      <c r="H103" s="356"/>
      <c r="I103" s="367"/>
      <c r="J103" s="356"/>
      <c r="K103" s="356"/>
      <c r="L103" s="356"/>
      <c r="M103" s="365"/>
      <c r="N103" s="363"/>
    </row>
    <row r="104" spans="1:14" ht="15" customHeight="1">
      <c r="A104" s="680" t="s">
        <v>6</v>
      </c>
      <c r="B104" s="345" t="str">
        <f>Idiomas!D164</f>
        <v>1º GRUPO G</v>
      </c>
      <c r="C104" s="335" t="str">
        <f ca="1">IF(OR(SUM(WORLDCUP!$AN$54:$AN$57)=12,WORLDCUP!$AJ$99=144),WORLDCUP!AL54,B104)</f>
        <v>Bélgica</v>
      </c>
      <c r="D104" s="687"/>
      <c r="E104" s="356"/>
      <c r="F104" s="356"/>
      <c r="G104" s="356"/>
      <c r="H104" s="356"/>
      <c r="I104" s="367"/>
      <c r="J104" s="356"/>
      <c r="K104" s="356"/>
      <c r="L104" s="356"/>
      <c r="M104" s="365"/>
      <c r="N104" s="363"/>
    </row>
    <row r="105" spans="1:14" ht="15" customHeight="1">
      <c r="A105" s="680"/>
      <c r="B105" s="345" t="str">
        <f>Idiomas!D165</f>
        <v>2º GRUPO G</v>
      </c>
      <c r="C105" s="335" t="str">
        <f ca="1">IF(OR(SUM(WORLDCUP!$AN$54:$AN$57)=12,WORLDCUP!$AJ$99=144),WORLDCUP!AL55,B105)</f>
        <v>Egipto</v>
      </c>
      <c r="D105" s="687"/>
      <c r="E105" s="356"/>
      <c r="F105" s="356"/>
      <c r="G105" s="356"/>
      <c r="H105" s="356"/>
      <c r="I105" s="367"/>
      <c r="J105" s="356"/>
      <c r="K105" s="356"/>
      <c r="L105" s="356"/>
      <c r="M105" s="365"/>
      <c r="N105" s="363"/>
    </row>
    <row r="106" spans="1:14" ht="15" customHeight="1">
      <c r="A106" s="680"/>
      <c r="B106" s="345" t="str">
        <f>Idiomas!D166</f>
        <v>3º GRUPO G</v>
      </c>
      <c r="C106" s="335" t="str">
        <f ca="1">IF(OR(SUM(WORLDCUP!$AN$54:$AN$57)=12,WORLDCUP!$AJ$99=144),WORLDCUP!AL56,B106)</f>
        <v>Irán</v>
      </c>
      <c r="D106" s="687"/>
      <c r="E106" s="356"/>
      <c r="F106" s="356"/>
      <c r="G106" s="356"/>
      <c r="H106" s="356"/>
      <c r="I106" s="367"/>
      <c r="J106" s="356"/>
      <c r="K106" s="356"/>
      <c r="L106" s="356"/>
      <c r="M106" s="365"/>
      <c r="N106" s="363"/>
    </row>
    <row r="107" spans="1:14" ht="15" customHeight="1">
      <c r="A107" s="680"/>
      <c r="B107" s="345" t="str">
        <f>Idiomas!D167</f>
        <v>4º GRUPO G</v>
      </c>
      <c r="C107" s="335" t="str">
        <f ca="1">IF(OR(SUM(WORLDCUP!$AN$54:$AN$57)=12,WORLDCUP!$AJ$99=144),WORLDCUP!AL57,B107)</f>
        <v>Nueva Zelanda</v>
      </c>
      <c r="D107" s="687"/>
      <c r="E107" s="356"/>
      <c r="F107" s="356"/>
      <c r="G107" s="356"/>
      <c r="H107" s="356"/>
      <c r="I107" s="367"/>
      <c r="J107" s="356"/>
      <c r="K107" s="356"/>
      <c r="L107" s="356"/>
      <c r="M107" s="365"/>
      <c r="N107" s="363"/>
    </row>
    <row r="108" spans="1:14" ht="15" customHeight="1">
      <c r="A108" s="690" t="s">
        <v>447</v>
      </c>
      <c r="B108" s="343" t="str">
        <f>Idiomas!D168</f>
        <v>1º GRUPO H</v>
      </c>
      <c r="C108" s="335" t="str">
        <f ca="1">IF(OR(SUM(WORLDCUP!$AN$62:$AN$65)=12,WORLDCUP!$AJ$99=144),WORLDCUP!AL62,B108)</f>
        <v>España</v>
      </c>
      <c r="D108" s="687"/>
      <c r="E108" s="356"/>
      <c r="F108" s="356"/>
      <c r="G108" s="356"/>
      <c r="H108" s="356"/>
      <c r="I108" s="367"/>
      <c r="J108" s="356"/>
      <c r="K108" s="356"/>
      <c r="L108" s="356"/>
      <c r="M108" s="365"/>
      <c r="N108" s="363"/>
    </row>
    <row r="109" spans="1:14" ht="15" customHeight="1">
      <c r="A109" s="690"/>
      <c r="B109" s="343" t="str">
        <f>Idiomas!D169</f>
        <v>2º GRUPO H</v>
      </c>
      <c r="C109" s="335" t="str">
        <f ca="1">IF(OR(SUM(WORLDCUP!$AN$62:$AN$65)=12,WORLDCUP!$AJ$99=144),WORLDCUP!AL63,B109)</f>
        <v>Cabo Verde</v>
      </c>
      <c r="D109" s="687"/>
      <c r="E109" s="356"/>
      <c r="F109" s="356"/>
      <c r="G109" s="356"/>
      <c r="H109" s="356"/>
      <c r="I109" s="367"/>
      <c r="J109" s="356"/>
      <c r="K109" s="356"/>
      <c r="L109" s="356"/>
      <c r="M109" s="365"/>
      <c r="N109" s="363"/>
    </row>
    <row r="110" spans="1:14" ht="15" customHeight="1">
      <c r="A110" s="690"/>
      <c r="B110" s="343" t="str">
        <f>Idiomas!D170</f>
        <v>3º GRUPO H</v>
      </c>
      <c r="C110" s="335" t="str">
        <f ca="1">IF(OR(SUM(WORLDCUP!$AN$62:$AN$65)=12,WORLDCUP!$AJ$99=144),WORLDCUP!AL64,B110)</f>
        <v>Uruguay</v>
      </c>
      <c r="D110" s="687"/>
      <c r="E110" s="356"/>
      <c r="F110" s="356"/>
      <c r="G110" s="356"/>
      <c r="H110" s="356"/>
      <c r="I110" s="367"/>
      <c r="J110" s="356"/>
      <c r="K110" s="356"/>
      <c r="L110" s="356"/>
      <c r="M110" s="365"/>
      <c r="N110" s="363"/>
    </row>
    <row r="111" spans="1:14" ht="15" customHeight="1">
      <c r="A111" s="690"/>
      <c r="B111" s="343" t="str">
        <f>Idiomas!D171</f>
        <v>4º GRUPO H</v>
      </c>
      <c r="C111" s="335" t="str">
        <f ca="1">IF(OR(SUM(WORLDCUP!$AN$62:$AN$65)=12,WORLDCUP!$AJ$99=144),WORLDCUP!AL65,B111)</f>
        <v>Arabia Saudita</v>
      </c>
      <c r="D111" s="687"/>
      <c r="E111" s="356"/>
      <c r="F111" s="356"/>
      <c r="G111" s="356"/>
      <c r="H111" s="356"/>
      <c r="I111" s="367"/>
      <c r="J111" s="356"/>
      <c r="K111" s="356"/>
      <c r="L111" s="356"/>
      <c r="M111" s="365"/>
      <c r="N111" s="363"/>
    </row>
    <row r="112" spans="1:14" ht="15" customHeight="1">
      <c r="A112" s="680" t="s">
        <v>448</v>
      </c>
      <c r="B112" s="345" t="str">
        <f>Idiomas!D172</f>
        <v>1º GRUPO I</v>
      </c>
      <c r="C112" s="335" t="str">
        <f ca="1">IF(OR(SUM(WORLDCUP!$AN$70:$AN$73)=12,WORLDCUP!$AJ$99=144),WORLDCUP!AL70,B112)</f>
        <v>Francia</v>
      </c>
      <c r="D112" s="687"/>
      <c r="E112" s="356"/>
      <c r="F112" s="356"/>
      <c r="G112" s="356"/>
      <c r="H112" s="356"/>
      <c r="I112" s="367"/>
      <c r="J112" s="356"/>
      <c r="K112" s="356"/>
      <c r="L112" s="356"/>
      <c r="M112" s="365"/>
      <c r="N112" s="363"/>
    </row>
    <row r="113" spans="1:14" ht="15" customHeight="1">
      <c r="A113" s="680"/>
      <c r="B113" s="345" t="str">
        <f>Idiomas!D173</f>
        <v>2º GRUPO I</v>
      </c>
      <c r="C113" s="335" t="str">
        <f ca="1">IF(OR(SUM(WORLDCUP!$AN$70:$AN$73)=12,WORLDCUP!$AJ$99=144),WORLDCUP!AL71,B113)</f>
        <v>Noruega</v>
      </c>
      <c r="D113" s="687"/>
      <c r="E113" s="356"/>
      <c r="F113" s="356"/>
      <c r="G113" s="356"/>
      <c r="H113" s="356"/>
      <c r="I113" s="367"/>
      <c r="J113" s="356"/>
      <c r="K113" s="356"/>
      <c r="L113" s="356"/>
      <c r="M113" s="365"/>
      <c r="N113" s="363"/>
    </row>
    <row r="114" spans="1:14" ht="15" customHeight="1">
      <c r="A114" s="680"/>
      <c r="B114" s="345" t="str">
        <f>Idiomas!D174</f>
        <v>3º GRUPO I</v>
      </c>
      <c r="C114" s="335" t="str">
        <f ca="1">IF(OR(SUM(WORLDCUP!$AN$70:$AN$73)=12,WORLDCUP!$AJ$99=144),WORLDCUP!AL72,B114)</f>
        <v>Senegal</v>
      </c>
      <c r="D114" s="687"/>
      <c r="E114" s="356"/>
      <c r="F114" s="356"/>
      <c r="G114" s="356"/>
      <c r="H114" s="356"/>
      <c r="I114" s="367"/>
      <c r="J114" s="356"/>
      <c r="K114" s="356"/>
      <c r="L114" s="356"/>
      <c r="M114" s="365"/>
      <c r="N114" s="363"/>
    </row>
    <row r="115" spans="1:14" ht="15" customHeight="1">
      <c r="A115" s="680"/>
      <c r="B115" s="345" t="str">
        <f>Idiomas!D175</f>
        <v>4º GRUPO I</v>
      </c>
      <c r="C115" s="335" t="str">
        <f ca="1">IF(OR(SUM(WORLDCUP!$AN$70:$AN$73)=12,WORLDCUP!$AJ$99=144),WORLDCUP!AL73,B115)</f>
        <v>Irak</v>
      </c>
      <c r="D115" s="687"/>
      <c r="E115" s="356"/>
      <c r="F115" s="356"/>
      <c r="G115" s="356"/>
      <c r="H115" s="356"/>
      <c r="I115" s="367"/>
      <c r="J115" s="356"/>
      <c r="K115" s="356"/>
      <c r="L115" s="356"/>
      <c r="M115" s="365"/>
      <c r="N115" s="363"/>
    </row>
    <row r="116" spans="1:14" ht="15" customHeight="1">
      <c r="A116" s="690" t="s">
        <v>5</v>
      </c>
      <c r="B116" s="343" t="str">
        <f>Idiomas!D176</f>
        <v>1º GRUPO J</v>
      </c>
      <c r="C116" s="335" t="str">
        <f ca="1">IF(OR(SUM(WORLDCUP!$AN$78:$AN$81)=12,WORLDCUP!$AJ$99=144),WORLDCUP!AL78,B116)</f>
        <v>Argentina</v>
      </c>
      <c r="D116" s="687"/>
      <c r="E116" s="356"/>
      <c r="F116" s="356"/>
      <c r="G116" s="356"/>
      <c r="H116" s="356"/>
      <c r="I116" s="367"/>
      <c r="J116" s="356"/>
      <c r="K116" s="356"/>
      <c r="L116" s="356"/>
      <c r="M116" s="365"/>
      <c r="N116" s="363"/>
    </row>
    <row r="117" spans="1:14" ht="15" customHeight="1">
      <c r="A117" s="690"/>
      <c r="B117" s="343" t="str">
        <f>Idiomas!D177</f>
        <v>2º GRUPO J</v>
      </c>
      <c r="C117" s="335" t="str">
        <f ca="1">IF(OR(SUM(WORLDCUP!$AN$78:$AN$81)=12,WORLDCUP!$AJ$99=144),WORLDCUP!AL79,B117)</f>
        <v>Austria</v>
      </c>
      <c r="D117" s="687"/>
      <c r="E117" s="356"/>
      <c r="F117" s="356"/>
      <c r="G117" s="356"/>
      <c r="H117" s="356"/>
      <c r="I117" s="367"/>
      <c r="J117" s="356"/>
      <c r="K117" s="356"/>
      <c r="L117" s="356"/>
      <c r="M117" s="365"/>
      <c r="N117" s="363"/>
    </row>
    <row r="118" spans="1:14" ht="15" customHeight="1">
      <c r="A118" s="690"/>
      <c r="B118" s="343" t="str">
        <f>Idiomas!D178</f>
        <v>3º GRUPO J</v>
      </c>
      <c r="C118" s="335" t="str">
        <f ca="1">IF(OR(SUM(WORLDCUP!$AN$78:$AN$81)=12,WORLDCUP!$AJ$99=144),WORLDCUP!AL80,B118)</f>
        <v>Argelia</v>
      </c>
      <c r="D118" s="687"/>
      <c r="E118" s="356"/>
      <c r="F118" s="356"/>
      <c r="G118" s="356"/>
      <c r="H118" s="356"/>
      <c r="I118" s="367"/>
      <c r="J118" s="356"/>
      <c r="K118" s="356"/>
      <c r="L118" s="356"/>
      <c r="M118" s="365"/>
      <c r="N118" s="363"/>
    </row>
    <row r="119" spans="1:14" ht="15" customHeight="1">
      <c r="A119" s="690"/>
      <c r="B119" s="343" t="str">
        <f>Idiomas!D179</f>
        <v>4º GRUPO J</v>
      </c>
      <c r="C119" s="335" t="str">
        <f ca="1">IF(OR(SUM(WORLDCUP!$AN$78:$AN$81)=12,WORLDCUP!$AJ$99=144),WORLDCUP!AL81,B119)</f>
        <v>Jordania</v>
      </c>
      <c r="D119" s="687"/>
      <c r="E119" s="356"/>
      <c r="F119" s="356"/>
      <c r="G119" s="356"/>
      <c r="H119" s="356"/>
      <c r="I119" s="367"/>
      <c r="J119" s="356"/>
      <c r="K119" s="356"/>
      <c r="L119" s="356"/>
      <c r="M119" s="365"/>
      <c r="N119" s="363"/>
    </row>
    <row r="120" spans="1:14" ht="15" customHeight="1">
      <c r="A120" s="680" t="s">
        <v>449</v>
      </c>
      <c r="B120" s="345" t="str">
        <f>Idiomas!D180</f>
        <v>1º GRUPO K</v>
      </c>
      <c r="C120" s="335" t="str">
        <f ca="1">IF(OR(SUM(WORLDCUP!$AN$86:$AN$89)=12,WORLDCUP!$AJ$99=144),WORLDCUP!AL86,B120)</f>
        <v>Colombia</v>
      </c>
      <c r="D120" s="687"/>
      <c r="E120" s="356"/>
      <c r="F120" s="356"/>
      <c r="G120" s="356"/>
      <c r="H120" s="356"/>
      <c r="I120" s="367"/>
      <c r="J120" s="356"/>
      <c r="K120" s="356"/>
      <c r="L120" s="356"/>
      <c r="M120" s="365"/>
      <c r="N120" s="363"/>
    </row>
    <row r="121" spans="1:14" ht="15" customHeight="1">
      <c r="A121" s="680"/>
      <c r="B121" s="345" t="str">
        <f>Idiomas!D181</f>
        <v>2º GRUPO K</v>
      </c>
      <c r="C121" s="335" t="str">
        <f ca="1">IF(OR(SUM(WORLDCUP!$AN$86:$AN$89)=12,WORLDCUP!$AJ$99=144),WORLDCUP!AL87,B121)</f>
        <v>Portugal</v>
      </c>
      <c r="D121" s="687"/>
      <c r="E121" s="356"/>
      <c r="F121" s="356"/>
      <c r="G121" s="356"/>
      <c r="H121" s="356"/>
      <c r="I121" s="367"/>
      <c r="J121" s="356"/>
      <c r="K121" s="356"/>
      <c r="L121" s="356"/>
      <c r="M121" s="365"/>
      <c r="N121" s="363"/>
    </row>
    <row r="122" spans="1:14" ht="15" customHeight="1">
      <c r="A122" s="680"/>
      <c r="B122" s="345" t="str">
        <f>Idiomas!D182</f>
        <v>3º GRUPO K</v>
      </c>
      <c r="C122" s="335" t="str">
        <f ca="1">IF(OR(SUM(WORLDCUP!$AN$86:$AN$89)=12,WORLDCUP!$AJ$99=144),WORLDCUP!AL88,B122)</f>
        <v>RD Congo</v>
      </c>
      <c r="D122" s="687"/>
      <c r="E122" s="356"/>
      <c r="F122" s="356"/>
      <c r="G122" s="356"/>
      <c r="H122" s="356"/>
      <c r="I122" s="367"/>
      <c r="J122" s="356"/>
      <c r="K122" s="356"/>
      <c r="L122" s="356"/>
      <c r="M122" s="365"/>
      <c r="N122" s="363"/>
    </row>
    <row r="123" spans="1:14" ht="15" customHeight="1">
      <c r="A123" s="680"/>
      <c r="B123" s="345" t="str">
        <f>Idiomas!D183</f>
        <v>4º GRUPO K</v>
      </c>
      <c r="C123" s="335" t="str">
        <f ca="1">IF(OR(SUM(WORLDCUP!$AN$86:$AN$89)=12,WORLDCUP!$AJ$99=144),WORLDCUP!AL89,B123)</f>
        <v>Uzbekistán</v>
      </c>
      <c r="D123" s="687"/>
      <c r="E123" s="356"/>
      <c r="F123" s="356"/>
      <c r="G123" s="356"/>
      <c r="H123" s="356"/>
      <c r="I123" s="367"/>
      <c r="J123" s="356"/>
      <c r="K123" s="356"/>
      <c r="L123" s="356"/>
      <c r="M123" s="365"/>
      <c r="N123" s="363"/>
    </row>
    <row r="124" spans="1:14" ht="15" customHeight="1">
      <c r="A124" s="690" t="s">
        <v>247</v>
      </c>
      <c r="B124" s="343" t="str">
        <f>Idiomas!D184</f>
        <v>1º GRUPO L</v>
      </c>
      <c r="C124" s="335" t="str">
        <f ca="1">IF(OR(SUM(WORLDCUP!$AN$94:$AN$97)=12,WORLDCUP!$AJ$99=144),WORLDCUP!AL94,B124)</f>
        <v>Inglaterra</v>
      </c>
      <c r="D124" s="687"/>
      <c r="E124" s="356"/>
      <c r="F124" s="356"/>
      <c r="G124" s="356"/>
      <c r="H124" s="356"/>
      <c r="I124" s="367"/>
      <c r="J124" s="356"/>
      <c r="K124" s="356"/>
      <c r="L124" s="356"/>
      <c r="M124" s="365"/>
      <c r="N124" s="363"/>
    </row>
    <row r="125" spans="1:14" ht="15" customHeight="1">
      <c r="A125" s="690"/>
      <c r="B125" s="343" t="str">
        <f>Idiomas!D185</f>
        <v>2º GRUPO L</v>
      </c>
      <c r="C125" s="335" t="str">
        <f ca="1">IF(OR(SUM(WORLDCUP!$AN$94:$AN$97)=12,WORLDCUP!$AJ$99=144),WORLDCUP!AL95,B125)</f>
        <v>Croacia</v>
      </c>
      <c r="D125" s="687"/>
      <c r="E125" s="356"/>
      <c r="F125" s="356"/>
      <c r="G125" s="356"/>
      <c r="H125" s="356"/>
      <c r="I125" s="367"/>
      <c r="J125" s="356"/>
      <c r="K125" s="356"/>
      <c r="L125" s="356"/>
      <c r="M125" s="365"/>
      <c r="N125" s="363"/>
    </row>
    <row r="126" spans="1:14" ht="15" customHeight="1">
      <c r="A126" s="690"/>
      <c r="B126" s="343" t="str">
        <f>Idiomas!D186</f>
        <v>3º GRUPO L</v>
      </c>
      <c r="C126" s="335" t="str">
        <f ca="1">IF(OR(SUM(WORLDCUP!$AN$94:$AN$97)=12,WORLDCUP!$AJ$99=144),WORLDCUP!AL96,B126)</f>
        <v>Ghana</v>
      </c>
      <c r="D126" s="687"/>
      <c r="E126" s="356"/>
      <c r="F126" s="356"/>
      <c r="G126" s="356"/>
      <c r="H126" s="356"/>
      <c r="I126" s="367"/>
      <c r="J126" s="356"/>
      <c r="K126" s="356"/>
      <c r="L126" s="356"/>
      <c r="M126" s="365"/>
      <c r="N126" s="363"/>
    </row>
    <row r="127" spans="1:14" ht="15" customHeight="1">
      <c r="A127" s="690"/>
      <c r="B127" s="343" t="str">
        <f>Idiomas!D187</f>
        <v>4º GRUPO L</v>
      </c>
      <c r="C127" s="335" t="str">
        <f ca="1">IF(OR(SUM(WORLDCUP!$AN$94:$AN$97)=12,WORLDCUP!$AJ$99=144),WORLDCUP!AL97,B127)</f>
        <v>Panamá</v>
      </c>
      <c r="D127" s="687"/>
      <c r="E127" s="356"/>
      <c r="F127" s="356"/>
      <c r="G127" s="356"/>
      <c r="H127" s="356"/>
      <c r="I127" s="367"/>
      <c r="J127" s="356"/>
      <c r="K127" s="356"/>
      <c r="L127" s="356"/>
      <c r="M127" s="365"/>
      <c r="N127" s="363"/>
    </row>
    <row r="128" spans="1:14" ht="15" customHeight="1">
      <c r="A128" s="339"/>
      <c r="B128" s="339"/>
      <c r="C128" s="336"/>
      <c r="D128" s="687"/>
      <c r="E128" s="356"/>
      <c r="F128" s="356"/>
      <c r="G128" s="356"/>
      <c r="H128" s="356"/>
      <c r="I128" s="367"/>
      <c r="J128" s="356"/>
      <c r="K128" s="356"/>
      <c r="L128" s="356"/>
      <c r="M128" s="365"/>
      <c r="N128" s="363"/>
    </row>
    <row r="129" spans="1:14" ht="19" customHeight="1">
      <c r="A129" s="339"/>
      <c r="B129" s="344" t="str">
        <f>Idiomas!D127</f>
        <v>CLASIFICADOS PARA DIECISEISAVOS</v>
      </c>
      <c r="C129" s="336"/>
      <c r="D129" s="687"/>
      <c r="E129" s="356"/>
      <c r="F129" s="356"/>
      <c r="G129" s="356"/>
      <c r="H129" s="356"/>
      <c r="I129" s="367"/>
      <c r="J129" s="356"/>
      <c r="K129" s="356"/>
      <c r="L129" s="356"/>
      <c r="M129" s="365"/>
      <c r="N129" s="363"/>
    </row>
    <row r="130" spans="1:14" ht="15" customHeight="1">
      <c r="A130" s="686" t="s">
        <v>493</v>
      </c>
      <c r="B130" s="346" t="str">
        <f>Idiomas!$D$188</f>
        <v>Dieciseisavofinalista</v>
      </c>
      <c r="C130" s="335" t="str">
        <f ca="1">WORLDCUP!AA101</f>
        <v>Sudáfrica</v>
      </c>
      <c r="D130" s="687"/>
      <c r="E130" s="356"/>
      <c r="F130" s="356"/>
      <c r="G130" s="356"/>
      <c r="H130" s="356"/>
      <c r="I130" s="367"/>
      <c r="J130" s="356"/>
      <c r="K130" s="356"/>
      <c r="L130" s="356"/>
      <c r="M130" s="365"/>
      <c r="N130" s="363"/>
    </row>
    <row r="131" spans="1:14" ht="15" customHeight="1">
      <c r="A131" s="686"/>
      <c r="B131" s="346" t="str">
        <f>B130</f>
        <v>Dieciseisavofinalista</v>
      </c>
      <c r="C131" s="335" t="str">
        <f ca="1">WORLDCUP!AA102</f>
        <v>Brasil</v>
      </c>
      <c r="D131" s="687"/>
      <c r="E131" s="356"/>
      <c r="F131" s="356"/>
      <c r="G131" s="356"/>
      <c r="H131" s="356"/>
      <c r="I131" s="367"/>
      <c r="J131" s="356"/>
      <c r="K131" s="356"/>
      <c r="L131" s="356"/>
      <c r="M131" s="365"/>
      <c r="N131" s="363"/>
    </row>
    <row r="132" spans="1:14" ht="15" customHeight="1">
      <c r="A132" s="686"/>
      <c r="B132" s="346" t="str">
        <f t="shared" ref="B132:B145" si="0">B131</f>
        <v>Dieciseisavofinalista</v>
      </c>
      <c r="C132" s="335" t="str">
        <f ca="1">WORLDCUP!AA103</f>
        <v>Alemania</v>
      </c>
      <c r="D132" s="687"/>
      <c r="E132" s="356"/>
      <c r="F132" s="356"/>
      <c r="G132" s="356"/>
      <c r="H132" s="356"/>
      <c r="I132" s="367"/>
      <c r="J132" s="356"/>
      <c r="K132" s="356"/>
      <c r="L132" s="356"/>
      <c r="M132" s="365"/>
      <c r="N132" s="363"/>
    </row>
    <row r="133" spans="1:14" ht="15" customHeight="1">
      <c r="A133" s="686"/>
      <c r="B133" s="346" t="str">
        <f t="shared" si="0"/>
        <v>Dieciseisavofinalista</v>
      </c>
      <c r="C133" s="335" t="str">
        <f ca="1">WORLDCUP!AA104</f>
        <v>Países Bajos</v>
      </c>
      <c r="D133" s="687"/>
      <c r="E133" s="356"/>
      <c r="F133" s="356"/>
      <c r="G133" s="356"/>
      <c r="H133" s="356"/>
      <c r="I133" s="367"/>
      <c r="J133" s="356"/>
      <c r="K133" s="356"/>
      <c r="L133" s="356"/>
      <c r="M133" s="365"/>
      <c r="N133" s="363"/>
    </row>
    <row r="134" spans="1:14" ht="15" customHeight="1">
      <c r="A134" s="686"/>
      <c r="B134" s="346" t="str">
        <f t="shared" si="0"/>
        <v>Dieciseisavofinalista</v>
      </c>
      <c r="C134" s="335" t="str">
        <f ca="1">WORLDCUP!AA105</f>
        <v>Costa de Marfil</v>
      </c>
      <c r="D134" s="687"/>
      <c r="E134" s="356"/>
      <c r="F134" s="356"/>
      <c r="G134" s="356"/>
      <c r="H134" s="356"/>
      <c r="I134" s="367"/>
      <c r="J134" s="356"/>
      <c r="K134" s="356"/>
      <c r="L134" s="356"/>
      <c r="M134" s="365"/>
      <c r="N134" s="363"/>
    </row>
    <row r="135" spans="1:14" ht="15" customHeight="1">
      <c r="A135" s="686"/>
      <c r="B135" s="346" t="str">
        <f t="shared" si="0"/>
        <v>Dieciseisavofinalista</v>
      </c>
      <c r="C135" s="335" t="str">
        <f ca="1">WORLDCUP!AA106</f>
        <v>Francia</v>
      </c>
      <c r="D135" s="687"/>
      <c r="E135" s="356"/>
      <c r="F135" s="356"/>
      <c r="G135" s="356"/>
      <c r="H135" s="356"/>
      <c r="I135" s="367"/>
      <c r="J135" s="356"/>
      <c r="K135" s="356"/>
      <c r="L135" s="356"/>
      <c r="M135" s="365"/>
      <c r="N135" s="363"/>
    </row>
    <row r="136" spans="1:14" ht="15" customHeight="1">
      <c r="A136" s="686"/>
      <c r="B136" s="346" t="str">
        <f t="shared" si="0"/>
        <v>Dieciseisavofinalista</v>
      </c>
      <c r="C136" s="335" t="str">
        <f ca="1">WORLDCUP!AA107</f>
        <v>México</v>
      </c>
      <c r="D136" s="687"/>
      <c r="E136" s="356"/>
      <c r="F136" s="356"/>
      <c r="G136" s="356"/>
      <c r="H136" s="356"/>
      <c r="I136" s="367"/>
      <c r="J136" s="356"/>
      <c r="K136" s="356"/>
      <c r="L136" s="356"/>
      <c r="M136" s="365"/>
      <c r="N136" s="363"/>
    </row>
    <row r="137" spans="1:14" ht="15" customHeight="1">
      <c r="A137" s="686"/>
      <c r="B137" s="346" t="str">
        <f t="shared" si="0"/>
        <v>Dieciseisavofinalista</v>
      </c>
      <c r="C137" s="335" t="str">
        <f ca="1">WORLDCUP!AA108</f>
        <v>Inglaterra</v>
      </c>
      <c r="D137" s="687"/>
      <c r="E137" s="356"/>
      <c r="F137" s="356"/>
      <c r="G137" s="356"/>
      <c r="H137" s="356"/>
      <c r="I137" s="367"/>
      <c r="J137" s="356"/>
      <c r="K137" s="356"/>
      <c r="L137" s="356"/>
      <c r="M137" s="365"/>
      <c r="N137" s="363"/>
    </row>
    <row r="138" spans="1:14" ht="15" customHeight="1">
      <c r="A138" s="686"/>
      <c r="B138" s="346" t="str">
        <f t="shared" si="0"/>
        <v>Dieciseisavofinalista</v>
      </c>
      <c r="C138" s="335" t="str">
        <f ca="1">WORLDCUP!AA109</f>
        <v>Bélgica</v>
      </c>
      <c r="D138" s="687"/>
      <c r="E138" s="356"/>
      <c r="F138" s="356"/>
      <c r="G138" s="356"/>
      <c r="H138" s="356"/>
      <c r="I138" s="367"/>
      <c r="J138" s="356"/>
      <c r="K138" s="356"/>
      <c r="L138" s="356"/>
      <c r="M138" s="365"/>
      <c r="N138" s="363"/>
    </row>
    <row r="139" spans="1:14" ht="15" customHeight="1">
      <c r="A139" s="686"/>
      <c r="B139" s="346" t="str">
        <f t="shared" si="0"/>
        <v>Dieciseisavofinalista</v>
      </c>
      <c r="C139" s="335" t="str">
        <f ca="1">WORLDCUP!AA110</f>
        <v>Estados Unidos</v>
      </c>
      <c r="D139" s="687"/>
      <c r="E139" s="356"/>
      <c r="F139" s="356"/>
      <c r="G139" s="356"/>
      <c r="H139" s="356"/>
      <c r="I139" s="367"/>
      <c r="J139" s="356"/>
      <c r="K139" s="356"/>
      <c r="L139" s="356"/>
      <c r="M139" s="365"/>
      <c r="N139" s="363"/>
    </row>
    <row r="140" spans="1:14" ht="15" customHeight="1">
      <c r="A140" s="686"/>
      <c r="B140" s="346" t="str">
        <f t="shared" si="0"/>
        <v>Dieciseisavofinalista</v>
      </c>
      <c r="C140" s="335" t="str">
        <f ca="1">WORLDCUP!AA111</f>
        <v>España</v>
      </c>
      <c r="D140" s="687"/>
      <c r="E140" s="356"/>
      <c r="F140" s="356"/>
      <c r="G140" s="356"/>
      <c r="H140" s="356"/>
      <c r="I140" s="367"/>
      <c r="J140" s="356"/>
      <c r="K140" s="356"/>
      <c r="L140" s="356"/>
      <c r="M140" s="365"/>
      <c r="N140" s="363"/>
    </row>
    <row r="141" spans="1:14" ht="15" customHeight="1">
      <c r="A141" s="686"/>
      <c r="B141" s="346" t="str">
        <f t="shared" si="0"/>
        <v>Dieciseisavofinalista</v>
      </c>
      <c r="C141" s="335" t="str">
        <f ca="1">WORLDCUP!AA112</f>
        <v>Portugal</v>
      </c>
      <c r="D141" s="687"/>
      <c r="E141" s="356"/>
      <c r="F141" s="356"/>
      <c r="G141" s="356"/>
      <c r="H141" s="356"/>
      <c r="I141" s="367"/>
      <c r="J141" s="356"/>
      <c r="K141" s="356"/>
      <c r="L141" s="356"/>
      <c r="M141" s="365"/>
      <c r="N141" s="363"/>
    </row>
    <row r="142" spans="1:14" ht="15" customHeight="1">
      <c r="A142" s="686"/>
      <c r="B142" s="346" t="str">
        <f t="shared" si="0"/>
        <v>Dieciseisavofinalista</v>
      </c>
      <c r="C142" s="335" t="str">
        <f ca="1">WORLDCUP!AA113</f>
        <v>Suiza</v>
      </c>
      <c r="D142" s="687"/>
      <c r="E142" s="356"/>
      <c r="F142" s="356"/>
      <c r="G142" s="356"/>
      <c r="H142" s="356"/>
      <c r="I142" s="367"/>
      <c r="J142" s="356"/>
      <c r="K142" s="356"/>
      <c r="L142" s="356"/>
      <c r="M142" s="365"/>
      <c r="N142" s="363"/>
    </row>
    <row r="143" spans="1:14" ht="15" customHeight="1">
      <c r="A143" s="686"/>
      <c r="B143" s="346" t="str">
        <f t="shared" si="0"/>
        <v>Dieciseisavofinalista</v>
      </c>
      <c r="C143" s="335" t="str">
        <f ca="1">WORLDCUP!AA114</f>
        <v>Australia</v>
      </c>
      <c r="D143" s="687"/>
      <c r="E143" s="356"/>
      <c r="F143" s="356"/>
      <c r="G143" s="356"/>
      <c r="H143" s="356"/>
      <c r="I143" s="367"/>
      <c r="J143" s="356"/>
      <c r="K143" s="356"/>
      <c r="L143" s="356"/>
      <c r="M143" s="365"/>
      <c r="N143" s="363"/>
    </row>
    <row r="144" spans="1:14" ht="15" customHeight="1">
      <c r="A144" s="686"/>
      <c r="B144" s="346" t="str">
        <f t="shared" si="0"/>
        <v>Dieciseisavofinalista</v>
      </c>
      <c r="C144" s="335" t="str">
        <f ca="1">WORLDCUP!AA115</f>
        <v>Argentina</v>
      </c>
      <c r="D144" s="687"/>
      <c r="E144" s="356"/>
      <c r="F144" s="356"/>
      <c r="G144" s="356"/>
      <c r="H144" s="356"/>
      <c r="I144" s="367"/>
      <c r="J144" s="356"/>
      <c r="K144" s="356"/>
      <c r="L144" s="356"/>
      <c r="M144" s="365"/>
      <c r="N144" s="363"/>
    </row>
    <row r="145" spans="1:14" ht="15" customHeight="1">
      <c r="A145" s="686"/>
      <c r="B145" s="346" t="str">
        <f t="shared" si="0"/>
        <v>Dieciseisavofinalista</v>
      </c>
      <c r="C145" s="335" t="str">
        <f ca="1">WORLDCUP!AA116</f>
        <v>Colombia</v>
      </c>
      <c r="D145" s="687"/>
      <c r="E145" s="356"/>
      <c r="F145" s="356"/>
      <c r="G145" s="356"/>
      <c r="H145" s="356"/>
      <c r="I145" s="367"/>
      <c r="J145" s="356"/>
      <c r="K145" s="356"/>
      <c r="L145" s="356"/>
      <c r="M145" s="365"/>
      <c r="N145" s="363"/>
    </row>
    <row r="146" spans="1:14" ht="15" customHeight="1">
      <c r="A146" s="686"/>
      <c r="B146" s="346" t="str">
        <f>Idiomas!$D$188</f>
        <v>Dieciseisavofinalista</v>
      </c>
      <c r="C146" s="335" t="str">
        <f ca="1">WORLDCUP!AF101</f>
        <v>Canadá</v>
      </c>
      <c r="D146" s="687"/>
      <c r="E146" s="356"/>
      <c r="F146" s="356"/>
      <c r="G146" s="356"/>
      <c r="H146" s="356"/>
      <c r="I146" s="367"/>
      <c r="J146" s="356"/>
      <c r="K146" s="356"/>
      <c r="L146" s="356"/>
      <c r="M146" s="365"/>
      <c r="N146" s="363"/>
    </row>
    <row r="147" spans="1:14" ht="15" customHeight="1">
      <c r="A147" s="686"/>
      <c r="B147" s="346" t="str">
        <f>B146</f>
        <v>Dieciseisavofinalista</v>
      </c>
      <c r="C147" s="335" t="str">
        <f ca="1">WORLDCUP!AF102</f>
        <v>Japón</v>
      </c>
      <c r="D147" s="687"/>
      <c r="E147" s="356"/>
      <c r="F147" s="356"/>
      <c r="G147" s="356"/>
      <c r="H147" s="356"/>
      <c r="I147" s="367"/>
      <c r="J147" s="356"/>
      <c r="K147" s="356"/>
      <c r="L147" s="356"/>
      <c r="M147" s="365"/>
      <c r="N147" s="363"/>
    </row>
    <row r="148" spans="1:14" ht="15" customHeight="1">
      <c r="A148" s="686"/>
      <c r="B148" s="346" t="str">
        <f t="shared" ref="B148:B161" si="1">B147</f>
        <v>Dieciseisavofinalista</v>
      </c>
      <c r="C148" s="335" t="str">
        <f ca="1">WORLDCUP!AF103</f>
        <v>Paraguay</v>
      </c>
      <c r="D148" s="687"/>
      <c r="E148" s="356"/>
      <c r="F148" s="356"/>
      <c r="G148" s="356"/>
      <c r="H148" s="356"/>
      <c r="I148" s="367"/>
      <c r="J148" s="356"/>
      <c r="K148" s="356"/>
      <c r="L148" s="356"/>
      <c r="M148" s="365"/>
      <c r="N148" s="363"/>
    </row>
    <row r="149" spans="1:14" ht="15" customHeight="1">
      <c r="A149" s="686"/>
      <c r="B149" s="346" t="str">
        <f t="shared" si="1"/>
        <v>Dieciseisavofinalista</v>
      </c>
      <c r="C149" s="335" t="str">
        <f ca="1">WORLDCUP!AF104</f>
        <v>Marruecos</v>
      </c>
      <c r="D149" s="687"/>
      <c r="E149" s="356"/>
      <c r="F149" s="356"/>
      <c r="G149" s="356"/>
      <c r="H149" s="356"/>
      <c r="I149" s="367"/>
      <c r="J149" s="356"/>
      <c r="K149" s="356"/>
      <c r="L149" s="356"/>
      <c r="M149" s="365"/>
      <c r="N149" s="363"/>
    </row>
    <row r="150" spans="1:14" ht="15" customHeight="1">
      <c r="A150" s="686"/>
      <c r="B150" s="346" t="str">
        <f t="shared" si="1"/>
        <v>Dieciseisavofinalista</v>
      </c>
      <c r="C150" s="335" t="str">
        <f ca="1">WORLDCUP!AF105</f>
        <v>Noruega</v>
      </c>
      <c r="D150" s="687"/>
      <c r="E150" s="356"/>
      <c r="F150" s="356"/>
      <c r="G150" s="356"/>
      <c r="H150" s="356"/>
      <c r="I150" s="367"/>
      <c r="J150" s="356"/>
      <c r="K150" s="356"/>
      <c r="L150" s="356"/>
      <c r="M150" s="365"/>
      <c r="N150" s="363"/>
    </row>
    <row r="151" spans="1:14" ht="15" customHeight="1">
      <c r="A151" s="686"/>
      <c r="B151" s="346" t="str">
        <f t="shared" si="1"/>
        <v>Dieciseisavofinalista</v>
      </c>
      <c r="C151" s="335" t="str">
        <f ca="1">WORLDCUP!AF106</f>
        <v>Suecia</v>
      </c>
      <c r="D151" s="687"/>
      <c r="E151" s="356"/>
      <c r="F151" s="356"/>
      <c r="G151" s="356"/>
      <c r="H151" s="356"/>
      <c r="I151" s="367"/>
      <c r="J151" s="356"/>
      <c r="K151" s="356"/>
      <c r="L151" s="356"/>
      <c r="M151" s="365"/>
      <c r="N151" s="363"/>
    </row>
    <row r="152" spans="1:14" ht="15" customHeight="1">
      <c r="A152" s="686"/>
      <c r="B152" s="346" t="str">
        <f t="shared" si="1"/>
        <v>Dieciseisavofinalista</v>
      </c>
      <c r="C152" s="335" t="str">
        <f ca="1">WORLDCUP!AF107</f>
        <v>Ecuador</v>
      </c>
      <c r="D152" s="687"/>
      <c r="E152" s="356"/>
      <c r="F152" s="356"/>
      <c r="G152" s="356"/>
      <c r="H152" s="356"/>
      <c r="I152" s="367"/>
      <c r="J152" s="356"/>
      <c r="K152" s="356"/>
      <c r="L152" s="356"/>
      <c r="M152" s="365"/>
      <c r="N152" s="363"/>
    </row>
    <row r="153" spans="1:14" ht="15" customHeight="1">
      <c r="A153" s="686"/>
      <c r="B153" s="346" t="str">
        <f t="shared" si="1"/>
        <v>Dieciseisavofinalista</v>
      </c>
      <c r="C153" s="335" t="str">
        <f ca="1">WORLDCUP!AF108</f>
        <v>RD Congo</v>
      </c>
      <c r="D153" s="687"/>
      <c r="E153" s="356"/>
      <c r="F153" s="356"/>
      <c r="G153" s="356"/>
      <c r="H153" s="356"/>
      <c r="I153" s="367"/>
      <c r="J153" s="356"/>
      <c r="K153" s="356"/>
      <c r="L153" s="356"/>
      <c r="M153" s="365"/>
      <c r="N153" s="363"/>
    </row>
    <row r="154" spans="1:14" ht="15" customHeight="1">
      <c r="A154" s="686"/>
      <c r="B154" s="346" t="str">
        <f t="shared" si="1"/>
        <v>Dieciseisavofinalista</v>
      </c>
      <c r="C154" s="335" t="str">
        <f ca="1">WORLDCUP!AF109</f>
        <v>Senegal</v>
      </c>
      <c r="D154" s="687"/>
      <c r="E154" s="356"/>
      <c r="F154" s="356"/>
      <c r="G154" s="356"/>
      <c r="H154" s="356"/>
      <c r="I154" s="367"/>
      <c r="J154" s="356"/>
      <c r="K154" s="356"/>
      <c r="L154" s="356"/>
      <c r="M154" s="365"/>
      <c r="N154" s="363"/>
    </row>
    <row r="155" spans="1:14" ht="15" customHeight="1">
      <c r="A155" s="686"/>
      <c r="B155" s="346" t="str">
        <f t="shared" si="1"/>
        <v>Dieciseisavofinalista</v>
      </c>
      <c r="C155" s="335" t="str">
        <f ca="1">WORLDCUP!AF110</f>
        <v>Bosnia y Herzegovina</v>
      </c>
      <c r="D155" s="687"/>
      <c r="E155" s="356"/>
      <c r="F155" s="356"/>
      <c r="G155" s="356"/>
      <c r="H155" s="356"/>
      <c r="I155" s="367"/>
      <c r="J155" s="356"/>
      <c r="K155" s="356"/>
      <c r="L155" s="356"/>
      <c r="M155" s="365"/>
      <c r="N155" s="363"/>
    </row>
    <row r="156" spans="1:14" ht="15" customHeight="1">
      <c r="A156" s="686"/>
      <c r="B156" s="346" t="str">
        <f t="shared" si="1"/>
        <v>Dieciseisavofinalista</v>
      </c>
      <c r="C156" s="335" t="str">
        <f ca="1">WORLDCUP!AF111</f>
        <v>Austria</v>
      </c>
      <c r="D156" s="687"/>
      <c r="E156" s="356"/>
      <c r="F156" s="356"/>
      <c r="G156" s="356"/>
      <c r="H156" s="356"/>
      <c r="I156" s="367"/>
      <c r="J156" s="356"/>
      <c r="K156" s="356"/>
      <c r="L156" s="356"/>
      <c r="M156" s="365"/>
      <c r="N156" s="363"/>
    </row>
    <row r="157" spans="1:14" ht="15" customHeight="1">
      <c r="A157" s="686"/>
      <c r="B157" s="346" t="str">
        <f t="shared" si="1"/>
        <v>Dieciseisavofinalista</v>
      </c>
      <c r="C157" s="335" t="str">
        <f ca="1">WORLDCUP!AF112</f>
        <v>Croacia</v>
      </c>
      <c r="D157" s="687"/>
      <c r="E157" s="356"/>
      <c r="F157" s="356"/>
      <c r="G157" s="356"/>
      <c r="H157" s="356"/>
      <c r="I157" s="367"/>
      <c r="J157" s="356"/>
      <c r="K157" s="356"/>
      <c r="L157" s="356"/>
      <c r="M157" s="365"/>
      <c r="N157" s="363"/>
    </row>
    <row r="158" spans="1:14" ht="15" customHeight="1">
      <c r="A158" s="686"/>
      <c r="B158" s="346" t="str">
        <f t="shared" si="1"/>
        <v>Dieciseisavofinalista</v>
      </c>
      <c r="C158" s="335" t="str">
        <f ca="1">WORLDCUP!AF113</f>
        <v>Argelia</v>
      </c>
      <c r="D158" s="687"/>
      <c r="E158" s="356"/>
      <c r="F158" s="356"/>
      <c r="G158" s="356"/>
      <c r="H158" s="356"/>
      <c r="I158" s="367"/>
      <c r="J158" s="356"/>
      <c r="K158" s="356"/>
      <c r="L158" s="356"/>
      <c r="M158" s="365"/>
      <c r="N158" s="363"/>
    </row>
    <row r="159" spans="1:14" ht="15" customHeight="1">
      <c r="A159" s="686"/>
      <c r="B159" s="346" t="str">
        <f t="shared" si="1"/>
        <v>Dieciseisavofinalista</v>
      </c>
      <c r="C159" s="335" t="str">
        <f ca="1">WORLDCUP!AF114</f>
        <v>Egipto</v>
      </c>
      <c r="D159" s="687"/>
      <c r="E159" s="356"/>
      <c r="F159" s="356"/>
      <c r="G159" s="356"/>
      <c r="H159" s="356"/>
      <c r="I159" s="367"/>
      <c r="J159" s="356"/>
      <c r="K159" s="356"/>
      <c r="L159" s="356"/>
      <c r="M159" s="365"/>
      <c r="N159" s="363"/>
    </row>
    <row r="160" spans="1:14" ht="15" customHeight="1">
      <c r="A160" s="686"/>
      <c r="B160" s="346" t="str">
        <f t="shared" si="1"/>
        <v>Dieciseisavofinalista</v>
      </c>
      <c r="C160" s="335" t="str">
        <f ca="1">WORLDCUP!AF115</f>
        <v>Cabo Verde</v>
      </c>
      <c r="D160" s="687"/>
      <c r="E160" s="356"/>
      <c r="F160" s="356"/>
      <c r="G160" s="356"/>
      <c r="H160" s="356"/>
      <c r="I160" s="367"/>
      <c r="J160" s="356"/>
      <c r="K160" s="356"/>
      <c r="L160" s="356"/>
      <c r="M160" s="365"/>
      <c r="N160" s="363"/>
    </row>
    <row r="161" spans="1:14" ht="15" customHeight="1">
      <c r="A161" s="686"/>
      <c r="B161" s="346" t="str">
        <f t="shared" si="1"/>
        <v>Dieciseisavofinalista</v>
      </c>
      <c r="C161" s="335" t="str">
        <f ca="1">WORLDCUP!AF116</f>
        <v>Ghana</v>
      </c>
      <c r="D161" s="688"/>
      <c r="E161" s="358"/>
      <c r="F161" s="358"/>
      <c r="G161" s="358"/>
      <c r="H161" s="358"/>
      <c r="I161" s="368"/>
      <c r="J161" s="369"/>
      <c r="K161" s="358"/>
      <c r="L161" s="358"/>
      <c r="M161" s="370"/>
      <c r="N161" s="363"/>
    </row>
    <row r="162" spans="1:14" ht="20" customHeight="1">
      <c r="A162" s="339"/>
      <c r="B162" s="339"/>
      <c r="C162" s="336"/>
      <c r="D162" s="356"/>
      <c r="E162" s="670" t="str">
        <f>Idiomas!D113</f>
        <v>·Si haceis todas las eliminatorias de golpe, copiar de la C164 a la C252 y pegar valores en la plantilla de Administrador.</v>
      </c>
      <c r="F162" s="670"/>
      <c r="G162" s="670"/>
      <c r="H162" s="670"/>
      <c r="I162" s="670"/>
      <c r="J162" s="670"/>
      <c r="K162" s="670"/>
      <c r="L162" s="671"/>
      <c r="M162" s="371"/>
      <c r="N162" s="363"/>
    </row>
    <row r="163" spans="1:14" ht="23" customHeight="1">
      <c r="A163" s="339"/>
      <c r="B163" s="344" t="str">
        <f>Idiomas!D128</f>
        <v>ENFRENTAMIENTOS DIECISEISAVOS</v>
      </c>
      <c r="C163" s="336"/>
      <c r="D163" s="356"/>
      <c r="E163" s="672" t="str">
        <f>Idiomas!D114</f>
        <v>·Si haceis eliminatoria a eliminatoria seguir las instrucciones de cada eliminatoria.</v>
      </c>
      <c r="F163" s="672"/>
      <c r="G163" s="672"/>
      <c r="H163" s="672"/>
      <c r="I163" s="672"/>
      <c r="J163" s="672"/>
      <c r="K163" s="672"/>
      <c r="L163" s="673"/>
      <c r="M163" s="372"/>
      <c r="N163" s="363"/>
    </row>
    <row r="164" spans="1:14" ht="15" customHeight="1">
      <c r="A164" s="686"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89" t="s">
        <v>493</v>
      </c>
      <c r="E164" s="674" t="str">
        <f>Idiomas!D115</f>
        <v>·Para los dieciseisavos copiar de la C164 a la C197 y pega valores en la plantilla de administrador.</v>
      </c>
      <c r="F164" s="674"/>
      <c r="G164" s="674"/>
      <c r="H164" s="674"/>
      <c r="I164" s="338"/>
      <c r="J164" s="356"/>
      <c r="K164" s="356"/>
      <c r="L164" s="356"/>
      <c r="M164" s="372"/>
      <c r="N164" s="363"/>
    </row>
    <row r="165" spans="1:14" ht="15" customHeight="1">
      <c r="A165" s="686"/>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89"/>
      <c r="E165" s="675"/>
      <c r="F165" s="675"/>
      <c r="G165" s="675"/>
      <c r="H165" s="675"/>
      <c r="I165" s="338"/>
      <c r="J165" s="356"/>
      <c r="K165" s="356"/>
      <c r="L165" s="356"/>
      <c r="M165" s="372"/>
      <c r="N165" s="363"/>
    </row>
    <row r="166" spans="1:14" ht="15" customHeight="1">
      <c r="A166" s="686"/>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89"/>
      <c r="E166" s="675"/>
      <c r="F166" s="675"/>
      <c r="G166" s="675"/>
      <c r="H166" s="675"/>
      <c r="I166" s="338"/>
      <c r="J166" s="356"/>
      <c r="K166" s="356"/>
      <c r="L166" s="356"/>
      <c r="M166" s="372"/>
      <c r="N166" s="363"/>
    </row>
    <row r="167" spans="1:14" ht="15" customHeight="1">
      <c r="A167" s="686"/>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89"/>
      <c r="E167" s="675"/>
      <c r="F167" s="675"/>
      <c r="G167" s="675"/>
      <c r="H167" s="675"/>
      <c r="I167" s="338"/>
      <c r="J167" s="356"/>
      <c r="K167" s="356"/>
      <c r="L167" s="356"/>
      <c r="M167" s="372"/>
      <c r="N167" s="363"/>
    </row>
    <row r="168" spans="1:14" ht="15" customHeight="1">
      <c r="A168" s="686"/>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89"/>
      <c r="E168" s="356"/>
      <c r="F168" s="356"/>
      <c r="G168" s="356"/>
      <c r="H168" s="356"/>
      <c r="I168" s="338"/>
      <c r="J168" s="356"/>
      <c r="K168" s="356"/>
      <c r="L168" s="356"/>
      <c r="M168" s="372"/>
      <c r="N168" s="363"/>
    </row>
    <row r="169" spans="1:14" ht="15" customHeight="1">
      <c r="A169" s="686"/>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89"/>
      <c r="E169" s="356"/>
      <c r="F169" s="356"/>
      <c r="G169" s="356"/>
      <c r="H169" s="356"/>
      <c r="I169" s="338"/>
      <c r="J169" s="356"/>
      <c r="K169" s="356"/>
      <c r="L169" s="356"/>
      <c r="M169" s="372"/>
      <c r="N169" s="363"/>
    </row>
    <row r="170" spans="1:14" ht="15" customHeight="1">
      <c r="A170" s="686"/>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89"/>
      <c r="E170" s="356"/>
      <c r="F170" s="356"/>
      <c r="G170" s="356"/>
      <c r="H170" s="356"/>
      <c r="I170" s="338"/>
      <c r="J170" s="356"/>
      <c r="K170" s="356"/>
      <c r="L170" s="356"/>
      <c r="M170" s="372"/>
      <c r="N170" s="363"/>
    </row>
    <row r="171" spans="1:14" ht="15" customHeight="1">
      <c r="A171" s="686"/>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89"/>
      <c r="E171" s="356"/>
      <c r="F171" s="356"/>
      <c r="G171" s="356"/>
      <c r="H171" s="356"/>
      <c r="I171" s="338"/>
      <c r="J171" s="356"/>
      <c r="K171" s="356"/>
      <c r="L171" s="356"/>
      <c r="M171" s="372"/>
      <c r="N171" s="363"/>
    </row>
    <row r="172" spans="1:14" ht="15" customHeight="1">
      <c r="A172" s="686"/>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89"/>
      <c r="E172" s="356"/>
      <c r="F172" s="356"/>
      <c r="G172" s="356"/>
      <c r="H172" s="356"/>
      <c r="I172" s="338"/>
      <c r="J172" s="356"/>
      <c r="K172" s="356"/>
      <c r="L172" s="356"/>
      <c r="M172" s="372"/>
      <c r="N172" s="363"/>
    </row>
    <row r="173" spans="1:14" ht="15" customHeight="1">
      <c r="A173" s="686"/>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89"/>
      <c r="E173" s="356"/>
      <c r="F173" s="356"/>
      <c r="G173" s="356"/>
      <c r="H173" s="356"/>
      <c r="I173" s="338"/>
      <c r="J173" s="356"/>
      <c r="K173" s="356"/>
      <c r="L173" s="356"/>
      <c r="M173" s="372"/>
      <c r="N173" s="363"/>
    </row>
    <row r="174" spans="1:14" ht="15" customHeight="1">
      <c r="A174" s="686"/>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89"/>
      <c r="E174" s="356"/>
      <c r="F174" s="356"/>
      <c r="G174" s="356"/>
      <c r="H174" s="356"/>
      <c r="I174" s="338"/>
      <c r="J174" s="356"/>
      <c r="K174" s="356"/>
      <c r="L174" s="356"/>
      <c r="M174" s="372"/>
      <c r="N174" s="363"/>
    </row>
    <row r="175" spans="1:14" ht="15" customHeight="1">
      <c r="A175" s="686"/>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89"/>
      <c r="E175" s="356"/>
      <c r="F175" s="356"/>
      <c r="G175" s="356"/>
      <c r="H175" s="356"/>
      <c r="I175" s="338"/>
      <c r="J175" s="356"/>
      <c r="K175" s="356"/>
      <c r="L175" s="356"/>
      <c r="M175" s="372"/>
      <c r="N175" s="363"/>
    </row>
    <row r="176" spans="1:14" ht="15" customHeight="1">
      <c r="A176" s="686"/>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89"/>
      <c r="E176" s="356"/>
      <c r="F176" s="356"/>
      <c r="G176" s="356"/>
      <c r="H176" s="356"/>
      <c r="I176" s="338"/>
      <c r="J176" s="356"/>
      <c r="K176" s="356"/>
      <c r="L176" s="356"/>
      <c r="M176" s="372"/>
      <c r="N176" s="363"/>
    </row>
    <row r="177" spans="1:14" ht="15" customHeight="1">
      <c r="A177" s="686"/>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Australia-Egipto·0|-</v>
      </c>
      <c r="D177" s="689"/>
      <c r="E177" s="356"/>
      <c r="F177" s="356"/>
      <c r="G177" s="356"/>
      <c r="H177" s="356"/>
      <c r="I177" s="338"/>
      <c r="J177" s="356"/>
      <c r="K177" s="356"/>
      <c r="L177" s="356"/>
      <c r="M177" s="372"/>
      <c r="N177" s="363"/>
    </row>
    <row r="178" spans="1:14" ht="15" customHeight="1">
      <c r="A178" s="686"/>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Verde·0|-</v>
      </c>
      <c r="D178" s="689"/>
      <c r="E178" s="356"/>
      <c r="F178" s="356"/>
      <c r="G178" s="356"/>
      <c r="H178" s="356"/>
      <c r="I178" s="338"/>
      <c r="J178" s="356"/>
      <c r="K178" s="356"/>
      <c r="L178" s="356"/>
      <c r="M178" s="372"/>
      <c r="N178" s="363"/>
    </row>
    <row r="179" spans="1:14" ht="15" customHeight="1">
      <c r="A179" s="686"/>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Colombia-Ghana·0|-</v>
      </c>
      <c r="D179" s="689"/>
      <c r="E179" s="356"/>
      <c r="F179" s="356"/>
      <c r="G179" s="356"/>
      <c r="H179" s="356"/>
      <c r="I179" s="338"/>
      <c r="J179" s="356"/>
      <c r="K179" s="356"/>
      <c r="L179" s="356"/>
      <c r="M179" s="372"/>
      <c r="N179" s="363"/>
    </row>
    <row r="180" spans="1:14" ht="15" customHeight="1">
      <c r="A180" s="339"/>
      <c r="B180" s="339"/>
      <c r="C180" s="336"/>
      <c r="D180" s="689"/>
      <c r="E180" s="356"/>
      <c r="F180" s="356"/>
      <c r="G180" s="356"/>
      <c r="H180" s="356"/>
      <c r="I180" s="338"/>
      <c r="J180" s="356"/>
      <c r="K180" s="356"/>
      <c r="L180" s="356"/>
      <c r="M180" s="372"/>
      <c r="N180" s="363"/>
    </row>
    <row r="181" spans="1:14" ht="19" customHeight="1">
      <c r="A181" s="339"/>
      <c r="B181" s="344" t="str">
        <f>Idiomas!D129</f>
        <v>CLASIFICADOS PARA OCTAVOS</v>
      </c>
      <c r="C181" s="336"/>
      <c r="D181" s="689"/>
      <c r="E181" s="356"/>
      <c r="F181" s="356"/>
      <c r="G181" s="356"/>
      <c r="H181" s="356"/>
      <c r="I181" s="338"/>
      <c r="J181" s="356"/>
      <c r="K181" s="356"/>
      <c r="L181" s="356"/>
      <c r="M181" s="372"/>
      <c r="N181" s="363"/>
    </row>
    <row r="182" spans="1:14" ht="15" customHeight="1">
      <c r="A182" s="686" t="s">
        <v>89</v>
      </c>
      <c r="B182" s="346" t="str">
        <f>Idiomas!$D$189</f>
        <v>Octavofinalista</v>
      </c>
      <c r="C182" s="335" t="str">
        <f ca="1">WORLDCUP!AA120</f>
        <v>Canadá</v>
      </c>
      <c r="D182" s="689"/>
      <c r="E182" s="356"/>
      <c r="F182" s="356"/>
      <c r="G182" s="356"/>
      <c r="H182" s="356"/>
      <c r="I182" s="338"/>
      <c r="J182" s="356"/>
      <c r="K182" s="356"/>
      <c r="L182" s="356"/>
      <c r="M182" s="372"/>
      <c r="N182" s="363"/>
    </row>
    <row r="183" spans="1:14" ht="15" customHeight="1">
      <c r="A183" s="686"/>
      <c r="B183" s="346" t="str">
        <f>B182</f>
        <v>Octavofinalista</v>
      </c>
      <c r="C183" s="335" t="str">
        <f ca="1">WORLDCUP!AA121</f>
        <v>Paraguay</v>
      </c>
      <c r="D183" s="689"/>
      <c r="E183" s="356"/>
      <c r="F183" s="356"/>
      <c r="G183" s="356"/>
      <c r="H183" s="356"/>
      <c r="I183" s="338"/>
      <c r="J183" s="356"/>
      <c r="K183" s="356"/>
      <c r="L183" s="356"/>
      <c r="M183" s="372"/>
      <c r="N183" s="363"/>
    </row>
    <row r="184" spans="1:14" ht="15" customHeight="1">
      <c r="A184" s="686"/>
      <c r="B184" s="346" t="str">
        <f t="shared" ref="B184:B197" si="2">B183</f>
        <v>Octavofinalista</v>
      </c>
      <c r="C184" s="335" t="str">
        <f ca="1">WORLDCUP!AA122</f>
        <v>Brasil</v>
      </c>
      <c r="D184" s="689"/>
      <c r="E184" s="356"/>
      <c r="F184" s="356"/>
      <c r="G184" s="356"/>
      <c r="H184" s="356"/>
      <c r="I184" s="338"/>
      <c r="J184" s="356"/>
      <c r="K184" s="356"/>
      <c r="L184" s="356"/>
      <c r="M184" s="372"/>
      <c r="N184" s="363"/>
    </row>
    <row r="185" spans="1:14" ht="15" customHeight="1">
      <c r="A185" s="686"/>
      <c r="B185" s="346" t="str">
        <f t="shared" si="2"/>
        <v>Octavofinalista</v>
      </c>
      <c r="C185" s="335" t="str">
        <f ca="1">WORLDCUP!AA123</f>
        <v>México</v>
      </c>
      <c r="D185" s="689"/>
      <c r="E185" s="356"/>
      <c r="F185" s="356"/>
      <c r="G185" s="356"/>
      <c r="H185" s="356"/>
      <c r="I185" s="338"/>
      <c r="J185" s="356"/>
      <c r="K185" s="356"/>
      <c r="L185" s="356"/>
      <c r="M185" s="372"/>
      <c r="N185" s="363"/>
    </row>
    <row r="186" spans="1:14" ht="15" customHeight="1">
      <c r="A186" s="686"/>
      <c r="B186" s="346" t="str">
        <f t="shared" si="2"/>
        <v>Octavofinalista</v>
      </c>
      <c r="C186" s="335" t="str">
        <f ca="1">WORLDCUP!AA124</f>
        <v>Portugal</v>
      </c>
      <c r="D186" s="689"/>
      <c r="E186" s="356"/>
      <c r="F186" s="356"/>
      <c r="G186" s="356"/>
      <c r="H186" s="356"/>
      <c r="I186" s="338"/>
      <c r="J186" s="356"/>
      <c r="K186" s="356"/>
      <c r="L186" s="356"/>
      <c r="M186" s="372"/>
      <c r="N186" s="363"/>
    </row>
    <row r="187" spans="1:14" ht="15" customHeight="1">
      <c r="A187" s="686"/>
      <c r="B187" s="346" t="str">
        <f t="shared" si="2"/>
        <v>Octavofinalista</v>
      </c>
      <c r="C187" s="335" t="str">
        <f ca="1">WORLDCUP!AA125</f>
        <v>Estados Unidos</v>
      </c>
      <c r="D187" s="689"/>
      <c r="E187" s="356"/>
      <c r="F187" s="356"/>
      <c r="G187" s="356"/>
      <c r="H187" s="356"/>
      <c r="I187" s="338"/>
      <c r="J187" s="356"/>
      <c r="K187" s="356"/>
      <c r="L187" s="356"/>
      <c r="M187" s="372"/>
      <c r="N187" s="363"/>
    </row>
    <row r="188" spans="1:14" ht="15" customHeight="1">
      <c r="A188" s="686"/>
      <c r="B188" s="346" t="str">
        <f t="shared" si="2"/>
        <v>Octavofinalista</v>
      </c>
      <c r="C188" s="335" t="str">
        <f>WORLDCUP!AA126</f>
        <v>W86</v>
      </c>
      <c r="D188" s="689"/>
      <c r="E188" s="356"/>
      <c r="F188" s="356"/>
      <c r="G188" s="356"/>
      <c r="H188" s="356"/>
      <c r="I188" s="338"/>
      <c r="J188" s="356"/>
      <c r="K188" s="356"/>
      <c r="L188" s="356"/>
      <c r="M188" s="372"/>
      <c r="N188" s="363"/>
    </row>
    <row r="189" spans="1:14" ht="15" customHeight="1">
      <c r="A189" s="686"/>
      <c r="B189" s="346" t="str">
        <f t="shared" si="2"/>
        <v>Octavofinalista</v>
      </c>
      <c r="C189" s="335" t="str">
        <f ca="1">WORLDCUP!AA127</f>
        <v>Suiza</v>
      </c>
      <c r="D189" s="689"/>
      <c r="E189" s="356"/>
      <c r="F189" s="356"/>
      <c r="G189" s="356"/>
      <c r="H189" s="356"/>
      <c r="I189" s="338"/>
      <c r="J189" s="356"/>
      <c r="K189" s="356"/>
      <c r="L189" s="356"/>
      <c r="M189" s="372"/>
      <c r="N189" s="363"/>
    </row>
    <row r="190" spans="1:14" ht="15" customHeight="1">
      <c r="A190" s="686"/>
      <c r="B190" s="346" t="str">
        <f t="shared" si="2"/>
        <v>Octavofinalista</v>
      </c>
      <c r="C190" s="335" t="str">
        <f ca="1">WORLDCUP!AF120</f>
        <v>Marruecos</v>
      </c>
      <c r="D190" s="689"/>
      <c r="E190" s="356"/>
      <c r="F190" s="356"/>
      <c r="G190" s="356"/>
      <c r="H190" s="356"/>
      <c r="I190" s="338"/>
      <c r="J190" s="356"/>
      <c r="K190" s="356"/>
      <c r="L190" s="356"/>
      <c r="M190" s="372"/>
      <c r="N190" s="363"/>
    </row>
    <row r="191" spans="1:14" ht="15" customHeight="1">
      <c r="A191" s="686"/>
      <c r="B191" s="346" t="str">
        <f t="shared" si="2"/>
        <v>Octavofinalista</v>
      </c>
      <c r="C191" s="335" t="str">
        <f ca="1">WORLDCUP!AF121</f>
        <v>Francia</v>
      </c>
      <c r="D191" s="689"/>
      <c r="E191" s="356"/>
      <c r="F191" s="356"/>
      <c r="G191" s="356"/>
      <c r="H191" s="356"/>
      <c r="I191" s="338"/>
      <c r="J191" s="356"/>
      <c r="K191" s="356"/>
      <c r="L191" s="356"/>
      <c r="M191" s="372"/>
      <c r="N191" s="363"/>
    </row>
    <row r="192" spans="1:14" ht="15" customHeight="1">
      <c r="A192" s="686"/>
      <c r="B192" s="346" t="str">
        <f t="shared" si="2"/>
        <v>Octavofinalista</v>
      </c>
      <c r="C192" s="335" t="str">
        <f ca="1">WORLDCUP!AF122</f>
        <v>Noruega</v>
      </c>
      <c r="D192" s="689"/>
      <c r="E192" s="356"/>
      <c r="F192" s="356"/>
      <c r="G192" s="356"/>
      <c r="H192" s="356"/>
      <c r="I192" s="338"/>
      <c r="J192" s="356"/>
      <c r="K192" s="356"/>
      <c r="L192" s="356"/>
      <c r="M192" s="372"/>
      <c r="N192" s="363"/>
    </row>
    <row r="193" spans="1:14" ht="15" customHeight="1">
      <c r="A193" s="686"/>
      <c r="B193" s="346" t="str">
        <f t="shared" si="2"/>
        <v>Octavofinalista</v>
      </c>
      <c r="C193" s="335" t="str">
        <f ca="1">WORLDCUP!AF123</f>
        <v>Inglaterra</v>
      </c>
      <c r="D193" s="689"/>
      <c r="E193" s="356"/>
      <c r="F193" s="356"/>
      <c r="G193" s="356"/>
      <c r="H193" s="356"/>
      <c r="I193" s="338"/>
      <c r="J193" s="356"/>
      <c r="K193" s="356"/>
      <c r="L193" s="356"/>
      <c r="M193" s="372"/>
      <c r="N193" s="363"/>
    </row>
    <row r="194" spans="1:14" ht="15" customHeight="1">
      <c r="A194" s="686"/>
      <c r="B194" s="346" t="str">
        <f t="shared" si="2"/>
        <v>Octavofinalista</v>
      </c>
      <c r="C194" s="335" t="str">
        <f ca="1">WORLDCUP!AF124</f>
        <v>España</v>
      </c>
      <c r="D194" s="689"/>
      <c r="E194" s="356"/>
      <c r="F194" s="356"/>
      <c r="G194" s="356"/>
      <c r="H194" s="356"/>
      <c r="I194" s="338"/>
      <c r="J194" s="356"/>
      <c r="K194" s="356"/>
      <c r="L194" s="356"/>
      <c r="M194" s="372"/>
      <c r="N194" s="363"/>
    </row>
    <row r="195" spans="1:14" ht="15" customHeight="1">
      <c r="A195" s="686"/>
      <c r="B195" s="346" t="str">
        <f t="shared" si="2"/>
        <v>Octavofinalista</v>
      </c>
      <c r="C195" s="335" t="str">
        <f ca="1">WORLDCUP!AF125</f>
        <v>Bélgica</v>
      </c>
      <c r="D195" s="689"/>
      <c r="E195" s="356"/>
      <c r="F195" s="356"/>
      <c r="G195" s="356"/>
      <c r="H195" s="356"/>
      <c r="I195" s="338"/>
      <c r="J195" s="356"/>
      <c r="K195" s="356"/>
      <c r="L195" s="356"/>
      <c r="M195" s="372"/>
      <c r="N195" s="363"/>
    </row>
    <row r="196" spans="1:14" ht="15" customHeight="1">
      <c r="A196" s="686"/>
      <c r="B196" s="346" t="str">
        <f t="shared" si="2"/>
        <v>Octavofinalista</v>
      </c>
      <c r="C196" s="335" t="str">
        <f>WORLDCUP!AF126</f>
        <v>W88</v>
      </c>
      <c r="D196" s="689"/>
      <c r="E196" s="356"/>
      <c r="F196" s="356"/>
      <c r="G196" s="356"/>
      <c r="H196" s="356"/>
      <c r="I196" s="338"/>
      <c r="J196" s="356"/>
      <c r="K196" s="356"/>
      <c r="L196" s="356"/>
      <c r="M196" s="372"/>
      <c r="N196" s="363"/>
    </row>
    <row r="197" spans="1:14" ht="15" customHeight="1">
      <c r="A197" s="686"/>
      <c r="B197" s="346" t="str">
        <f t="shared" si="2"/>
        <v>Octavofinalista</v>
      </c>
      <c r="C197" s="335" t="str">
        <f>WORLDCUP!AF127</f>
        <v>W87</v>
      </c>
      <c r="D197" s="689"/>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86"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Canadá-Marruecos·0|-</v>
      </c>
      <c r="D200" s="669" t="s">
        <v>89</v>
      </c>
      <c r="E200" s="668" t="str">
        <f>Idiomas!D116</f>
        <v>·Para los octavos de final copiar de la C200 a la C217 y pega valores en la plantilla de administrador.</v>
      </c>
      <c r="F200" s="668"/>
      <c r="G200" s="668"/>
      <c r="H200" s="668"/>
      <c r="I200" s="338"/>
      <c r="J200" s="356"/>
      <c r="K200" s="356"/>
      <c r="L200" s="356"/>
      <c r="M200" s="372"/>
      <c r="N200" s="363"/>
    </row>
    <row r="201" spans="1:14" ht="15" customHeight="1">
      <c r="A201" s="686"/>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Paraguay-Francia·0|-</v>
      </c>
      <c r="D201" s="669"/>
      <c r="E201" s="668"/>
      <c r="F201" s="668"/>
      <c r="G201" s="668"/>
      <c r="H201" s="668"/>
      <c r="I201" s="338"/>
      <c r="J201" s="356"/>
      <c r="K201" s="356"/>
      <c r="L201" s="356"/>
      <c r="M201" s="372"/>
      <c r="N201" s="363"/>
    </row>
    <row r="202" spans="1:14" ht="15" customHeight="1">
      <c r="A202" s="686"/>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Brasil-Noruega·0|-</v>
      </c>
      <c r="D202" s="669"/>
      <c r="E202" s="668"/>
      <c r="F202" s="668"/>
      <c r="G202" s="668"/>
      <c r="H202" s="668"/>
      <c r="I202" s="338"/>
      <c r="J202" s="356"/>
      <c r="K202" s="356"/>
      <c r="L202" s="356"/>
      <c r="M202" s="372"/>
      <c r="N202" s="363"/>
    </row>
    <row r="203" spans="1:14" ht="15" customHeight="1">
      <c r="A203" s="686"/>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México-Inglaterra·0|-</v>
      </c>
      <c r="D203" s="669"/>
      <c r="E203" s="668"/>
      <c r="F203" s="668"/>
      <c r="G203" s="668"/>
      <c r="H203" s="668"/>
      <c r="I203" s="338"/>
      <c r="J203" s="356"/>
      <c r="K203" s="356"/>
      <c r="L203" s="356"/>
      <c r="M203" s="372"/>
      <c r="N203" s="363"/>
    </row>
    <row r="204" spans="1:14" ht="15" customHeight="1">
      <c r="A204" s="686"/>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Portugal-España·0|-</v>
      </c>
      <c r="D204" s="669"/>
      <c r="E204" s="338"/>
      <c r="F204" s="338"/>
      <c r="G204" s="338"/>
      <c r="H204" s="338"/>
      <c r="I204" s="338"/>
      <c r="J204" s="356"/>
      <c r="K204" s="356"/>
      <c r="L204" s="356"/>
      <c r="M204" s="372"/>
      <c r="N204" s="363"/>
    </row>
    <row r="205" spans="1:14" ht="15" customHeight="1">
      <c r="A205" s="686"/>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69"/>
      <c r="E205" s="338"/>
      <c r="F205" s="338"/>
      <c r="G205" s="338"/>
      <c r="H205" s="338"/>
      <c r="I205" s="338"/>
      <c r="J205" s="356"/>
      <c r="K205" s="356"/>
      <c r="L205" s="356"/>
      <c r="M205" s="372"/>
      <c r="N205" s="363"/>
    </row>
    <row r="206" spans="1:14" ht="15" customHeight="1">
      <c r="A206" s="686"/>
      <c r="B206" s="347" t="str">
        <f>CONCATENATE(WORLDCUP!AA126,"-",WORLDCUP!AF126)</f>
        <v>W86-W88</v>
      </c>
      <c r="C206" s="337" t="str">
        <f>CONCATENATE(WORLDCUP!AA126,"-",WORLDCUP!AF126,"·",IF(WORLDCUP!AC126&gt;WORLDCUP!AD126,1,IF(WORLDCUP!AC126&lt;WORLDCUP!AD126,2,IF(AND(WORLDCUP!AC126=WORLDCUP!AD126,WORLDCUP!AC126&lt;&gt;"",WORLDCUP!AD126&lt;&gt;""),"X",0))),"|",WORLDCUP!AC126,"-",WORLDCUP!AD126)</f>
        <v>W86-W88·0|-</v>
      </c>
      <c r="D206" s="669"/>
      <c r="E206" s="338"/>
      <c r="F206" s="338"/>
      <c r="G206" s="338"/>
      <c r="H206" s="338"/>
      <c r="I206" s="338"/>
      <c r="J206" s="356"/>
      <c r="K206" s="356"/>
      <c r="L206" s="356"/>
      <c r="M206" s="372"/>
      <c r="N206" s="363"/>
    </row>
    <row r="207" spans="1:14" ht="15" customHeight="1">
      <c r="A207" s="686"/>
      <c r="B207" s="347" t="str">
        <f ca="1">CONCATENATE(WORLDCUP!AA127,"-",WORLDCUP!AF127)</f>
        <v>Suiza-W87</v>
      </c>
      <c r="C207" s="337" t="str">
        <f ca="1">CONCATENATE(WORLDCUP!AA127,"-",WORLDCUP!AF127,"·",IF(WORLDCUP!AC127&gt;WORLDCUP!AD127,1,IF(WORLDCUP!AC127&lt;WORLDCUP!AD127,2,IF(AND(WORLDCUP!AC127=WORLDCUP!AD127,WORLDCUP!AC127&lt;&gt;"",WORLDCUP!AD127&lt;&gt;""),"X",0))),"|",WORLDCUP!AC127,"-",WORLDCUP!AD127)</f>
        <v>Suiza-W87·0|-</v>
      </c>
      <c r="D207" s="669"/>
      <c r="E207" s="338"/>
      <c r="F207" s="338"/>
      <c r="G207" s="338"/>
      <c r="H207" s="338"/>
      <c r="I207" s="338"/>
      <c r="J207" s="356"/>
      <c r="K207" s="356"/>
      <c r="L207" s="356"/>
      <c r="M207" s="372"/>
      <c r="N207" s="363"/>
    </row>
    <row r="208" spans="1:14" ht="15" customHeight="1">
      <c r="A208" s="339"/>
      <c r="B208" s="339"/>
      <c r="C208" s="336"/>
      <c r="D208" s="669"/>
      <c r="E208" s="356"/>
      <c r="F208" s="356"/>
      <c r="G208" s="356"/>
      <c r="H208" s="356"/>
      <c r="I208" s="338"/>
      <c r="J208" s="356"/>
      <c r="K208" s="356"/>
      <c r="L208" s="356"/>
      <c r="M208" s="372"/>
      <c r="N208" s="363"/>
    </row>
    <row r="209" spans="1:14" ht="19" customHeight="1">
      <c r="A209" s="339"/>
      <c r="B209" s="344" t="str">
        <f>Idiomas!D131</f>
        <v>CLASIFICADOS PARA CUARTOS</v>
      </c>
      <c r="C209" s="336"/>
      <c r="D209" s="669"/>
      <c r="E209" s="356"/>
      <c r="F209" s="356"/>
      <c r="G209" s="356"/>
      <c r="H209" s="356"/>
      <c r="I209" s="338"/>
      <c r="J209" s="356"/>
      <c r="K209" s="356"/>
      <c r="L209" s="356"/>
      <c r="M209" s="372"/>
      <c r="N209" s="363"/>
    </row>
    <row r="210" spans="1:14" ht="15" customHeight="1">
      <c r="A210" s="686" t="s">
        <v>36</v>
      </c>
      <c r="B210" s="346" t="str">
        <f>Idiomas!$D$190</f>
        <v>Cuartofinalista</v>
      </c>
      <c r="C210" s="335" t="str">
        <f>WORLDCUP!AA131</f>
        <v>W89</v>
      </c>
      <c r="D210" s="669"/>
      <c r="E210" s="356"/>
      <c r="F210" s="356"/>
      <c r="G210" s="356"/>
      <c r="H210" s="356"/>
      <c r="I210" s="338"/>
      <c r="J210" s="356"/>
      <c r="K210" s="356"/>
      <c r="L210" s="356"/>
      <c r="M210" s="372"/>
      <c r="N210" s="363"/>
    </row>
    <row r="211" spans="1:14" ht="15" customHeight="1">
      <c r="A211" s="686"/>
      <c r="B211" s="346" t="str">
        <f>B210</f>
        <v>Cuartofinalista</v>
      </c>
      <c r="C211" s="335" t="str">
        <f>WORLDCUP!AA132</f>
        <v>W93</v>
      </c>
      <c r="D211" s="669"/>
      <c r="E211" s="356"/>
      <c r="F211" s="356"/>
      <c r="G211" s="356"/>
      <c r="H211" s="356"/>
      <c r="I211" s="338"/>
      <c r="J211" s="356"/>
      <c r="K211" s="356"/>
      <c r="L211" s="356"/>
      <c r="M211" s="372"/>
      <c r="N211" s="363"/>
    </row>
    <row r="212" spans="1:14" ht="15" customHeight="1">
      <c r="A212" s="686"/>
      <c r="B212" s="346" t="str">
        <f t="shared" ref="B212:B217" si="3">B211</f>
        <v>Cuartofinalista</v>
      </c>
      <c r="C212" s="335" t="str">
        <f>WORLDCUP!AA133</f>
        <v>W91</v>
      </c>
      <c r="D212" s="669"/>
      <c r="E212" s="356"/>
      <c r="F212" s="356"/>
      <c r="G212" s="356"/>
      <c r="H212" s="356"/>
      <c r="I212" s="338"/>
      <c r="J212" s="356"/>
      <c r="K212" s="356"/>
      <c r="L212" s="356"/>
      <c r="M212" s="372"/>
      <c r="N212" s="363"/>
    </row>
    <row r="213" spans="1:14" ht="15" customHeight="1">
      <c r="A213" s="686"/>
      <c r="B213" s="346" t="str">
        <f t="shared" si="3"/>
        <v>Cuartofinalista</v>
      </c>
      <c r="C213" s="335" t="str">
        <f>WORLDCUP!AA134</f>
        <v>W95</v>
      </c>
      <c r="D213" s="669"/>
      <c r="E213" s="356"/>
      <c r="F213" s="356"/>
      <c r="G213" s="356"/>
      <c r="H213" s="356"/>
      <c r="I213" s="338"/>
      <c r="J213" s="356"/>
      <c r="K213" s="356"/>
      <c r="L213" s="356"/>
      <c r="M213" s="372"/>
      <c r="N213" s="363"/>
    </row>
    <row r="214" spans="1:14" ht="15" customHeight="1">
      <c r="A214" s="686"/>
      <c r="B214" s="346" t="str">
        <f t="shared" si="3"/>
        <v>Cuartofinalista</v>
      </c>
      <c r="C214" s="335" t="str">
        <f>WORLDCUP!AF131</f>
        <v>W90</v>
      </c>
      <c r="D214" s="669"/>
      <c r="E214" s="356"/>
      <c r="F214" s="356"/>
      <c r="G214" s="356"/>
      <c r="H214" s="356"/>
      <c r="I214" s="338"/>
      <c r="J214" s="356"/>
      <c r="K214" s="356"/>
      <c r="L214" s="356"/>
      <c r="M214" s="372"/>
      <c r="N214" s="363"/>
    </row>
    <row r="215" spans="1:14" ht="15" customHeight="1">
      <c r="A215" s="686"/>
      <c r="B215" s="346" t="str">
        <f t="shared" si="3"/>
        <v>Cuartofinalista</v>
      </c>
      <c r="C215" s="335" t="str">
        <f>WORLDCUP!AF132</f>
        <v>W94</v>
      </c>
      <c r="D215" s="669"/>
      <c r="E215" s="356"/>
      <c r="F215" s="356"/>
      <c r="G215" s="356"/>
      <c r="H215" s="356"/>
      <c r="I215" s="338"/>
      <c r="J215" s="356"/>
      <c r="K215" s="356"/>
      <c r="L215" s="356"/>
      <c r="M215" s="372"/>
      <c r="N215" s="363"/>
    </row>
    <row r="216" spans="1:14" ht="15" customHeight="1">
      <c r="A216" s="686"/>
      <c r="B216" s="346" t="str">
        <f t="shared" si="3"/>
        <v>Cuartofinalista</v>
      </c>
      <c r="C216" s="335" t="str">
        <f>WORLDCUP!AF133</f>
        <v>W92</v>
      </c>
      <c r="D216" s="669"/>
      <c r="E216" s="356"/>
      <c r="F216" s="356"/>
      <c r="G216" s="356"/>
      <c r="H216" s="356"/>
      <c r="I216" s="338"/>
      <c r="J216" s="356"/>
      <c r="K216" s="356"/>
      <c r="L216" s="356"/>
      <c r="M216" s="372"/>
      <c r="N216" s="363"/>
    </row>
    <row r="217" spans="1:14" ht="15" customHeight="1">
      <c r="A217" s="686"/>
      <c r="B217" s="346" t="str">
        <f t="shared" si="3"/>
        <v>Cuartofinalista</v>
      </c>
      <c r="C217" s="335" t="str">
        <f>WORLDCUP!AF134</f>
        <v>W96</v>
      </c>
      <c r="D217" s="669"/>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86" t="s">
        <v>36</v>
      </c>
      <c r="B220" s="346" t="str">
        <f>CONCATENATE(WORLDCUP!AA131,"-",WORLDCUP!AF131)</f>
        <v>W89-W90</v>
      </c>
      <c r="C220" s="335" t="str">
        <f>CONCATENATE(WORLDCUP!AA131,"-",WORLDCUP!AF131,"·",IF(WORLDCUP!AC131&gt;WORLDCUP!AD131,1,IF(WORLDCUP!AC131&lt;WORLDCUP!AD131,2,IF(AND(WORLDCUP!AC131=WORLDCUP!AD131,WORLDCUP!AC131&lt;&gt;"",WORLDCUP!AD131&lt;&gt;""),"X",0))),"|",WORLDCUP!AC131,"-",WORLDCUP!AD131)</f>
        <v>W89-W90·0|-</v>
      </c>
      <c r="D220" s="689" t="s">
        <v>36</v>
      </c>
      <c r="E220" s="668" t="str">
        <f>Idiomas!D117</f>
        <v>·Para los cuartos de final copiar de la C220 a la C229 y pega valores en la plantilla de administrador.</v>
      </c>
      <c r="F220" s="668"/>
      <c r="G220" s="668"/>
      <c r="H220" s="668"/>
      <c r="I220" s="338"/>
      <c r="J220" s="356"/>
      <c r="K220" s="356"/>
      <c r="L220" s="356"/>
      <c r="M220" s="372"/>
      <c r="N220" s="363"/>
    </row>
    <row r="221" spans="1:14" ht="15" customHeight="1">
      <c r="A221" s="686"/>
      <c r="B221" s="346" t="str">
        <f>CONCATENATE(WORLDCUP!AA132,"-",WORLDCUP!AF132)</f>
        <v>W93-W94</v>
      </c>
      <c r="C221" s="335" t="str">
        <f>CONCATENATE(WORLDCUP!AA132,"-",WORLDCUP!AF132,"·",IF(WORLDCUP!AC132&gt;WORLDCUP!AD132,1,IF(WORLDCUP!AC132&lt;WORLDCUP!AD132,2,IF(AND(WORLDCUP!AC132=WORLDCUP!AD132,WORLDCUP!AC132&lt;&gt;"",WORLDCUP!AD132&lt;&gt;""),"X",0))),"|",WORLDCUP!AC132,"-",WORLDCUP!AD132)</f>
        <v>W93-W94·0|-</v>
      </c>
      <c r="D221" s="689"/>
      <c r="E221" s="668"/>
      <c r="F221" s="668"/>
      <c r="G221" s="668"/>
      <c r="H221" s="668"/>
      <c r="I221" s="338"/>
      <c r="J221" s="356"/>
      <c r="K221" s="356"/>
      <c r="L221" s="356"/>
      <c r="M221" s="372"/>
      <c r="N221" s="363"/>
    </row>
    <row r="222" spans="1:14" ht="15" customHeight="1">
      <c r="A222" s="686"/>
      <c r="B222" s="346" t="str">
        <f>CONCATENATE(WORLDCUP!AA133,"-",WORLDCUP!AF133)</f>
        <v>W91-W92</v>
      </c>
      <c r="C222" s="335" t="str">
        <f>CONCATENATE(WORLDCUP!AA133,"-",WORLDCUP!AF133,"·",IF(WORLDCUP!AC133&gt;WORLDCUP!AD133,1,IF(WORLDCUP!AC133&lt;WORLDCUP!AD133,2,IF(AND(WORLDCUP!AC133=WORLDCUP!AD133,WORLDCUP!AC133&lt;&gt;"",WORLDCUP!AD133&lt;&gt;""),"X",0))),"|",WORLDCUP!AC133,"-",WORLDCUP!AD133)</f>
        <v>W91-W92·0|-</v>
      </c>
      <c r="D222" s="689"/>
      <c r="E222" s="668"/>
      <c r="F222" s="668"/>
      <c r="G222" s="668"/>
      <c r="H222" s="668"/>
      <c r="I222" s="338"/>
      <c r="J222" s="356"/>
      <c r="K222" s="356"/>
      <c r="L222" s="356"/>
      <c r="M222" s="372"/>
      <c r="N222" s="363"/>
    </row>
    <row r="223" spans="1:14" ht="15" customHeight="1">
      <c r="A223" s="686"/>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89"/>
      <c r="E223" s="668"/>
      <c r="F223" s="668"/>
      <c r="G223" s="668"/>
      <c r="H223" s="668"/>
      <c r="I223" s="338"/>
      <c r="J223" s="356"/>
      <c r="K223" s="356"/>
      <c r="L223" s="356"/>
      <c r="M223" s="372"/>
      <c r="N223" s="363"/>
    </row>
    <row r="224" spans="1:14">
      <c r="A224" s="339"/>
      <c r="B224" s="339"/>
      <c r="C224" s="336"/>
      <c r="D224" s="689"/>
      <c r="E224" s="338"/>
      <c r="F224" s="338"/>
      <c r="G224" s="338"/>
      <c r="H224" s="338"/>
      <c r="I224" s="338"/>
      <c r="J224" s="356"/>
      <c r="K224" s="356"/>
      <c r="L224" s="356"/>
      <c r="M224" s="372"/>
      <c r="N224" s="363"/>
    </row>
    <row r="225" spans="1:14" ht="18.5">
      <c r="A225" s="339"/>
      <c r="B225" s="344" t="str">
        <f>Idiomas!D133</f>
        <v>CLASIFICADOS PARA SEMIFINALES</v>
      </c>
      <c r="C225" s="336"/>
      <c r="D225" s="689"/>
      <c r="E225" s="356"/>
      <c r="F225" s="356"/>
      <c r="G225" s="356"/>
      <c r="H225" s="356"/>
      <c r="I225" s="338"/>
      <c r="J225" s="356"/>
      <c r="K225" s="356"/>
      <c r="L225" s="356"/>
      <c r="M225" s="372"/>
      <c r="N225" s="363"/>
    </row>
    <row r="226" spans="1:14" ht="15" customHeight="1">
      <c r="A226" s="686" t="s">
        <v>37</v>
      </c>
      <c r="B226" s="346" t="str">
        <f>Idiomas!$D$191</f>
        <v>Semifinalista</v>
      </c>
      <c r="C226" s="335" t="str">
        <f>WORLDCUP!AA138</f>
        <v>W97</v>
      </c>
      <c r="D226" s="689"/>
      <c r="E226" s="356"/>
      <c r="F226" s="356"/>
      <c r="G226" s="356"/>
      <c r="H226" s="356"/>
      <c r="I226" s="338"/>
      <c r="J226" s="356"/>
      <c r="K226" s="356"/>
      <c r="L226" s="356"/>
      <c r="M226" s="372"/>
      <c r="N226" s="363"/>
    </row>
    <row r="227" spans="1:14" ht="15" customHeight="1">
      <c r="A227" s="686"/>
      <c r="B227" s="346" t="str">
        <f>Idiomas!$D$191</f>
        <v>Semifinalista</v>
      </c>
      <c r="C227" s="335" t="str">
        <f>WORLDCUP!AA139</f>
        <v>W99</v>
      </c>
      <c r="D227" s="689"/>
      <c r="E227" s="356"/>
      <c r="F227" s="356"/>
      <c r="G227" s="356"/>
      <c r="H227" s="356"/>
      <c r="I227" s="338"/>
      <c r="J227" s="356"/>
      <c r="K227" s="356"/>
      <c r="L227" s="356"/>
      <c r="M227" s="372"/>
      <c r="N227" s="363"/>
    </row>
    <row r="228" spans="1:14" ht="15" customHeight="1">
      <c r="A228" s="686"/>
      <c r="B228" s="346" t="str">
        <f>Idiomas!$D$191</f>
        <v>Semifinalista</v>
      </c>
      <c r="C228" s="335" t="str">
        <f>WORLDCUP!AF138</f>
        <v>W98</v>
      </c>
      <c r="D228" s="689"/>
      <c r="E228" s="356"/>
      <c r="F228" s="356"/>
      <c r="G228" s="356"/>
      <c r="H228" s="356"/>
      <c r="I228" s="338"/>
      <c r="J228" s="356"/>
      <c r="K228" s="356"/>
      <c r="L228" s="356"/>
      <c r="M228" s="372"/>
      <c r="N228" s="363"/>
    </row>
    <row r="229" spans="1:14" ht="15" customHeight="1">
      <c r="A229" s="686"/>
      <c r="B229" s="346" t="str">
        <f>Idiomas!$D$191</f>
        <v>Semifinalista</v>
      </c>
      <c r="C229" s="335" t="str">
        <f>WORLDCUP!AF139</f>
        <v>W100</v>
      </c>
      <c r="D229" s="689"/>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93"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69" t="s">
        <v>37</v>
      </c>
      <c r="E232" s="668" t="str">
        <f>Idiomas!D118</f>
        <v>·Para las semifinales copiar de la C232 a la C241 y pega valores en la plantilla de administrador.</v>
      </c>
      <c r="F232" s="668"/>
      <c r="G232" s="668"/>
      <c r="H232" s="668"/>
      <c r="I232" s="338"/>
      <c r="J232" s="356"/>
      <c r="K232" s="356"/>
      <c r="L232" s="356"/>
      <c r="M232" s="372"/>
      <c r="N232" s="363"/>
    </row>
    <row r="233" spans="1:14" ht="15" customHeight="1">
      <c r="A233" s="693"/>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69"/>
      <c r="E233" s="668"/>
      <c r="F233" s="668"/>
      <c r="G233" s="668"/>
      <c r="H233" s="668"/>
      <c r="I233" s="338"/>
      <c r="J233" s="356"/>
      <c r="K233" s="356"/>
      <c r="L233" s="356"/>
      <c r="M233" s="372"/>
      <c r="N233" s="363"/>
    </row>
    <row r="234" spans="1:14" ht="15" customHeight="1">
      <c r="A234" s="339"/>
      <c r="B234" s="339"/>
      <c r="C234" s="336"/>
      <c r="D234" s="669"/>
      <c r="E234" s="668"/>
      <c r="F234" s="668"/>
      <c r="G234" s="668"/>
      <c r="H234" s="668"/>
      <c r="I234" s="338"/>
      <c r="J234" s="356"/>
      <c r="K234" s="356"/>
      <c r="L234" s="356"/>
      <c r="M234" s="372"/>
      <c r="N234" s="363"/>
    </row>
    <row r="235" spans="1:14" ht="18.5">
      <c r="A235" s="339"/>
      <c r="B235" s="344" t="str">
        <f>Idiomas!D135</f>
        <v>CLASIFICADOS PARA EL 3º y 4º PUESTO</v>
      </c>
      <c r="C235" s="336"/>
      <c r="D235" s="669"/>
      <c r="E235" s="668"/>
      <c r="F235" s="668"/>
      <c r="G235" s="668"/>
      <c r="H235" s="668"/>
      <c r="I235" s="338"/>
      <c r="J235" s="356"/>
      <c r="K235" s="356"/>
      <c r="L235" s="356"/>
      <c r="M235" s="372"/>
      <c r="N235" s="363"/>
    </row>
    <row r="236" spans="1:14" ht="15" customHeight="1">
      <c r="A236" s="693" t="s">
        <v>503</v>
      </c>
      <c r="B236" s="346" t="str">
        <f>Idiomas!D192</f>
        <v>3º y 4º puesto</v>
      </c>
      <c r="C236" s="335" t="str">
        <f>WORLDCUP!AA143</f>
        <v>L101</v>
      </c>
      <c r="D236" s="669"/>
      <c r="E236" s="360"/>
      <c r="F236" s="360"/>
      <c r="G236" s="360"/>
      <c r="H236" s="360"/>
      <c r="I236" s="338"/>
      <c r="J236" s="356"/>
      <c r="K236" s="356"/>
      <c r="L236" s="356"/>
      <c r="M236" s="372"/>
      <c r="N236" s="363"/>
    </row>
    <row r="237" spans="1:14" ht="15" customHeight="1">
      <c r="A237" s="693"/>
      <c r="B237" s="346" t="str">
        <f>Idiomas!D192</f>
        <v>3º y 4º puesto</v>
      </c>
      <c r="C237" s="335" t="str">
        <f>WORLDCUP!AF143</f>
        <v>L102</v>
      </c>
      <c r="D237" s="669"/>
      <c r="E237" s="360"/>
      <c r="F237" s="360"/>
      <c r="G237" s="360"/>
      <c r="H237" s="360"/>
      <c r="I237" s="338"/>
      <c r="J237" s="356"/>
      <c r="K237" s="356"/>
      <c r="L237" s="356"/>
      <c r="M237" s="372"/>
      <c r="N237" s="363"/>
    </row>
    <row r="238" spans="1:14" ht="15" customHeight="1">
      <c r="A238" s="339"/>
      <c r="B238" s="339"/>
      <c r="C238" s="336"/>
      <c r="D238" s="669"/>
      <c r="E238" s="360"/>
      <c r="F238" s="360"/>
      <c r="G238" s="360"/>
      <c r="H238" s="360"/>
      <c r="I238" s="338"/>
      <c r="J238" s="356"/>
      <c r="K238" s="356"/>
      <c r="L238" s="356"/>
      <c r="M238" s="372"/>
      <c r="N238" s="363"/>
    </row>
    <row r="239" spans="1:14" ht="19" customHeight="1">
      <c r="A239" s="339"/>
      <c r="B239" s="344" t="str">
        <f>Idiomas!D136</f>
        <v>CLASIFICADOS PARA LA FINAL</v>
      </c>
      <c r="C239" s="336"/>
      <c r="D239" s="669"/>
      <c r="E239" s="360"/>
      <c r="F239" s="360"/>
      <c r="G239" s="360"/>
      <c r="H239" s="360"/>
      <c r="I239" s="338"/>
      <c r="J239" s="356"/>
      <c r="K239" s="356"/>
      <c r="L239" s="356"/>
      <c r="M239" s="372"/>
      <c r="N239" s="363"/>
    </row>
    <row r="240" spans="1:14" ht="15" customHeight="1">
      <c r="A240" s="693" t="s">
        <v>4</v>
      </c>
      <c r="B240" s="346" t="str">
        <f>Idiomas!D193</f>
        <v>Finalista</v>
      </c>
      <c r="C240" s="335" t="str">
        <f>WORLDCUP!AA147</f>
        <v>W101</v>
      </c>
      <c r="D240" s="669"/>
      <c r="E240" s="356"/>
      <c r="F240" s="356"/>
      <c r="G240" s="356"/>
      <c r="H240" s="356"/>
      <c r="I240" s="338"/>
      <c r="J240" s="356"/>
      <c r="K240" s="356"/>
      <c r="L240" s="356"/>
      <c r="M240" s="372"/>
      <c r="N240" s="363"/>
    </row>
    <row r="241" spans="1:14" ht="15" customHeight="1">
      <c r="A241" s="693"/>
      <c r="B241" s="346" t="str">
        <f>B240</f>
        <v>Finalista</v>
      </c>
      <c r="C241" s="335" t="str">
        <f>WORLDCUP!AF147</f>
        <v>W102</v>
      </c>
      <c r="D241" s="669"/>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94" t="s">
        <v>583</v>
      </c>
      <c r="E244" s="692" t="str">
        <f>Idiomas!D119</f>
        <v>·Para el 3º y 4º puesto y la Final copiar de la C244 a la C252 y pega valores en la plantilla de administrador.</v>
      </c>
      <c r="F244" s="692"/>
      <c r="G244" s="692"/>
      <c r="H244" s="692"/>
      <c r="I244" s="367"/>
      <c r="J244" s="356"/>
      <c r="K244" s="356"/>
      <c r="L244" s="356"/>
      <c r="M244" s="372"/>
      <c r="N244" s="363"/>
    </row>
    <row r="245" spans="1:14" ht="15" customHeight="1">
      <c r="A245" s="339"/>
      <c r="B245" s="339"/>
      <c r="C245" s="336"/>
      <c r="D245" s="694"/>
      <c r="E245" s="692"/>
      <c r="F245" s="692"/>
      <c r="G245" s="692"/>
      <c r="H245" s="692"/>
      <c r="I245" s="367"/>
      <c r="J245" s="356"/>
      <c r="K245" s="356"/>
      <c r="L245" s="356"/>
      <c r="M245" s="372"/>
      <c r="N245" s="363"/>
    </row>
    <row r="246" spans="1:14" ht="21" customHeight="1">
      <c r="A246" s="339"/>
      <c r="B246" s="344" t="str">
        <f>Idiomas!D138</f>
        <v>ENFRENTAMIENTO FINAL</v>
      </c>
      <c r="C246" s="336"/>
      <c r="D246" s="694"/>
      <c r="E246" s="692"/>
      <c r="F246" s="692"/>
      <c r="G246" s="692"/>
      <c r="H246" s="692"/>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94"/>
      <c r="E247" s="362"/>
      <c r="F247" s="362"/>
      <c r="G247" s="362"/>
      <c r="H247" s="362"/>
      <c r="I247" s="367"/>
      <c r="J247" s="356"/>
      <c r="K247" s="356"/>
      <c r="L247" s="356"/>
      <c r="M247" s="372"/>
      <c r="N247" s="363"/>
    </row>
    <row r="248" spans="1:14" ht="15" customHeight="1">
      <c r="A248" s="339"/>
      <c r="B248" s="339"/>
      <c r="C248" s="336"/>
      <c r="D248" s="694"/>
      <c r="E248" s="360"/>
      <c r="F248" s="360"/>
      <c r="G248" s="360"/>
      <c r="H248" s="360"/>
      <c r="I248" s="367"/>
      <c r="J248" s="356"/>
      <c r="K248" s="356"/>
      <c r="L248" s="356"/>
      <c r="M248" s="372"/>
      <c r="N248" s="363"/>
    </row>
    <row r="249" spans="1:14" ht="19" customHeight="1">
      <c r="A249" s="339"/>
      <c r="B249" s="344" t="str">
        <f>Idiomas!D139</f>
        <v>CUADRO DE HONOR</v>
      </c>
      <c r="C249" s="336"/>
      <c r="D249" s="694"/>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94"/>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94"/>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94"/>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91" t="str">
        <f>Idiomas!D120</f>
        <v>·Al inicio de la competición si se hace por fases copiar de la C253 a la C258 y pegarla al final del jugador en el archivo de administrador.</v>
      </c>
      <c r="F253" s="691"/>
      <c r="G253" s="691"/>
      <c r="H253" s="691"/>
      <c r="I253" s="378"/>
      <c r="J253" s="378"/>
      <c r="K253" s="378"/>
      <c r="L253" s="379"/>
      <c r="M253" s="379"/>
      <c r="N253" s="363"/>
    </row>
    <row r="254" spans="1:14" ht="15" customHeight="1">
      <c r="A254" s="352"/>
      <c r="B254" s="346" t="e">
        <f>WORLDCUP!#REF!</f>
        <v>#REF!</v>
      </c>
      <c r="C254" s="335" t="e">
        <f>WORLDCUP!#REF!</f>
        <v>#REF!</v>
      </c>
      <c r="D254" s="357"/>
      <c r="E254" s="691"/>
      <c r="F254" s="691"/>
      <c r="G254" s="691"/>
      <c r="H254" s="691"/>
      <c r="I254" s="378"/>
      <c r="J254" s="378"/>
      <c r="K254" s="378"/>
      <c r="L254" s="379"/>
      <c r="M254" s="379"/>
      <c r="N254" s="363"/>
    </row>
    <row r="255" spans="1:14" ht="15" customHeight="1">
      <c r="A255" s="352"/>
      <c r="B255" s="346" t="e">
        <f>WORLDCUP!#REF!</f>
        <v>#REF!</v>
      </c>
      <c r="C255" s="335" t="e">
        <f>WORLDCUP!#REF!</f>
        <v>#REF!</v>
      </c>
      <c r="D255" s="357"/>
      <c r="E255" s="691"/>
      <c r="F255" s="691"/>
      <c r="G255" s="691"/>
      <c r="H255" s="691"/>
      <c r="I255" s="378"/>
      <c r="J255" s="378"/>
      <c r="K255" s="378"/>
      <c r="L255" s="379"/>
      <c r="M255" s="379"/>
      <c r="N255" s="363"/>
    </row>
    <row r="256" spans="1:14" ht="15" customHeight="1">
      <c r="A256" s="349"/>
      <c r="B256" s="346" t="str">
        <f>WORLDCUP!W156</f>
        <v>Balón de Oro  (mejor jugador)</v>
      </c>
      <c r="C256" s="335">
        <f>WORLDCUP!AA156</f>
        <v>0</v>
      </c>
      <c r="D256" s="357"/>
      <c r="E256" s="691"/>
      <c r="F256" s="691"/>
      <c r="G256" s="691"/>
      <c r="H256" s="691"/>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53:H256"/>
    <mergeCell ref="E220:H223"/>
    <mergeCell ref="E244:H246"/>
    <mergeCell ref="A236:A237"/>
    <mergeCell ref="E232:H235"/>
    <mergeCell ref="D244:D252"/>
    <mergeCell ref="A240:A241"/>
    <mergeCell ref="A232:A233"/>
    <mergeCell ref="A200:A207"/>
    <mergeCell ref="A210:A217"/>
    <mergeCell ref="D200:D217"/>
    <mergeCell ref="A220:A223"/>
    <mergeCell ref="A226:A229"/>
    <mergeCell ref="D220:D229"/>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D6:D29"/>
    <mergeCell ref="D30:D53"/>
    <mergeCell ref="A104:A107"/>
    <mergeCell ref="E1:N2"/>
    <mergeCell ref="E6:H9"/>
    <mergeCell ref="E30:H33"/>
    <mergeCell ref="E54:H57"/>
    <mergeCell ref="E4:M4"/>
    <mergeCell ref="E3:N3"/>
    <mergeCell ref="E5:I5"/>
    <mergeCell ref="E200:H203"/>
    <mergeCell ref="D232:D241"/>
    <mergeCell ref="E162:L162"/>
    <mergeCell ref="E163:L163"/>
    <mergeCell ref="E164:H167"/>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t="str">
        <f>+IF(ISBLANK(INDEX(WORLDCUP!$AC$101:$AC$147,MATCH(AD4,WORLDCUP!$Z$101:$Z$147,0))),"",INDEX(WORLDCUP!$AC$101:$AC$147,MATCH(AD4,WORLDCUP!$Z$101:$Z$147,0)))</f>
        <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t="str">
        <f>+IF(ISBLANK(INDEX(WORLDCUP!$AD$101:$AD$147,MATCH(AD5,WORLDCUP!$Z$101:$Z$147,0))),"",INDEX(WORLDCUP!$AD$101:$AD$147,MATCH(AD5,WORLDCUP!$Z$101:$Z$147,0)))</f>
        <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+MID(INDEX(WORLDCUP!$AA$101:$AA$147,MATCH(AH7,WORLDCUP!$Z$101:$Z$147,0)),1,3)</f>
        <v>W89</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1</v>
      </c>
      <c r="BJ7" s="443">
        <f ca="1">COUNTIF(Pool!$C$182:$C$197,Fixture!BG7)-BK7-BL7-BM7-BN7-BO7</f>
        <v>0</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+MID(INDEX(WORLDCUP!$AF$101:$AF$147,MATCH(AH8,WORLDCUP!$Z$101:$Z$147,0)),1,3)</f>
        <v>W90</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t="str">
        <f>+IF(ISBLANK(INDEX(WORLDCUP!$AC$101:$AC$147,MATCH(AD10,WORLDCUP!$Z$101:$Z$147,0))),"",INDEX(WORLDCUP!$AC$101:$AC$147,MATCH(AD10,WORLDCUP!$Z$101:$Z$147,0)))</f>
        <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t="str">
        <f>+IF(ISBLANK(INDEX(WORLDCUP!$AD$101:$AD$147,MATCH(AD11,WORLDCUP!$Z$101:$Z$147,0))),"",INDEX(WORLDCUP!$AD$101:$AD$147,MATCH(AD11,WORLDCUP!$Z$101:$Z$147,0)))</f>
        <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t="str">
        <f>+IF(ISBLANK(INDEX(WORLDCUP!$AC$101:$AC$147,MATCH(AD16,WORLDCUP!$Z$101:$Z$147,0))),"",INDEX(WORLDCUP!$AC$101:$AC$147,MATCH(AD16,WORLDCUP!$Z$101:$Z$147,0)))</f>
        <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1</v>
      </c>
      <c r="BJ16" s="443">
        <f ca="1">COUNTIF(Pool!$C$182:$C$197,Fixture!BG16)-BK16-BL16-BM16-BN16-BO16</f>
        <v>0</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t="str">
        <f>+IF(ISBLANK(INDEX(WORLDCUP!$AD$101:$AD$147,MATCH(AD17,WORLDCUP!$Z$101:$Z$147,0))),"",INDEX(WORLDCUP!$AD$101:$AD$147,MATCH(AD17,WORLDCUP!$Z$101:$Z$147,0)))</f>
        <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+MID(INDEX(WORLDCUP!$AA$101:$AA$147,MATCH(AH19,WORLDCUP!$Z$101:$Z$147,0)),1,3)</f>
        <v>W93</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1</v>
      </c>
      <c r="BJ22" s="443">
        <f ca="1">COUNTIF(Pool!$C$182:$C$197,Fixture!BG22)-BK22-BL22-BM22-BN22-BO22</f>
        <v>0</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1</v>
      </c>
      <c r="BK24" s="444">
        <f ca="1">COUNTIF(Pool!$C$210:$C$217,Fixture!BG24)-BL24-BM24-BN24-BO24</f>
        <v>0</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1</v>
      </c>
      <c r="BK26" s="444">
        <f ca="1">COUNTIF(Pool!$C$210:$C$217,Fixture!BG26)-BL26-BM26-BN26-BO26</f>
        <v>0</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t="str">
        <f>+IF(ISBLANK(INDEX(WORLDCUP!$AC$101:$AC$147,MATCH(AD28,WORLDCUP!$Z$101:$Z$147,0))),"",INDEX(WORLDCUP!$AC$101:$AC$147,MATCH(AD28,WORLDCUP!$Z$101:$Z$147,0)))</f>
        <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t="str">
        <f>+IF(ISBLANK(INDEX(WORLDCUP!$AD$101:$AD$147,MATCH(AD29,WORLDCUP!$Z$101:$Z$147,0))),"",INDEX(WORLDCUP!$AD$101:$AD$147,MATCH(AD29,WORLDCUP!$Z$101:$Z$147,0)))</f>
        <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1</v>
      </c>
      <c r="BK29" s="444">
        <f ca="1">COUNTIF(Pool!$C$210:$C$217,Fixture!BG29)-BL29-BM29-BN29-BO29</f>
        <v>0</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+MID(INDEX(WORLDCUP!$AA$101:$AA$147,MATCH(AH31,WORLDCUP!$Z$101:$Z$147,0)),1,3)</f>
        <v>W91</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+MID(INDEX(WORLDCUP!$AF$101:$AF$147,MATCH(AH32,WORLDCUP!$Z$101:$Z$147,0)),1,3)</f>
        <v>W92</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t="str">
        <f>+IF(ISBLANK(INDEX(WORLDCUP!$AC$101:$AC$147,MATCH(AD34,WORLDCUP!$Z$101:$Z$147,0))),"",INDEX(WORLDCUP!$AC$101:$AC$147,MATCH(AD34,WORLDCUP!$Z$101:$Z$147,0)))</f>
        <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1</v>
      </c>
      <c r="BK34" s="444">
        <f ca="1">COUNTIF(Pool!$C$210:$C$217,Fixture!BG34)-BL34-BM34-BN34-BO34</f>
        <v>0</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t="str">
        <f>+IF(ISBLANK(INDEX(WORLDCUP!$AD$101:$AD$147,MATCH(AD35,WORLDCUP!$Z$101:$Z$147,0))),"",INDEX(WORLDCUP!$AD$101:$AD$147,MATCH(AD35,WORLDCUP!$Z$101:$Z$147,0)))</f>
        <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1</v>
      </c>
      <c r="BK36" s="444">
        <f ca="1">COUNTIF(Pool!$C$210:$C$217,Fixture!BG36)-BL36-BM36-BN36-BO36</f>
        <v>0</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t="str">
        <f>+IF(ISBLANK(INDEX(WORLDCUP!$AC$101:$AC$147,MATCH(Y39,WORLDCUP!$Z$101:$Z$147,0))),"",INDEX(WORLDCUP!$AC$101:$AC$147,MATCH(Y39,WORLDCUP!$Z$101:$Z$147,0)))</f>
        <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t="str">
        <f>+IF(ISBLANK(INDEX(WORLDCUP!$AD$101:$AD$147,MATCH(Y40,WORLDCUP!$Z$101:$Z$147,0))),"",INDEX(WORLDCUP!$AD$101:$AD$147,MATCH(Y40,WORLDCUP!$Z$101:$Z$147,0)))</f>
        <v/>
      </c>
      <c r="AC40" s="433" t="str">
        <f>+IF(ISBLANK(INDEX(WORLDCUP!$AE$101:$AE$147,MATCH(Y40,WORLDCUP!$Z$101:$Z$147,0))),"","( "&amp;INDEX(WORLDCUP!$AE$101:$AE$147,MATCH(Y40,WORLDCUP!$Z$101:$Z$147,0))&amp;" )")</f>
        <v/>
      </c>
      <c r="AD40" s="434">
        <v>95</v>
      </c>
      <c r="AE40" s="435" t="str">
        <f>+MID(INDEX(WORLDCUP!$AA$101:$AA$147,MATCH(AD40,WORLDCUP!$Z$101:$Z$147,0)),1,3)</f>
        <v>W86</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+MID(INDEX(WORLDCUP!$AF$101:$AF$147,MATCH(AD41,WORLDCUP!$Z$101:$Z$147,0)),1,3)</f>
        <v>W88</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t="str">
        <f>+IF(ISBLANK(INDEX(WORLDCUP!$AC$101:$AC$147,MATCH(Y42,WORLDCUP!$Z$101:$Z$147,0))),"",INDEX(WORLDCUP!$AC$101:$AC$147,MATCH(Y42,WORLDCUP!$Z$101:$Z$147,0)))</f>
        <v/>
      </c>
      <c r="AC42" s="485" t="str">
        <f>+IF(ISBLANK(INDEX(WORLDCUP!$AB$101:$AB$147,MATCH(Y42,WORLDCUP!$Z$101:$Z$147,0))),"","( "&amp;INDEX(WORLDCUP!$AB$101:$AB$147,MATCH(Y42,WORLDCUP!$Z$101:$Z$147,0))&amp;" )")</f>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t="str">
        <f>+IF(ISBLANK(INDEX(WORLDCUP!$AD$101:$AD$147,MATCH(Y43,WORLDCUP!$Z$101:$Z$147,0))),"",INDEX(WORLDCUP!$AD$101:$AD$147,MATCH(Y43,WORLDCUP!$Z$101:$Z$147,0)))</f>
        <v/>
      </c>
      <c r="AC43" s="486" t="str">
        <f>+IF(ISBLANK(INDEX(WORLDCUP!$AE$101:$AE$147,MATCH(Y43,WORLDCUP!$Z$101:$Z$147,0))),"","( "&amp;INDEX(WORLDCUP!$AE$101:$AE$147,MATCH(Y43,WORLDCUP!$Z$101:$Z$147,0))&amp;" )")</f>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+MID(INDEX(WORLDCUP!$AF$101:$AF$147,MATCH(AD47,WORLDCUP!$Z$101:$Z$147,0)),1,3)</f>
        <v>W87</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t="str">
        <f>+IF(ISBLANK(INDEX(WORLDCUP!$AC$101:$AC$147,MATCH(Y48,WORLDCUP!$Z$101:$Z$147,0))),"",INDEX(WORLDCUP!$AC$101:$AC$147,MATCH(Y48,WORLDCUP!$Z$101:$Z$147,0)))</f>
        <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t="str">
        <f>+IF(ISBLANK(INDEX(WORLDCUP!$AD$101:$AD$147,MATCH(Y49,WORLDCUP!$Z$101:$Z$147,0))),"",INDEX(WORLDCUP!$AD$101:$AD$147,MATCH(Y49,WORLDCUP!$Z$101:$Z$147,0)))</f>
        <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2026-07-03T05:20:08Z</dcterms:modified>
</cp:coreProperties>
</file>