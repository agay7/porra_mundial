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BFEBFD2-E7A7-4CD6-ABE9-EA2D993B3BAE}"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48" i="3"/>
  <c r="CK26" i="3"/>
  <c r="CJ48" i="3"/>
  <c r="O20" i="3"/>
  <c r="CI14" i="3" s="1"/>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0" i="3" l="1"/>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L41" i="3" s="1"/>
  <c r="CJ29" i="3"/>
  <c r="CL29" i="3" s="1"/>
  <c r="CJ27" i="3"/>
  <c r="CL27" i="3" s="1"/>
  <c r="CL7" i="3" l="1"/>
  <c r="CL6" i="3"/>
  <c r="CM38" i="3" s="1"/>
  <c r="CM45" i="3"/>
  <c r="CM50" i="3"/>
  <c r="CM53" i="3"/>
  <c r="CM40" i="3"/>
  <c r="CM30" i="3"/>
  <c r="CM17" i="3"/>
  <c r="CM15" i="3"/>
  <c r="CM34" i="3"/>
  <c r="CM31" i="3"/>
  <c r="CM47" i="3"/>
  <c r="CM43" i="3"/>
  <c r="CM21" i="3"/>
  <c r="CM35" i="3"/>
  <c r="CM18" i="3"/>
  <c r="CM44" i="3"/>
  <c r="CM14" i="3"/>
  <c r="CM26" i="3"/>
  <c r="CM42" i="3"/>
  <c r="CM19" i="3"/>
  <c r="CM11" i="3"/>
  <c r="CM13" i="3"/>
  <c r="CM12" i="3"/>
  <c r="CM10" i="3"/>
  <c r="CM32" i="3"/>
  <c r="CM9" i="3"/>
  <c r="CM7" i="3"/>
  <c r="CM6" i="3"/>
  <c r="CM39" i="3"/>
  <c r="CM41" i="3"/>
  <c r="CM51" i="3"/>
  <c r="CM36" i="3"/>
  <c r="CM27" i="3"/>
  <c r="CM25" i="3"/>
  <c r="CM23" i="3"/>
  <c r="CM52" i="3"/>
  <c r="CM37" i="3"/>
  <c r="CM16" i="3" l="1"/>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Q30" i="3"/>
  <c r="R53" i="3"/>
  <c r="R54" i="3"/>
  <c r="R81" i="3"/>
  <c r="R87" i="3"/>
  <c r="Q55" i="3"/>
  <c r="R70" i="3"/>
  <c r="Q96" i="3"/>
  <c r="Q72" i="3"/>
  <c r="R49" i="3"/>
  <c r="Q46" i="3"/>
  <c r="R32" i="3"/>
  <c r="R69" i="3"/>
  <c r="R24" i="3"/>
  <c r="Q78" i="3"/>
  <c r="Q80" i="3"/>
  <c r="R31" i="3"/>
  <c r="Q23" i="3"/>
  <c r="Q16" i="3"/>
  <c r="R16" i="3"/>
  <c r="R79" i="3"/>
  <c r="CO45" i="3" s="1"/>
  <c r="Q63" i="3"/>
  <c r="Q38" i="3"/>
  <c r="R96" i="3"/>
  <c r="R55" i="3"/>
  <c r="R41" i="3"/>
  <c r="R88" i="3"/>
  <c r="R85" i="3"/>
  <c r="R72" i="3"/>
  <c r="R95" i="3"/>
  <c r="Q22" i="3"/>
  <c r="Q56" i="3"/>
  <c r="R77" i="3"/>
  <c r="Q31" i="3"/>
  <c r="Q86" i="3"/>
  <c r="R39" i="3"/>
  <c r="Q73" i="3"/>
  <c r="Q97" i="3"/>
  <c r="Q8" i="3"/>
  <c r="Q40" i="3"/>
  <c r="Q88" i="3"/>
  <c r="R48" i="3"/>
  <c r="R9" i="3"/>
  <c r="R94" i="3"/>
  <c r="Q65" i="3"/>
  <c r="R17" i="3"/>
  <c r="Q54" i="3"/>
  <c r="Q81" i="3"/>
  <c r="CP42" i="3" s="1"/>
  <c r="Q49" i="3"/>
  <c r="Q48" i="3"/>
  <c r="Q64" i="3"/>
  <c r="R8" i="3"/>
  <c r="R30" i="3" l="1"/>
  <c r="Q93" i="3"/>
  <c r="R23" i="3"/>
  <c r="R22" i="3"/>
  <c r="R6" i="3"/>
  <c r="R7" i="3"/>
  <c r="R93" i="3"/>
  <c r="Q14" i="3"/>
  <c r="R14" i="3"/>
  <c r="CP43" i="3"/>
  <c r="R37" i="3"/>
  <c r="CP24" i="3" s="1"/>
  <c r="CO43" i="3"/>
  <c r="Q69" i="3"/>
  <c r="CO53" i="3"/>
  <c r="R68" i="3"/>
  <c r="Q92" i="3"/>
  <c r="CP51" i="3" s="1"/>
  <c r="R12" i="3"/>
  <c r="CO10" i="3" s="1"/>
  <c r="CP53" i="3"/>
  <c r="CQ53" i="3" s="1"/>
  <c r="Q13" i="3"/>
  <c r="R60" i="3"/>
  <c r="CO34" i="3" s="1"/>
  <c r="CO27" i="3"/>
  <c r="R44" i="3"/>
  <c r="CO26" i="3" s="1"/>
  <c r="R28" i="3"/>
  <c r="CO18" i="3" s="1"/>
  <c r="Q61" i="3"/>
  <c r="CO37" i="3" s="1"/>
  <c r="R84" i="3"/>
  <c r="CO46" i="3" s="1"/>
  <c r="Q29" i="3"/>
  <c r="CP21" i="3" s="1"/>
  <c r="CO19" i="3"/>
  <c r="R29" i="3"/>
  <c r="CP20" i="3" s="1"/>
  <c r="CP47" i="3"/>
  <c r="CO15" i="3"/>
  <c r="Q68" i="3"/>
  <c r="CP39" i="3" s="1"/>
  <c r="CP37" i="3"/>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CP14" i="3" s="1"/>
  <c r="Q21" i="3"/>
  <c r="CP45" i="3"/>
  <c r="CQ45" i="3" s="1"/>
  <c r="CP44" i="3"/>
  <c r="CP49" i="3"/>
  <c r="CP48" i="3"/>
  <c r="CO24" i="3"/>
  <c r="CP38" i="3"/>
  <c r="CO50" i="3"/>
  <c r="CP40" i="3"/>
  <c r="CO40" i="3"/>
  <c r="CO49" i="3"/>
  <c r="CO48" i="3"/>
  <c r="CO38" i="3"/>
  <c r="CP32" i="3"/>
  <c r="CP16" i="3"/>
  <c r="CO42" i="3"/>
  <c r="CQ42" i="3" s="1"/>
  <c r="CO44" i="3"/>
  <c r="CO32" i="3"/>
  <c r="CP28" i="3"/>
  <c r="CP17" i="3"/>
  <c r="CO28" i="3"/>
  <c r="CP9" i="3"/>
  <c r="CP15" i="3"/>
  <c r="CO17" i="3"/>
  <c r="CO16" i="3"/>
  <c r="CP19" i="3"/>
  <c r="CO6" i="3"/>
  <c r="CP6" i="3"/>
  <c r="CP52" i="3"/>
  <c r="CP27" i="3"/>
  <c r="CO52" i="3"/>
  <c r="CO41" i="3"/>
  <c r="CO29" i="3"/>
  <c r="CP29" i="3"/>
  <c r="CO33" i="3"/>
  <c r="CO25" i="3"/>
  <c r="CP25" i="3"/>
  <c r="CP41" i="3"/>
  <c r="CO36" i="3"/>
  <c r="CO51" i="3" l="1"/>
  <c r="CP11" i="3"/>
  <c r="CP34" i="3"/>
  <c r="CQ34" i="3" s="1"/>
  <c r="CO13" i="3"/>
  <c r="CO20" i="3"/>
  <c r="CQ20" i="3" s="1"/>
  <c r="CQ43" i="3"/>
  <c r="CP46" i="3"/>
  <c r="CQ46" i="3" s="1"/>
  <c r="CP8" i="3"/>
  <c r="CQ8" i="3" s="1"/>
  <c r="CP10" i="3"/>
  <c r="CQ10" i="3" s="1"/>
  <c r="CP13" i="3"/>
  <c r="CQ13" i="3" s="1"/>
  <c r="CO21" i="3"/>
  <c r="CQ21" i="3" s="1"/>
  <c r="CQ19" i="3"/>
  <c r="CQ30" i="3"/>
  <c r="CQ15" i="3"/>
  <c r="CO14" i="3"/>
  <c r="CQ14" i="3" s="1"/>
  <c r="CQ23" i="3"/>
  <c r="CQ27"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49" i="3"/>
  <c r="CQ24" i="3"/>
  <c r="CQ48" i="3"/>
  <c r="CQ16" i="3"/>
  <c r="CQ40" i="3"/>
  <c r="CQ38" i="3"/>
  <c r="CQ32" i="3"/>
  <c r="CQ28"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<sst xmlns="http://schemas.openxmlformats.org/spreadsheetml/2006/main" count="6812" uniqueCount="1534">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</sst>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2" zoomScale="73" zoomScaleNormal="100" workbookViewId="0">
      <selection activeCell="AE31" sqref="AE31"/>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7" t="str">
        <f>Idiomas!D8</f>
        <v>XXIII Mundial USA/MEX/CAN 2026</v>
      </c>
      <c r="X1" s="617"/>
      <c r="Y1" s="617"/>
      <c r="Z1" s="617"/>
      <c r="AA1" s="617"/>
      <c r="AB1" s="617"/>
      <c r="AC1" s="617"/>
      <c r="AD1" s="617"/>
      <c r="AE1" s="617"/>
      <c r="AF1" s="61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1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1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1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1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2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2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28"/>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28"/>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2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2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3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36"/>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36"/>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6"/>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7"/>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5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5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56"/>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56"/>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6"/>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7"/>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3</v>
      </c>
      <c r="BT58" s="16" t="str">
        <f ca="1">IF(COUNTIF(BS$58:BS$69,BS58)=1,"-","Pos. "&amp;BS58&amp;" ("&amp;COUNTIF(BS$58:BS$69,BS58)&amp;")")</f>
        <v>Pos. 3 (6)</v>
      </c>
      <c r="BU58" s="16">
        <f t="shared" ref="BU58:BU69" ca="1" si="176">IF(BT58="-","-",BL58)</f>
        <v>-1</v>
      </c>
      <c r="BV58" s="16">
        <f t="shared" ref="BV58:BV69" ca="1" si="177">BS58+COUNTIFS(BT$58:BT$69,BT58,BU$58:BU$69,"&gt;"&amp;BU58)</f>
        <v>7</v>
      </c>
      <c r="BW58" s="16" t="str">
        <f t="shared" ref="BW58:BW69" ca="1" si="178">IF(COUNTIF(BV$58:BV$69,BV58)=1,"-","Pos. "&amp;BV58&amp;" ("&amp;COUNTIF(BV$58:BV$69,BV58)&amp;")")</f>
        <v>-</v>
      </c>
      <c r="BX58" s="16" t="str">
        <f t="shared" ref="BX58:BX69" ca="1" si="179">IF(BW58="-","-",BJ58)</f>
        <v>-</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Escocia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8</v>
      </c>
      <c r="BN59" s="16">
        <f t="shared" ref="BN59:BN69" ca="1" si="192">CF59</f>
        <v>8</v>
      </c>
      <c r="BO59" s="16" t="str">
        <f t="shared" si="174"/>
        <v>4B</v>
      </c>
      <c r="BP59" s="16"/>
      <c r="BQ59" s="16"/>
      <c r="BR59" s="16">
        <f t="shared" ca="1" si="175"/>
        <v>1</v>
      </c>
      <c r="BS59" s="16">
        <f t="shared" ref="BS59:BS69" ca="1" si="193">COUNTIFS(BR$58:BR$69,"&gt;"&amp;BR59)+1</f>
        <v>3</v>
      </c>
      <c r="BT59" s="16" t="str">
        <f t="shared" ref="BT59:BT69" ca="1" si="194">IF(COUNTIF(BS$58:BS$69,BS59)=1,"-","Pos. "&amp;BS59&amp;" ("&amp;COUNTIF(BS$58:BS$69,BS59)&amp;")")</f>
        <v>Pos. 3 (6)</v>
      </c>
      <c r="BU59" s="16">
        <f t="shared" ca="1" si="176"/>
        <v>-3</v>
      </c>
      <c r="BV59" s="16">
        <f t="shared" ca="1" si="177"/>
        <v>8</v>
      </c>
      <c r="BW59" s="16" t="str">
        <f t="shared" ca="1" si="178"/>
        <v>-</v>
      </c>
      <c r="BX59" s="16" t="str">
        <f t="shared" ca="1" si="179"/>
        <v>-</v>
      </c>
      <c r="BY59" s="16">
        <f t="shared" ca="1" si="180"/>
        <v>8</v>
      </c>
      <c r="BZ59" s="16" t="str">
        <f t="shared" ca="1" si="181"/>
        <v>-</v>
      </c>
      <c r="CA59" s="16" t="str">
        <f t="shared" ca="1" si="182"/>
        <v>-</v>
      </c>
      <c r="CB59" s="16">
        <f t="shared" ref="CB59:CB68" ca="1" si="195">BY59+COUNTIFS(BZ$58:BZ$69,BZ59,CA$58:CA$69,"&gt;"&amp;CA59)</f>
        <v>8</v>
      </c>
      <c r="CC59" s="16"/>
      <c r="CD59" s="16">
        <f t="shared" ca="1" si="183"/>
        <v>8</v>
      </c>
      <c r="CE59" s="16" t="str">
        <f t="shared" ref="CE59:CE69" ca="1" si="196">IF(BZ59="-","-",COUNTIF(CD$58:CD$69,"&lt;"&amp;CD59))</f>
        <v>-</v>
      </c>
      <c r="CF59" s="16">
        <f t="shared" ref="CF59:CF69" ca="1" si="197">BY59+COUNTIFS(BZ$58:BZ$69,BZ59,CE$58:CE$69,"&lt;"&amp;CE59)</f>
        <v>8</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Paraguay</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3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1</v>
      </c>
      <c r="BN60" s="16">
        <f t="shared" ca="1" si="192"/>
        <v>1</v>
      </c>
      <c r="BO60" s="16" t="str">
        <f t="shared" si="174"/>
        <v>4C</v>
      </c>
      <c r="BP60" s="16"/>
      <c r="BQ60" s="16"/>
      <c r="BR60" s="16">
        <f t="shared" ca="1" si="175"/>
        <v>3</v>
      </c>
      <c r="BS60" s="16">
        <f t="shared" ca="1" si="193"/>
        <v>1</v>
      </c>
      <c r="BT60" s="16" t="str">
        <f t="shared" ca="1" si="194"/>
        <v>Pos. 1 (2)</v>
      </c>
      <c r="BU60" s="16">
        <f t="shared" ca="1" si="176"/>
        <v>0</v>
      </c>
      <c r="BV60" s="16">
        <f t="shared" ca="1" si="177"/>
        <v>1</v>
      </c>
      <c r="BW60" s="16" t="str">
        <f t="shared" ca="1" si="178"/>
        <v>-</v>
      </c>
      <c r="BX60" s="16" t="str">
        <f t="shared" ca="1" si="179"/>
        <v>-</v>
      </c>
      <c r="BY60" s="16">
        <f t="shared" ca="1" si="180"/>
        <v>1</v>
      </c>
      <c r="BZ60" s="16" t="str">
        <f t="shared" ca="1" si="181"/>
        <v>-</v>
      </c>
      <c r="CA60" s="16" t="str">
        <f t="shared" ca="1" si="182"/>
        <v>-</v>
      </c>
      <c r="CB60" s="16">
        <f t="shared" ca="1" si="195"/>
        <v>1</v>
      </c>
      <c r="CC60" s="16"/>
      <c r="CD60" s="16">
        <f t="shared" ca="1" si="183"/>
        <v>1</v>
      </c>
      <c r="CE60" s="16" t="str">
        <f t="shared" ca="1" si="196"/>
        <v>-</v>
      </c>
      <c r="CF60" s="16">
        <f t="shared" ca="1" si="197"/>
        <v>1</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Japón</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38"/>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2</v>
      </c>
      <c r="BN61" s="16">
        <f t="shared" ca="1" si="192"/>
        <v>2</v>
      </c>
      <c r="BO61" s="16" t="str">
        <f t="shared" si="174"/>
        <v>4D</v>
      </c>
      <c r="BP61" s="16"/>
      <c r="BQ61" s="16"/>
      <c r="BR61" s="16">
        <f t="shared" ca="1" si="175"/>
        <v>3</v>
      </c>
      <c r="BS61" s="16">
        <f t="shared" ca="1" si="193"/>
        <v>1</v>
      </c>
      <c r="BT61" s="16" t="str">
        <f t="shared" ca="1" si="194"/>
        <v>Pos. 1 (2)</v>
      </c>
      <c r="BU61" s="16">
        <f t="shared" ca="1" si="176"/>
        <v>-2</v>
      </c>
      <c r="BV61" s="16">
        <f t="shared" ca="1" si="177"/>
        <v>2</v>
      </c>
      <c r="BW61" s="16" t="str">
        <f t="shared" ca="1" si="178"/>
        <v>-</v>
      </c>
      <c r="BX61" s="16" t="str">
        <f t="shared" ca="1" si="179"/>
        <v>-</v>
      </c>
      <c r="BY61" s="16">
        <f t="shared" ca="1" si="180"/>
        <v>2</v>
      </c>
      <c r="BZ61" s="16" t="str">
        <f t="shared" ca="1" si="181"/>
        <v>-</v>
      </c>
      <c r="CA61" s="16" t="str">
        <f t="shared" ca="1" si="182"/>
        <v>-</v>
      </c>
      <c r="CB61" s="16">
        <f t="shared" ca="1" si="195"/>
        <v>2</v>
      </c>
      <c r="CC61" s="16"/>
      <c r="CD61" s="16">
        <f t="shared" ca="1" si="183"/>
        <v>2</v>
      </c>
      <c r="CE61" s="16" t="str">
        <f t="shared" ca="1" si="196"/>
        <v>-</v>
      </c>
      <c r="CF61" s="16">
        <f t="shared" ca="1" si="197"/>
        <v>2</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Bélgica</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38"/>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9</v>
      </c>
      <c r="BT62" s="16" t="str">
        <f t="shared" ca="1" si="194"/>
        <v>Pos. 9 (4)</v>
      </c>
      <c r="BU62" s="16">
        <f t="shared" ca="1" si="176"/>
        <v>-1</v>
      </c>
      <c r="BV62" s="16">
        <f t="shared" ca="1" si="177"/>
        <v>9</v>
      </c>
      <c r="BW62" s="16" t="str">
        <f t="shared" ca="1" si="178"/>
        <v>Pos. 9 (2)</v>
      </c>
      <c r="BX62" s="16">
        <f t="shared" ca="1" si="179"/>
        <v>0</v>
      </c>
      <c r="BY62" s="16">
        <f t="shared" ca="1" si="180"/>
        <v>9</v>
      </c>
      <c r="BZ62" s="16" t="str">
        <f t="shared" ca="1" si="181"/>
        <v>Pos. 9 (2)</v>
      </c>
      <c r="CA62" s="16">
        <f t="shared" ca="1" si="182"/>
        <v>9</v>
      </c>
      <c r="CB62" s="16">
        <f t="shared" ca="1" si="195"/>
        <v>9</v>
      </c>
      <c r="CC62" s="16"/>
      <c r="CD62" s="16">
        <f t="shared" ca="1" si="183"/>
        <v>9</v>
      </c>
      <c r="CE62" s="16">
        <f t="shared" ca="1" si="196"/>
        <v>8</v>
      </c>
      <c r="CF62" s="16">
        <f t="shared" ca="1" si="197"/>
        <v>9</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38"/>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3</v>
      </c>
      <c r="BN63" s="16">
        <f t="shared" ca="1" si="192"/>
        <v>3</v>
      </c>
      <c r="BO63" s="16" t="str">
        <f t="shared" si="174"/>
        <v>4F</v>
      </c>
      <c r="BP63" s="16"/>
      <c r="BQ63" s="16"/>
      <c r="BR63" s="16">
        <f t="shared" ca="1" si="175"/>
        <v>1</v>
      </c>
      <c r="BS63" s="16">
        <f t="shared" ca="1" si="193"/>
        <v>3</v>
      </c>
      <c r="BT63" s="16" t="str">
        <f t="shared" ca="1" si="194"/>
        <v>Pos. 3 (6)</v>
      </c>
      <c r="BU63" s="16">
        <f t="shared" ca="1" si="176"/>
        <v>0</v>
      </c>
      <c r="BV63" s="16">
        <f t="shared" ca="1" si="177"/>
        <v>3</v>
      </c>
      <c r="BW63" s="16" t="str">
        <f t="shared" ca="1" si="178"/>
        <v>Pos. 3 (4)</v>
      </c>
      <c r="BX63" s="16">
        <f t="shared" ca="1" si="179"/>
        <v>2</v>
      </c>
      <c r="BY63" s="16">
        <f t="shared" ca="1" si="180"/>
        <v>3</v>
      </c>
      <c r="BZ63" s="16" t="str">
        <f t="shared" ca="1" si="181"/>
        <v>-</v>
      </c>
      <c r="CA63" s="16" t="str">
        <f t="shared" ca="1" si="182"/>
        <v>-</v>
      </c>
      <c r="CB63" s="16">
        <f t="shared" ca="1" si="195"/>
        <v>3</v>
      </c>
      <c r="CC63" s="16"/>
      <c r="CD63" s="16">
        <f t="shared" ca="1" si="183"/>
        <v>3</v>
      </c>
      <c r="CE63" s="16" t="str">
        <f t="shared" ca="1" si="196"/>
        <v>-</v>
      </c>
      <c r="CF63" s="16">
        <f t="shared" ca="1" si="197"/>
        <v>3</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España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38"/>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4</v>
      </c>
      <c r="BN64" s="16">
        <f t="shared" ca="1" si="192"/>
        <v>4</v>
      </c>
      <c r="BO64" s="16" t="str">
        <f t="shared" si="174"/>
        <v>4G</v>
      </c>
      <c r="BP64" s="16"/>
      <c r="BQ64" s="16"/>
      <c r="BR64" s="16">
        <f t="shared" ca="1" si="175"/>
        <v>1</v>
      </c>
      <c r="BS64" s="16">
        <f t="shared" ca="1" si="193"/>
        <v>3</v>
      </c>
      <c r="BT64" s="16" t="str">
        <f t="shared" ca="1" si="194"/>
        <v>Pos. 3 (6)</v>
      </c>
      <c r="BU64" s="16">
        <f t="shared" ca="1" si="176"/>
        <v>0</v>
      </c>
      <c r="BV64" s="16">
        <f t="shared" ca="1" si="177"/>
        <v>3</v>
      </c>
      <c r="BW64" s="16" t="str">
        <f t="shared" ca="1" si="178"/>
        <v>Pos. 3 (4)</v>
      </c>
      <c r="BX64" s="16">
        <f t="shared" ca="1" si="179"/>
        <v>1</v>
      </c>
      <c r="BY64" s="16">
        <f t="shared" ca="1" si="180"/>
        <v>4</v>
      </c>
      <c r="BZ64" s="16" t="str">
        <f t="shared" ca="1" si="181"/>
        <v>Pos. 4 (2)</v>
      </c>
      <c r="CA64" s="16">
        <f t="shared" ca="1" si="182"/>
        <v>11</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39"/>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6</v>
      </c>
      <c r="BN65" s="16">
        <f t="shared" ca="1" si="192"/>
        <v>6</v>
      </c>
      <c r="BO65" s="16" t="str">
        <f t="shared" si="174"/>
        <v>4H</v>
      </c>
      <c r="BP65" s="16"/>
      <c r="BQ65" s="16"/>
      <c r="BR65" s="16">
        <f t="shared" ca="1" si="175"/>
        <v>1</v>
      </c>
      <c r="BS65" s="16">
        <f t="shared" ca="1" si="193"/>
        <v>3</v>
      </c>
      <c r="BT65" s="16" t="str">
        <f t="shared" ca="1" si="194"/>
        <v>Pos. 3 (6)</v>
      </c>
      <c r="BU65" s="16">
        <f t="shared" ca="1" si="176"/>
        <v>0</v>
      </c>
      <c r="BV65" s="16">
        <f t="shared" ca="1" si="177"/>
        <v>3</v>
      </c>
      <c r="BW65" s="16" t="str">
        <f t="shared" ca="1" si="178"/>
        <v>Pos. 3 (4)</v>
      </c>
      <c r="BX65" s="16">
        <f t="shared" ca="1" si="179"/>
        <v>0</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Bosnia y Herzegovina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9</v>
      </c>
      <c r="BT66" s="16" t="str">
        <f t="shared" ca="1" si="194"/>
        <v>Pos. 9 (4)</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0</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9</v>
      </c>
      <c r="BT67" s="16" t="str">
        <f t="shared" ca="1" si="194"/>
        <v>Pos. 9 (4)</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5</v>
      </c>
      <c r="CB67" s="16">
        <f t="shared" ca="1" si="195"/>
        <v>11</v>
      </c>
      <c r="CC67" s="16"/>
      <c r="CD67" s="16">
        <f t="shared" ca="1" si="183"/>
        <v>11</v>
      </c>
      <c r="CE67" s="16">
        <f t="shared" ca="1" si="196"/>
        <v>10</v>
      </c>
      <c r="CF67" s="16">
        <f t="shared" ca="1" si="197"/>
        <v>11</v>
      </c>
      <c r="DJ67" s="16">
        <f t="shared" ca="1" si="184"/>
        <v>9</v>
      </c>
      <c r="DK67" s="16"/>
      <c r="DL67" s="16">
        <f t="shared" ca="1" si="185"/>
        <v>1</v>
      </c>
      <c r="DM67" s="16" t="str">
        <f t="shared" ca="1" si="186"/>
        <v>9.1</v>
      </c>
      <c r="DN67" s="16" cm="1">
        <f t="array" aca="1" ref="DN67" ca="1">OFFSET(Horarios!$P$3,DJ67-1,0,DL67,1)</f>
        <v>9</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4"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3</v>
      </c>
      <c r="BT68" s="16" t="str">
        <f t="shared" ca="1" si="194"/>
        <v>Pos. 3 (6)</v>
      </c>
      <c r="BU68" s="16">
        <f t="shared" ca="1" si="176"/>
        <v>0</v>
      </c>
      <c r="BV68" s="16">
        <f t="shared" ca="1" si="177"/>
        <v>3</v>
      </c>
      <c r="BW68" s="16" t="str">
        <f t="shared" ca="1" si="178"/>
        <v>Pos. 3 (4)</v>
      </c>
      <c r="BX68" s="16">
        <f t="shared" ca="1" si="179"/>
        <v>1</v>
      </c>
      <c r="BY68" s="16">
        <f t="shared" ca="1" si="180"/>
        <v>4</v>
      </c>
      <c r="BZ68" s="16" t="str">
        <f t="shared" ca="1" si="181"/>
        <v>Pos. 4 (2)</v>
      </c>
      <c r="CA68" s="16">
        <f t="shared" ca="1" si="182"/>
        <v>2</v>
      </c>
      <c r="CB68" s="16">
        <f t="shared" ca="1" si="195"/>
        <v>5</v>
      </c>
      <c r="CC68" s="16"/>
      <c r="CD68" s="16">
        <f t="shared" ca="1" si="183"/>
        <v>5</v>
      </c>
      <c r="CE68" s="16">
        <f t="shared" ca="1" si="196"/>
        <v>4</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4"/>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9</v>
      </c>
      <c r="BT69" s="16" t="str">
        <f t="shared" ca="1" si="194"/>
        <v>Pos. 9 (4)</v>
      </c>
      <c r="BU69" s="16">
        <f t="shared" ca="1" si="176"/>
        <v>-1</v>
      </c>
      <c r="BV69" s="16">
        <f t="shared" ca="1" si="177"/>
        <v>9</v>
      </c>
      <c r="BW69" s="16" t="str">
        <f t="shared" ca="1" si="178"/>
        <v>Pos. 9 (2)</v>
      </c>
      <c r="BX69" s="16">
        <f t="shared" ca="1" si="179"/>
        <v>0</v>
      </c>
      <c r="BY69" s="16">
        <f t="shared" ca="1" si="180"/>
        <v>9</v>
      </c>
      <c r="BZ69" s="16" t="str">
        <f t="shared" ca="1" si="181"/>
        <v>Pos. 9 (2)</v>
      </c>
      <c r="CA69" s="16">
        <f t="shared" ca="1" si="182"/>
        <v>4</v>
      </c>
      <c r="CB69" s="16">
        <f ca="1">BY69+COUNTIFS(BZ$58:BZ$69,BZ69,CA$58:CA$69,"&gt;"&amp;CA69)</f>
        <v>10</v>
      </c>
      <c r="CC69" s="16"/>
      <c r="CD69" s="16">
        <f t="shared" ca="1" si="183"/>
        <v>10</v>
      </c>
      <c r="CE69" s="16">
        <f t="shared" ca="1" si="196"/>
        <v>9</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4"/>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4"/>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4"/>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5"/>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0"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0"/>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0"/>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0"/>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0"/>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1"/>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46"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6"/>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6"/>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6"/>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6"/>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7"/>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2"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2"/>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2"/>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2"/>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2"/>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3"/>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48"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48"/>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12">
        <f t="array" aca="1" ref="AK102" ca="1">Ver_flag_visit</f>
        <v>#VALUE!</v>
      </c>
      <c r="AL102" s="79" t="str">
        <f t="shared" ref="AL102:AL113" ca="1" si="297">+IF($H$113&gt;=48,INDEX($BD$58:$BD$69,MATCH(AI102,$BN$58:$BN$69,0)),BB58)</f>
        <v>Escocia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1</v>
      </c>
      <c r="AS102" s="81">
        <f t="shared" ca="1" si="298"/>
        <v>1</v>
      </c>
      <c r="AT102" s="82">
        <f t="shared" ca="1" si="298"/>
        <v>0</v>
      </c>
      <c r="AU102" s="316" t="str">
        <f t="shared" ref="AU102:AU113" ca="1" si="299">IF($H$113=144,INDEX($DL$58:$DL$69,MATCH(AI102,$DP$58:$DP$69,0)),"")</f>
        <v/>
      </c>
      <c r="AV102" s="174" t="str">
        <f t="shared" ref="AV102:AV113" ca="1" si="300">INDEX($BD$58:$BD$69,MATCH(AI102,$BM$58:$BM$69,0))</f>
        <v>Escocia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48"/>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4">
        <f t="array" aca="1" ref="AK103" ca="1">Ver_flag_visit</f>
        <v>#VALUE!</v>
      </c>
      <c r="AL103" s="83" t="str">
        <f t="shared" ca="1" si="297"/>
        <v>Paraguay</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2</v>
      </c>
      <c r="AS103" s="84">
        <f t="shared" ca="1" si="302"/>
        <v>4</v>
      </c>
      <c r="AT103" s="85">
        <f t="shared" ca="1" si="302"/>
        <v>-2</v>
      </c>
      <c r="AU103" s="316" t="str">
        <f t="shared" ca="1" si="299"/>
        <v/>
      </c>
      <c r="AV103" s="174" t="str">
        <f t="shared" ca="1" si="300"/>
        <v>Paraguay</v>
      </c>
      <c r="AW103" s="207"/>
      <c r="AX103" s="162"/>
      <c r="AY103" s="263"/>
      <c r="AZ103" s="265" t="str">
        <f t="shared" ref="AZ103:AZ110" ca="1" si="303">+IF(OR($H$113&gt;=48,$AJ$99=144),BF117&amp;" - "&amp;BG117,"")</f>
        <v>1A - 3H</v>
      </c>
      <c r="BA103" s="168"/>
      <c r="BF103" t="str">
        <f t="shared" ref="BF103:BF110" ca="1" si="304">IFERROR(INDEX($BC$6:$BC$53,MATCH(AL102,$BD$6:$BD$53,0)),"")</f>
        <v>C</v>
      </c>
      <c r="BG103">
        <f t="shared" ref="BG103:BG110" ca="1" si="305">COUNTIF($BF$103:$BF$110,"&lt;="&amp;BF103)</f>
        <v>3</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48"/>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22">
        <f t="array" aca="1" ref="AK104" ca="1">Ver_flag_visit</f>
        <v>#VALUE!</v>
      </c>
      <c r="AL104" s="83" t="str">
        <f t="shared" ca="1" si="297"/>
        <v>Japón</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2</v>
      </c>
      <c r="AS104" s="84">
        <f t="shared" ca="1" si="307"/>
        <v>2</v>
      </c>
      <c r="AT104" s="85">
        <f t="shared" ca="1" si="307"/>
        <v>0</v>
      </c>
      <c r="AU104" s="316" t="str">
        <f t="shared" ca="1" si="299"/>
        <v/>
      </c>
      <c r="AV104" s="174" t="str">
        <f t="shared" ca="1" si="300"/>
        <v>Japón</v>
      </c>
      <c r="AW104" s="207"/>
      <c r="AX104" s="162"/>
      <c r="AY104" s="263"/>
      <c r="AZ104" s="265" t="str">
        <f t="shared" ca="1" si="303"/>
        <v>1B - 3G</v>
      </c>
      <c r="BA104" s="168"/>
      <c r="BF104" t="str">
        <f t="shared" ca="1" si="304"/>
        <v>D</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48"/>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5">
        <f t="array" aca="1" ref="AK105" ca="1">Ver_flag_visit</f>
        <v>#VALUE!</v>
      </c>
      <c r="AL105" s="83" t="str">
        <f t="shared" ca="1" si="297"/>
        <v>Bélgica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Bélgica</v>
      </c>
      <c r="AW105" s="207"/>
      <c r="AX105" s="162"/>
      <c r="AY105" s="263"/>
      <c r="AZ105" s="265" t="str">
        <f t="shared" ca="1" si="303"/>
        <v>1D - 3B</v>
      </c>
      <c r="BA105" s="168"/>
      <c r="BF105" t="str">
        <f t="shared" ca="1" si="304"/>
        <v>F</v>
      </c>
      <c r="BG105">
        <f t="shared" ca="1" si="305"/>
        <v>5</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48"/>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- 3C</v>
      </c>
      <c r="BA106" s="168"/>
      <c r="BF106" t="str">
        <f t="shared" ca="1" si="304"/>
        <v>G</v>
      </c>
      <c r="BG106">
        <f t="shared" ca="1" si="305"/>
        <v>6</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48"/>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9">
        <f t="array" aca="1" ref="AK107" ca="1">Ver_flag_visit</f>
        <v>#VALUE!</v>
      </c>
      <c r="AL107" s="83" t="str">
        <f t="shared" ca="1" si="297"/>
        <v>España</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0</v>
      </c>
      <c r="AS107" s="84">
        <f t="shared" ca="1" si="310"/>
        <v>0</v>
      </c>
      <c r="AT107" s="85">
        <f t="shared" ca="1" si="310"/>
        <v>0</v>
      </c>
      <c r="AU107" s="316" t="str">
        <f t="shared" ca="1" si="299"/>
        <v/>
      </c>
      <c r="AV107" s="174" t="str">
        <f ca="1">INDEX($BD$58:$BD$69,MATCH(AI107,$BM$58:$BM$69,0))</f>
        <v>España</v>
      </c>
      <c r="AW107" s="207"/>
      <c r="AX107" s="162"/>
      <c r="AY107" s="263"/>
      <c r="AZ107" s="265" t="str">
        <f t="shared" ca="1" si="303"/>
        <v>1G - 3A</v>
      </c>
      <c r="BA107" s="168"/>
      <c r="BF107" t="str">
        <f t="shared" ca="1" si="304"/>
        <v>K</v>
      </c>
      <c r="BG107">
        <f t="shared" ca="1" si="305"/>
        <v>8</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48"/>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H</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48"/>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6">
        <f t="array" aca="1" ref="AK109" ca="1">Ver_flag_visit</f>
        <v>#VALUE!</v>
      </c>
      <c r="AL109" s="83" t="str">
        <f t="shared" ca="1" si="297"/>
        <v>Bosnia y Herzegovina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5</v>
      </c>
      <c r="AT109" s="85">
        <f t="shared" ca="1" si="312"/>
        <v>-3</v>
      </c>
      <c r="AU109" s="316" t="str">
        <f t="shared" ca="1" si="299"/>
        <v/>
      </c>
      <c r="AV109" s="174" t="str">
        <f t="shared" ca="1" si="300"/>
        <v>Bosnia y Herzegovina</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48"/>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B</v>
      </c>
      <c r="BG110">
        <f t="shared" ca="1" si="305"/>
        <v>2</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48"/>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48"/>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ABCDFGHK</v>
      </c>
    </row>
    <row r="113" spans="1:59" ht="16" customHeight="1" thickBot="1">
      <c r="A113" s="16" t="s">
        <v>660</v>
      </c>
      <c r="B113" s="16" t="s">
        <v>740</v>
      </c>
      <c r="C113" s="16"/>
      <c r="D113" s="16" t="str">
        <f t="shared" si="289"/>
        <v>W85</v>
      </c>
      <c r="E113" s="16" t="s">
        <v>1</v>
      </c>
      <c r="F113" s="16" t="s">
        <v>733</v>
      </c>
      <c r="G113" s="16" t="s">
        <v>733</v>
      </c>
      <c r="H113" s="16">
        <f ca="1">+IF($AJ$99&lt;&gt;144,SUM(H101:H112),$AJ$99)</f>
        <v>64</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48"/>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48"/>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48"/>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49"/>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0"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0"/>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0"/>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0"/>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18" t="str">
        <f>IF(SUM(COUNTIF(AG4:AG97,0),COUNTIF(AG101:AG156,0)&gt;0),AL148,AL149)</f>
        <v>PORRA INCOMPLETA:</v>
      </c>
      <c r="AK151" s="619"/>
      <c r="AL151" s="619"/>
      <c r="AM151" s="619"/>
      <c r="AN151" s="619"/>
      <c r="AO151" s="619"/>
      <c r="AP151" s="619"/>
      <c r="AQ151" s="619"/>
      <c r="AR151" s="619"/>
      <c r="AS151" s="619"/>
      <c r="AT151" s="619"/>
      <c r="AU151" s="62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1"/>
      <c r="AK152" s="622"/>
      <c r="AL152" s="622"/>
      <c r="AM152" s="622"/>
      <c r="AN152" s="622"/>
      <c r="AO152" s="622"/>
      <c r="AP152" s="622"/>
      <c r="AQ152" s="622"/>
      <c r="AR152" s="622"/>
      <c r="AS152" s="622"/>
      <c r="AT152" s="622"/>
      <c r="AU152" s="62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1"/>
      <c r="AK153" s="622"/>
      <c r="AL153" s="622"/>
      <c r="AM153" s="622"/>
      <c r="AN153" s="622"/>
      <c r="AO153" s="622"/>
      <c r="AP153" s="622"/>
      <c r="AQ153" s="622"/>
      <c r="AR153" s="622"/>
      <c r="AS153" s="622"/>
      <c r="AT153" s="622"/>
      <c r="AU153" s="62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1"/>
      <c r="AK154" s="622"/>
      <c r="AL154" s="622"/>
      <c r="AM154" s="622"/>
      <c r="AN154" s="622"/>
      <c r="AO154" s="622"/>
      <c r="AP154" s="622"/>
      <c r="AQ154" s="622"/>
      <c r="AR154" s="622"/>
      <c r="AS154" s="622"/>
      <c r="AT154" s="622"/>
      <c r="AU154" s="62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0" t="str">
        <f>IF(SUM(COUNTIF(AG4:AG97,0),COUNTIF(AG101:AG156,0)&gt;0),AM148,AM149)</f>
        <v>Aún falta alguna apuesta</v>
      </c>
      <c r="AK155" s="631"/>
      <c r="AL155" s="631"/>
      <c r="AM155" s="631"/>
      <c r="AN155" s="631"/>
      <c r="AO155" s="631"/>
      <c r="AP155" s="631"/>
      <c r="AQ155" s="631"/>
      <c r="AR155" s="631"/>
      <c r="AS155" s="631"/>
      <c r="AT155" s="631"/>
      <c r="AU155" s="63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0"/>
      <c r="AK156" s="631"/>
      <c r="AL156" s="631"/>
      <c r="AM156" s="631"/>
      <c r="AN156" s="631"/>
      <c r="AO156" s="631"/>
      <c r="AP156" s="631"/>
      <c r="AQ156" s="631"/>
      <c r="AR156" s="631"/>
      <c r="AS156" s="631"/>
      <c r="AT156" s="631"/>
      <c r="AU156" s="63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3"/>
      <c r="AK157" s="634"/>
      <c r="AL157" s="634"/>
      <c r="AM157" s="634"/>
      <c r="AN157" s="634"/>
      <c r="AO157" s="634"/>
      <c r="AP157" s="634"/>
      <c r="AQ157" s="634"/>
      <c r="AR157" s="634"/>
      <c r="AS157" s="634"/>
      <c r="AT157" s="634"/>
      <c r="AU157" s="63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1</v>
      </c>
      <c r="E4" s="7">
        <f>WORLDCUP!AD6</f>
        <v>1</v>
      </c>
      <c r="H4" s="7">
        <f>IF(AND(NOT(ISBLANK(WORLDCUP!AC6)),NOT(ISBLANK(WORLDCUP!AD6))),1,0)</f>
        <v>1</v>
      </c>
    </row>
    <row r="5" spans="1:8">
      <c r="A5" s="7">
        <v>4</v>
      </c>
      <c r="B5" s="611" t="str">
        <f ca="1">WORLDCUP!AA7</f>
        <v>México</v>
      </c>
      <c r="C5" t="str">
        <f ca="1">WORLDCUP!AF7</f>
        <v>Corea del Sur</v>
      </c>
      <c r="D5" s="7">
        <f>WORLDCUP!AC7</f>
        <v>1</v>
      </c>
      <c r="E5" s="7">
        <f>WORLDCUP!AD7</f>
        <v>0</v>
      </c>
      <c r="H5" s="7">
        <f>IF(AND(NOT(ISBLANK(WORLDCUP!AC7)),NOT(ISBLANK(WORLDCUP!AD7))),1,0)</f>
        <v>1</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4</v>
      </c>
      <c r="E10" s="7">
        <f>WORLDCUP!AD14</f>
        <v>1</v>
      </c>
      <c r="H10" s="7">
        <f>IF(AND(NOT(ISBLANK(WORLDCUP!AC14)),NOT(ISBLANK(WORLDCUP!AD14))),1,0)</f>
        <v>1</v>
      </c>
    </row>
    <row r="11" spans="1:8">
      <c r="A11" s="7">
        <v>10</v>
      </c>
      <c r="B11" s="611" t="str">
        <f ca="1">WORLDCUP!AA15</f>
        <v>Canadá</v>
      </c>
      <c r="C11" t="str">
        <f ca="1">WORLDCUP!AF15</f>
        <v>Catar</v>
      </c>
      <c r="D11" s="7">
        <f>WORLDCUP!AC15</f>
        <v>6</v>
      </c>
      <c r="E11" s="7">
        <f>WORLDCUP!AD15</f>
        <v>0</v>
      </c>
      <c r="H11" s="7">
        <f>IF(AND(NOT(ISBLANK(WORLDCUP!AC15)),NOT(ISBLANK(WORLDCUP!AD15))),1,0)</f>
        <v>1</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1</v>
      </c>
      <c r="H16" s="7">
        <f>IF(AND(NOT(ISBLANK(WORLDCUP!AC22)),NOT(ISBLANK(WORLDCUP!AD22))),1,0)</f>
        <v>1</v>
      </c>
    </row>
    <row r="17" spans="1:8">
      <c r="A17" s="7">
        <v>16</v>
      </c>
      <c r="B17" s="611" t="str">
        <f ca="1">WORLDCUP!AA23</f>
        <v>Brasil</v>
      </c>
      <c r="C17" t="str">
        <f ca="1">WORLDCUP!AF23</f>
        <v>Haití</v>
      </c>
      <c r="D17" s="7">
        <f>WORLDCUP!AC23</f>
        <v>3</v>
      </c>
      <c r="E17" s="7">
        <f>WORLDCUP!AD23</f>
        <v>0</v>
      </c>
      <c r="H17" s="7">
        <f>IF(AND(NOT(ISBLANK(WORLDCUP!AC23)),NOT(ISBLANK(WORLDCUP!AD23))),1,0)</f>
        <v>1</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2</v>
      </c>
      <c r="E22" s="7">
        <f>WORLDCUP!AD30</f>
        <v>0</v>
      </c>
      <c r="H22" s="7">
        <f>IF(AND(NOT(ISBLANK(WORLDCUP!AC30)),NOT(ISBLANK(WORLDCUP!AD30))),1,0)</f>
        <v>1</v>
      </c>
    </row>
    <row r="23" spans="1:8">
      <c r="A23" s="7">
        <v>22</v>
      </c>
      <c r="B23" s="611" t="str">
        <f ca="1">WORLDCUP!AA31</f>
        <v>Turquía</v>
      </c>
      <c r="C23" t="str">
        <f ca="1">WORLDCUP!AF31</f>
        <v>Paraguay</v>
      </c>
      <c r="D23" s="7">
        <f>WORLDCUP!AC31</f>
        <v>0</v>
      </c>
      <c r="E23" s="7">
        <f>WORLDCUP!AD31</f>
        <v>1</v>
      </c>
      <c r="H23" s="7">
        <f>IF(AND(NOT(ISBLANK(WORLDCUP!AC31)),NOT(ISBLANK(WORLDCUP!AD31))),1,0)</f>
        <v>1</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1</v>
      </c>
      <c r="E63" s="7">
        <f>WORLDCUP!AD85</f>
        <v>3</v>
      </c>
      <c r="H63" s="7">
        <f>IF(AND(NOT(ISBLANK(WORLDCUP!AC85)),NOT(ISBLANK(WORLDCUP!AD85))),1,0)</f>
        <v>1</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1</v>
      </c>
      <c r="E69" s="7">
        <f>WORLDCUP!AD93</f>
        <v>0</v>
      </c>
      <c r="H69" s="7">
        <f>IF(AND(NOT(ISBLANK(WORLDCUP!AC93)),NOT(ISBLANK(WORLDCUP!AD93))),1,0)</f>
        <v>1</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Suiza</v>
      </c>
    </row>
    <row r="120" spans="1:4">
      <c r="A120" s="7">
        <v>1006</v>
      </c>
      <c r="B120" t="s">
        <v>1522</v>
      </c>
      <c r="C120" s="7">
        <v>3</v>
      </c>
      <c r="D120" t="str">
        <f ca="1">WORLDCUP!AL16</f>
        <v>Bosnia y Herzegovina</v>
      </c>
    </row>
    <row r="121" spans="1:4">
      <c r="A121" s="7">
        <v>1007</v>
      </c>
      <c r="B121" t="s">
        <v>1522</v>
      </c>
      <c r="C121" s="7">
        <v>4</v>
      </c>
      <c r="D121" t="str">
        <f ca="1">WORLDCUP!AL17</f>
        <v>Catar</v>
      </c>
    </row>
    <row r="122" spans="1:4">
      <c r="A122" s="7">
        <v>1008</v>
      </c>
      <c r="B122" t="s">
        <v>1523</v>
      </c>
      <c r="C122" s="7">
        <v>1</v>
      </c>
      <c r="D122" t="str">
        <f ca="1">WORLDCUP!AL22</f>
        <v>Brasil</v>
      </c>
    </row>
    <row r="123" spans="1:4">
      <c r="A123" s="7">
        <v>1009</v>
      </c>
      <c r="B123" t="s">
        <v>1523</v>
      </c>
      <c r="C123" s="7">
        <v>2</v>
      </c>
      <c r="D123" t="str">
        <f ca="1">WORLDCUP!AL23</f>
        <v>Marruecos</v>
      </c>
    </row>
    <row r="124" spans="1:4">
      <c r="A124" s="7">
        <v>1010</v>
      </c>
      <c r="B124" t="s">
        <v>1523</v>
      </c>
      <c r="C124" s="7">
        <v>3</v>
      </c>
      <c r="D124" t="str">
        <f ca="1">WORLDCUP!AL24</f>
        <v>Escocia</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Paraguay</v>
      </c>
    </row>
    <row r="129" spans="1:4">
      <c r="A129" s="7">
        <v>1015</v>
      </c>
      <c r="B129" t="s">
        <v>1524</v>
      </c>
      <c r="C129" s="7">
        <v>4</v>
      </c>
      <c r="D129" t="str">
        <f ca="1">WORLDCUP!AL33</f>
        <v>Turquía</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Colombia</v>
      </c>
    </row>
    <row r="155" spans="1:4">
      <c r="A155" s="7">
        <v>1041</v>
      </c>
      <c r="B155" t="s">
        <v>1531</v>
      </c>
      <c r="C155" s="7">
        <v>2</v>
      </c>
      <c r="D155" t="str">
        <f ca="1">WORLDCUP!AL87</f>
        <v>Portugal</v>
      </c>
    </row>
    <row r="156" spans="1:4">
      <c r="A156" s="7">
        <v>1042</v>
      </c>
      <c r="B156" t="s">
        <v>1531</v>
      </c>
      <c r="C156" s="7">
        <v>3</v>
      </c>
      <c r="D156" t="str">
        <f ca="1">WORLDCUP!AL88</f>
        <v>RD Congo</v>
      </c>
    </row>
    <row r="157" spans="1:4">
      <c r="A157" s="7">
        <v>1043</v>
      </c>
      <c r="B157" t="s">
        <v>1531</v>
      </c>
      <c r="C157" s="7">
        <v>4</v>
      </c>
      <c r="D157" t="str">
        <f ca="1">WORLDCUP!AL89</f>
        <v>Uzbekistán</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79" t="str">
        <f>Idiomas!D106</f>
        <v>EL ADMINISTRADOR DE LA PORRA SEGUIRÁ LAS INSTRUCCIONES DE AQUÍ ABAJO</v>
      </c>
      <c r="F1" s="679"/>
      <c r="G1" s="679"/>
      <c r="H1" s="679"/>
      <c r="I1" s="679"/>
      <c r="J1" s="679"/>
      <c r="K1" s="679"/>
      <c r="L1" s="679"/>
      <c r="M1" s="679"/>
      <c r="N1" s="679"/>
    </row>
    <row r="2" spans="1:14" ht="20" customHeight="1" thickBot="1">
      <c r="A2" s="276"/>
      <c r="B2" s="277"/>
      <c r="C2" s="277"/>
      <c r="D2" s="354"/>
      <c r="E2" s="679"/>
      <c r="F2" s="679"/>
      <c r="G2" s="679"/>
      <c r="H2" s="679"/>
      <c r="I2" s="679"/>
      <c r="J2" s="679"/>
      <c r="K2" s="679"/>
      <c r="L2" s="679"/>
      <c r="M2" s="679"/>
      <c r="N2" s="679"/>
    </row>
    <row r="3" spans="1:14" ht="35" customHeight="1" thickBot="1">
      <c r="A3" s="276"/>
      <c r="B3" s="280" t="str">
        <f>HYPERLINK(Idiomas!D10,Idiomas!D9)</f>
        <v>▼ Descargar Excel Administrador Porra ▼</v>
      </c>
      <c r="C3" s="277"/>
      <c r="D3" s="354"/>
      <c r="E3" s="682" t="str">
        <f>Idiomas!D107</f>
        <v>·Si haceis todo el Mundial de golpe, incluido el predictor, copiar de la C5 a la C258 y pegar valores en la plantilla de Administrador.</v>
      </c>
      <c r="F3" s="682"/>
      <c r="G3" s="682"/>
      <c r="H3" s="682"/>
      <c r="I3" s="682"/>
      <c r="J3" s="682"/>
      <c r="K3" s="682"/>
      <c r="L3" s="682"/>
      <c r="M3" s="682"/>
      <c r="N3" s="683"/>
    </row>
    <row r="4" spans="1:14" ht="45" customHeight="1">
      <c r="A4" s="276"/>
      <c r="B4" s="277"/>
      <c r="C4" s="559" t="str">
        <f>Idiomas!D105</f>
        <v>¡No tocar nada, se rellena solo!</v>
      </c>
      <c r="D4" s="354"/>
      <c r="E4" s="681"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1"/>
      <c r="G4" s="681"/>
      <c r="H4" s="681"/>
      <c r="I4" s="681"/>
      <c r="J4" s="681"/>
      <c r="K4" s="681"/>
      <c r="L4" s="681"/>
      <c r="M4" s="681"/>
      <c r="N4" s="363"/>
    </row>
    <row r="5" spans="1:14" ht="19" customHeight="1">
      <c r="A5" s="339"/>
      <c r="B5" s="340" t="str">
        <f>Idiomas!D125</f>
        <v>FASE DE GRUPOS</v>
      </c>
      <c r="C5" s="332" t="str">
        <f>Home!C10</f>
        <v>Nombre</v>
      </c>
      <c r="E5" s="670" t="str">
        <f>Idiomas!D109</f>
        <v>·Si haceis jornada a jornada seguir las instrucciones de cada jornada</v>
      </c>
      <c r="F5" s="670"/>
      <c r="G5" s="670"/>
      <c r="H5" s="670"/>
      <c r="I5" s="670"/>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4" t="str">
        <f>Idiomas!D122</f>
        <v>J1</v>
      </c>
      <c r="E6" s="680" t="str">
        <f>Idiomas!D110</f>
        <v>·Para la primera jornada copiar de la C5 a la C29 y pega valores en la plantilla de administrador. ¡OJO! COPIAR TAMBIÉN de la C253 a la C258.</v>
      </c>
      <c r="F6" s="680"/>
      <c r="G6" s="680"/>
      <c r="H6" s="680"/>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4"/>
      <c r="E7" s="666"/>
      <c r="F7" s="666"/>
      <c r="G7" s="666"/>
      <c r="H7" s="666"/>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4"/>
      <c r="E8" s="666"/>
      <c r="F8" s="666"/>
      <c r="G8" s="666"/>
      <c r="H8" s="666"/>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4"/>
      <c r="E9" s="666"/>
      <c r="F9" s="666"/>
      <c r="G9" s="666"/>
      <c r="H9" s="666"/>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4"/>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4"/>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4"/>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4"/>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4"/>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4"/>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4"/>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4"/>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4"/>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4"/>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4"/>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4"/>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4"/>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4"/>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4"/>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4"/>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4"/>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4"/>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4"/>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5"/>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6" t="str">
        <f>Idiomas!D123</f>
        <v>J2</v>
      </c>
      <c r="E30" s="680" t="str">
        <f>Idiomas!D111</f>
        <v>·Para la segunda jornada copiar de la C30 a la C53 y pega valores en la plantilla de administrador.</v>
      </c>
      <c r="F30" s="680"/>
      <c r="G30" s="680"/>
      <c r="H30" s="680"/>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6"/>
      <c r="E31" s="666"/>
      <c r="F31" s="666"/>
      <c r="G31" s="666"/>
      <c r="H31" s="666"/>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6"/>
      <c r="E32" s="666"/>
      <c r="F32" s="666"/>
      <c r="G32" s="666"/>
      <c r="H32" s="666"/>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6"/>
      <c r="E33" s="666"/>
      <c r="F33" s="666"/>
      <c r="G33" s="666"/>
      <c r="H33" s="666"/>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6"/>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6"/>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6"/>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6"/>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76"/>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76"/>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76"/>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76"/>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6"/>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6"/>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76"/>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6"/>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6"/>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6"/>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6"/>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6"/>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6"/>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6"/>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6"/>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7"/>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5" t="str">
        <f>Idiomas!D124</f>
        <v>J3</v>
      </c>
      <c r="E54" s="680" t="str">
        <f>Idiomas!D112</f>
        <v>·Para la tercera jornada copiar de la C54 a la C161 y pega valores en la plantilla de administrador.</v>
      </c>
      <c r="F54" s="680"/>
      <c r="G54" s="680"/>
      <c r="H54" s="680"/>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5"/>
      <c r="E55" s="666"/>
      <c r="F55" s="666"/>
      <c r="G55" s="666"/>
      <c r="H55" s="666"/>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5"/>
      <c r="E56" s="666"/>
      <c r="F56" s="666"/>
      <c r="G56" s="666"/>
      <c r="H56" s="666"/>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5"/>
      <c r="E57" s="666"/>
      <c r="F57" s="666"/>
      <c r="G57" s="666"/>
      <c r="H57" s="666"/>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5"/>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5"/>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5"/>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5"/>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5"/>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5"/>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5"/>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5"/>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5"/>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5"/>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5"/>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5"/>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5"/>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5"/>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5"/>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5"/>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5"/>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5"/>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5"/>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5"/>
      <c r="E77" s="356"/>
      <c r="F77" s="356"/>
      <c r="G77" s="356"/>
      <c r="H77" s="356"/>
      <c r="I77" s="367"/>
      <c r="J77" s="356"/>
      <c r="K77" s="356"/>
      <c r="L77" s="356"/>
      <c r="M77" s="365"/>
      <c r="N77" s="363"/>
    </row>
    <row r="78" spans="1:14" ht="15" customHeight="1">
      <c r="A78" s="339"/>
      <c r="B78" s="339"/>
      <c r="C78" s="336"/>
      <c r="D78" s="685"/>
      <c r="E78" s="356"/>
      <c r="F78" s="356"/>
      <c r="G78" s="356"/>
      <c r="H78" s="356"/>
      <c r="I78" s="367"/>
      <c r="J78" s="356"/>
      <c r="K78" s="356"/>
      <c r="L78" s="356"/>
      <c r="M78" s="365"/>
      <c r="N78" s="363"/>
    </row>
    <row r="79" spans="1:14" ht="19" customHeight="1">
      <c r="A79" s="339"/>
      <c r="B79" s="344" t="str">
        <f>Idiomas!D126</f>
        <v>POSICIÓN GRUPOS</v>
      </c>
      <c r="C79" s="336"/>
      <c r="D79" s="685"/>
      <c r="E79" s="356"/>
      <c r="F79" s="356"/>
      <c r="G79" s="356"/>
      <c r="H79" s="356"/>
      <c r="I79" s="367"/>
      <c r="J79" s="356"/>
      <c r="K79" s="356"/>
      <c r="L79" s="356"/>
      <c r="M79" s="365"/>
      <c r="N79" s="363"/>
    </row>
    <row r="80" spans="1:14" ht="15" customHeight="1">
      <c r="A80" s="678" t="s">
        <v>0</v>
      </c>
      <c r="B80" s="345" t="str">
        <f>Idiomas!D140</f>
        <v>1º GRUPO A</v>
      </c>
      <c r="C80" s="335" t="str">
        <f ca="1">IF(OR(SUM(WORLDCUP!$AN$6:$AN$9)=12,WORLDCUP!$AJ$99=144),WORLDCUP!AL6,B80)</f>
        <v>1º GRUPO A</v>
      </c>
      <c r="D80" s="685"/>
      <c r="E80" s="356"/>
      <c r="F80" s="356"/>
      <c r="G80" s="356"/>
      <c r="H80" s="356"/>
      <c r="I80" s="367"/>
      <c r="J80" s="356"/>
      <c r="K80" s="356"/>
      <c r="L80" s="356"/>
      <c r="M80" s="365"/>
      <c r="N80" s="363"/>
    </row>
    <row r="81" spans="1:14" ht="15" customHeight="1">
      <c r="A81" s="678"/>
      <c r="B81" s="345" t="str">
        <f>Idiomas!D141</f>
        <v>2º GRUPO A</v>
      </c>
      <c r="C81" s="335" t="str">
        <f ca="1">IF(OR(SUM(WORLDCUP!$AN$6:$AN$9)=12,WORLDCUP!$AJ$99=144),WORLDCUP!AL7,B81)</f>
        <v>2º GRUPO A</v>
      </c>
      <c r="D81" s="685"/>
      <c r="E81" s="356"/>
      <c r="F81" s="356"/>
      <c r="G81" s="356"/>
      <c r="H81" s="356"/>
      <c r="I81" s="367"/>
      <c r="J81" s="356"/>
      <c r="K81" s="356"/>
      <c r="L81" s="356"/>
      <c r="M81" s="365"/>
      <c r="N81" s="363"/>
    </row>
    <row r="82" spans="1:14" ht="15" customHeight="1">
      <c r="A82" s="678"/>
      <c r="B82" s="345" t="str">
        <f>Idiomas!D142</f>
        <v>3º GRUPO A</v>
      </c>
      <c r="C82" s="335" t="str">
        <f ca="1">IF(OR(SUM(WORLDCUP!$AN$6:$AN$9)=12,WORLDCUP!$AJ$99=144),WORLDCUP!AL8,B82)</f>
        <v>3º GRUPO A</v>
      </c>
      <c r="D82" s="685"/>
      <c r="E82" s="356"/>
      <c r="F82" s="356"/>
      <c r="G82" s="356"/>
      <c r="H82" s="356"/>
      <c r="I82" s="367"/>
      <c r="J82" s="356"/>
      <c r="K82" s="356"/>
      <c r="L82" s="356"/>
      <c r="M82" s="365"/>
      <c r="N82" s="363"/>
    </row>
    <row r="83" spans="1:14" ht="15" customHeight="1">
      <c r="A83" s="678"/>
      <c r="B83" s="345" t="str">
        <f>Idiomas!D143</f>
        <v>4º GRUPO A</v>
      </c>
      <c r="C83" s="335" t="str">
        <f ca="1">IF(OR(SUM(WORLDCUP!$AN$6:$AN$9)=12,WORLDCUP!$AJ$99=144),WORLDCUP!AL9,B83)</f>
        <v>4º GRUPO A</v>
      </c>
      <c r="D83" s="685"/>
      <c r="E83" s="356"/>
      <c r="F83" s="356"/>
      <c r="G83" s="356"/>
      <c r="H83" s="356"/>
      <c r="I83" s="367"/>
      <c r="J83" s="356"/>
      <c r="K83" s="356"/>
      <c r="L83" s="356"/>
      <c r="M83" s="365"/>
      <c r="N83" s="363"/>
    </row>
    <row r="84" spans="1:14" ht="15" customHeight="1">
      <c r="A84" s="688" t="s">
        <v>1</v>
      </c>
      <c r="B84" s="343" t="str">
        <f>Idiomas!D144</f>
        <v>1º GRUPO B</v>
      </c>
      <c r="C84" s="335" t="str">
        <f ca="1">IF(OR(SUM(WORLDCUP!$AN$14:$AN$17)=12,WORLDCUP!$AJ$99=144),WORLDCUP!AL14,B84)</f>
        <v>1º GRUPO B</v>
      </c>
      <c r="D84" s="685"/>
      <c r="E84" s="356"/>
      <c r="F84" s="356"/>
      <c r="G84" s="356"/>
      <c r="H84" s="356"/>
      <c r="I84" s="367"/>
      <c r="J84" s="356"/>
      <c r="K84" s="356"/>
      <c r="L84" s="356"/>
      <c r="M84" s="365"/>
      <c r="N84" s="363"/>
    </row>
    <row r="85" spans="1:14" ht="15" customHeight="1">
      <c r="A85" s="688"/>
      <c r="B85" s="343" t="str">
        <f>Idiomas!D145</f>
        <v>2º GRUPO B</v>
      </c>
      <c r="C85" s="335" t="str">
        <f ca="1">IF(OR(SUM(WORLDCUP!$AN$14:$AN$17)=12,WORLDCUP!$AJ$99=144),WORLDCUP!AL15,B85)</f>
        <v>2º GRUPO B</v>
      </c>
      <c r="D85" s="685"/>
      <c r="E85" s="356"/>
      <c r="F85" s="356"/>
      <c r="G85" s="356"/>
      <c r="H85" s="356"/>
      <c r="I85" s="367"/>
      <c r="J85" s="356"/>
      <c r="K85" s="356"/>
      <c r="L85" s="356"/>
      <c r="M85" s="365"/>
      <c r="N85" s="363"/>
    </row>
    <row r="86" spans="1:14" ht="15" customHeight="1">
      <c r="A86" s="688"/>
      <c r="B86" s="343" t="str">
        <f>Idiomas!D146</f>
        <v>3º GRUPO B</v>
      </c>
      <c r="C86" s="335" t="str">
        <f ca="1">IF(OR(SUM(WORLDCUP!$AN$14:$AN$17)=12,WORLDCUP!$AJ$99=144),WORLDCUP!AL16,B86)</f>
        <v>3º GRUPO B</v>
      </c>
      <c r="D86" s="685"/>
      <c r="E86" s="356"/>
      <c r="F86" s="356"/>
      <c r="G86" s="356"/>
      <c r="H86" s="356"/>
      <c r="I86" s="367"/>
      <c r="J86" s="356"/>
      <c r="K86" s="356"/>
      <c r="L86" s="356"/>
      <c r="M86" s="365"/>
      <c r="N86" s="363"/>
    </row>
    <row r="87" spans="1:14" ht="15" customHeight="1">
      <c r="A87" s="688"/>
      <c r="B87" s="343" t="str">
        <f>Idiomas!D147</f>
        <v>4º GRUPO B</v>
      </c>
      <c r="C87" s="335" t="str">
        <f ca="1">IF(OR(SUM(WORLDCUP!$AN$14:$AN$17)=12,WORLDCUP!$AJ$99=144),WORLDCUP!AL17,B87)</f>
        <v>4º GRUPO B</v>
      </c>
      <c r="D87" s="685"/>
      <c r="E87" s="356"/>
      <c r="F87" s="356"/>
      <c r="G87" s="356"/>
      <c r="H87" s="356"/>
      <c r="I87" s="367"/>
      <c r="J87" s="356"/>
      <c r="K87" s="356"/>
      <c r="L87" s="356"/>
      <c r="M87" s="365"/>
      <c r="N87" s="363"/>
    </row>
    <row r="88" spans="1:14" ht="15" customHeight="1">
      <c r="A88" s="678" t="s">
        <v>2</v>
      </c>
      <c r="B88" s="345" t="str">
        <f>Idiomas!D148</f>
        <v>1º GRUPO C</v>
      </c>
      <c r="C88" s="335" t="str">
        <f ca="1">IF(OR(SUM(WORLDCUP!$AN$22:$AN$25)=12,WORLDCUP!$AJ$99=144),WORLDCUP!AL22,B88)</f>
        <v>1º GRUPO C</v>
      </c>
      <c r="D88" s="685"/>
      <c r="E88" s="356"/>
      <c r="F88" s="356"/>
      <c r="G88" s="356"/>
      <c r="H88" s="356"/>
      <c r="I88" s="367"/>
      <c r="J88" s="356"/>
      <c r="K88" s="356"/>
      <c r="L88" s="356"/>
      <c r="M88" s="365"/>
      <c r="N88" s="363"/>
    </row>
    <row r="89" spans="1:14" ht="15" customHeight="1">
      <c r="A89" s="678"/>
      <c r="B89" s="345" t="str">
        <f>Idiomas!D149</f>
        <v>2º GRUPO C</v>
      </c>
      <c r="C89" s="335" t="str">
        <f ca="1">IF(OR(SUM(WORLDCUP!$AN$22:$AN$25)=12,WORLDCUP!$AJ$99=144),WORLDCUP!AL23,B89)</f>
        <v>2º GRUPO C</v>
      </c>
      <c r="D89" s="685"/>
      <c r="E89" s="356"/>
      <c r="F89" s="356"/>
      <c r="G89" s="356"/>
      <c r="H89" s="356"/>
      <c r="I89" s="367"/>
      <c r="J89" s="356"/>
      <c r="K89" s="356"/>
      <c r="L89" s="356"/>
      <c r="M89" s="365"/>
      <c r="N89" s="363"/>
    </row>
    <row r="90" spans="1:14" ht="15" customHeight="1">
      <c r="A90" s="678"/>
      <c r="B90" s="345" t="str">
        <f>Idiomas!D150</f>
        <v>3º GRUPO C</v>
      </c>
      <c r="C90" s="335" t="str">
        <f ca="1">IF(OR(SUM(WORLDCUP!$AN$22:$AN$25)=12,WORLDCUP!$AJ$99=144),WORLDCUP!AL24,B90)</f>
        <v>3º GRUPO C</v>
      </c>
      <c r="D90" s="685"/>
      <c r="E90" s="356"/>
      <c r="F90" s="356"/>
      <c r="G90" s="356"/>
      <c r="H90" s="356"/>
      <c r="I90" s="367"/>
      <c r="J90" s="356"/>
      <c r="K90" s="356"/>
      <c r="L90" s="356"/>
      <c r="M90" s="365"/>
      <c r="N90" s="363"/>
    </row>
    <row r="91" spans="1:14" ht="15" customHeight="1">
      <c r="A91" s="678"/>
      <c r="B91" s="345" t="str">
        <f>Idiomas!D151</f>
        <v>4º GRUPO C</v>
      </c>
      <c r="C91" s="335" t="str">
        <f ca="1">IF(OR(SUM(WORLDCUP!$AN$22:$AN$25)=12,WORLDCUP!$AJ$99=144),WORLDCUP!AL25,B91)</f>
        <v>4º GRUPO C</v>
      </c>
      <c r="D91" s="685"/>
      <c r="E91" s="356"/>
      <c r="F91" s="356"/>
      <c r="G91" s="356"/>
      <c r="H91" s="356"/>
      <c r="I91" s="367"/>
      <c r="J91" s="356"/>
      <c r="K91" s="356"/>
      <c r="L91" s="356"/>
      <c r="M91" s="365"/>
      <c r="N91" s="363"/>
    </row>
    <row r="92" spans="1:14" ht="15" customHeight="1">
      <c r="A92" s="688" t="s">
        <v>74</v>
      </c>
      <c r="B92" s="343" t="str">
        <f>Idiomas!D152</f>
        <v>1º GRUPO D</v>
      </c>
      <c r="C92" s="335" t="str">
        <f ca="1">IF(OR(SUM(WORLDCUP!$AN$30:$AN$33)=12,WORLDCUP!$AJ$99=144),WORLDCUP!AL30,B92)</f>
        <v>1º GRUPO D</v>
      </c>
      <c r="D92" s="685"/>
      <c r="E92" s="356"/>
      <c r="F92" s="356"/>
      <c r="G92" s="356"/>
      <c r="H92" s="356"/>
      <c r="I92" s="367"/>
      <c r="J92" s="356"/>
      <c r="K92" s="356"/>
      <c r="L92" s="356"/>
      <c r="M92" s="365"/>
      <c r="N92" s="363"/>
    </row>
    <row r="93" spans="1:14" ht="15" customHeight="1">
      <c r="A93" s="688"/>
      <c r="B93" s="343" t="str">
        <f>Idiomas!D153</f>
        <v>2º GRUPO D</v>
      </c>
      <c r="C93" s="335" t="str">
        <f ca="1">IF(OR(SUM(WORLDCUP!$AN$30:$AN$33)=12,WORLDCUP!$AJ$99=144),WORLDCUP!AL31,B93)</f>
        <v>2º GRUPO D</v>
      </c>
      <c r="D93" s="685"/>
      <c r="E93" s="356"/>
      <c r="F93" s="356"/>
      <c r="G93" s="356"/>
      <c r="H93" s="356"/>
      <c r="I93" s="367"/>
      <c r="J93" s="356"/>
      <c r="K93" s="356"/>
      <c r="L93" s="356"/>
      <c r="M93" s="365"/>
      <c r="N93" s="363"/>
    </row>
    <row r="94" spans="1:14" ht="15" customHeight="1">
      <c r="A94" s="688"/>
      <c r="B94" s="343" t="str">
        <f>Idiomas!D154</f>
        <v>3º GRUPO D</v>
      </c>
      <c r="C94" s="335" t="str">
        <f ca="1">IF(OR(SUM(WORLDCUP!$AN$30:$AN$33)=12,WORLDCUP!$AJ$99=144),WORLDCUP!AL32,B94)</f>
        <v>3º GRUPO D</v>
      </c>
      <c r="D94" s="685"/>
      <c r="E94" s="356"/>
      <c r="F94" s="356"/>
      <c r="G94" s="356"/>
      <c r="H94" s="356"/>
      <c r="I94" s="367"/>
      <c r="J94" s="356"/>
      <c r="K94" s="356"/>
      <c r="L94" s="356"/>
      <c r="M94" s="365"/>
      <c r="N94" s="363"/>
    </row>
    <row r="95" spans="1:14" ht="15" customHeight="1">
      <c r="A95" s="688"/>
      <c r="B95" s="343" t="str">
        <f>Idiomas!D155</f>
        <v>4º GRUPO D</v>
      </c>
      <c r="C95" s="335" t="str">
        <f ca="1">IF(OR(SUM(WORLDCUP!$AN$30:$AN$33)=12,WORLDCUP!$AJ$99=144),WORLDCUP!AL33,B95)</f>
        <v>4º GRUPO D</v>
      </c>
      <c r="D95" s="685"/>
      <c r="E95" s="356"/>
      <c r="F95" s="356"/>
      <c r="G95" s="356"/>
      <c r="H95" s="356"/>
      <c r="I95" s="367"/>
      <c r="J95" s="356"/>
      <c r="K95" s="356"/>
      <c r="L95" s="356"/>
      <c r="M95" s="365"/>
      <c r="N95" s="363"/>
    </row>
    <row r="96" spans="1:14" ht="15" customHeight="1">
      <c r="A96" s="678" t="s">
        <v>3</v>
      </c>
      <c r="B96" s="345" t="str">
        <f>Idiomas!D156</f>
        <v>1º GRUPO E</v>
      </c>
      <c r="C96" s="335" t="str">
        <f ca="1">IF(OR(SUM(WORLDCUP!$AN$38:$AN$41)=12,WORLDCUP!$AJ$99=144),WORLDCUP!AL38,B96)</f>
        <v>1º GRUPO E</v>
      </c>
      <c r="D96" s="685"/>
      <c r="E96" s="356"/>
      <c r="F96" s="356"/>
      <c r="G96" s="356"/>
      <c r="H96" s="356"/>
      <c r="I96" s="367"/>
      <c r="J96" s="356"/>
      <c r="K96" s="356"/>
      <c r="L96" s="356"/>
      <c r="M96" s="365"/>
      <c r="N96" s="363"/>
    </row>
    <row r="97" spans="1:14" ht="15" customHeight="1">
      <c r="A97" s="678"/>
      <c r="B97" s="345" t="str">
        <f>Idiomas!D157</f>
        <v>2º GRUPO E</v>
      </c>
      <c r="C97" s="335" t="str">
        <f ca="1">IF(OR(SUM(WORLDCUP!$AN$38:$AN$41)=12,WORLDCUP!$AJ$99=144),WORLDCUP!AL39,B97)</f>
        <v>2º GRUPO E</v>
      </c>
      <c r="D97" s="685"/>
      <c r="E97" s="356"/>
      <c r="F97" s="356"/>
      <c r="G97" s="356"/>
      <c r="H97" s="356"/>
      <c r="I97" s="367"/>
      <c r="J97" s="356"/>
      <c r="K97" s="356"/>
      <c r="L97" s="356"/>
      <c r="M97" s="365"/>
      <c r="N97" s="363"/>
    </row>
    <row r="98" spans="1:14" ht="15" customHeight="1">
      <c r="A98" s="678"/>
      <c r="B98" s="345" t="str">
        <f>Idiomas!D158</f>
        <v>3º GRUPO E</v>
      </c>
      <c r="C98" s="335" t="str">
        <f ca="1">IF(OR(SUM(WORLDCUP!$AN$38:$AN$41)=12,WORLDCUP!$AJ$99=144),WORLDCUP!AL40,B98)</f>
        <v>3º GRUPO E</v>
      </c>
      <c r="D98" s="685"/>
      <c r="E98" s="356"/>
      <c r="F98" s="356"/>
      <c r="G98" s="356"/>
      <c r="H98" s="356"/>
      <c r="I98" s="367"/>
      <c r="J98" s="356"/>
      <c r="K98" s="356"/>
      <c r="L98" s="356"/>
      <c r="M98" s="365"/>
      <c r="N98" s="363"/>
    </row>
    <row r="99" spans="1:14" ht="15" customHeight="1">
      <c r="A99" s="678"/>
      <c r="B99" s="345" t="str">
        <f>Idiomas!D159</f>
        <v>4º GRUPO E</v>
      </c>
      <c r="C99" s="335" t="str">
        <f ca="1">IF(OR(SUM(WORLDCUP!$AN$38:$AN$41)=12,WORLDCUP!$AJ$99=144),WORLDCUP!AL41,B99)</f>
        <v>4º GRUPO E</v>
      </c>
      <c r="D99" s="685"/>
      <c r="E99" s="356"/>
      <c r="F99" s="356"/>
      <c r="G99" s="356"/>
      <c r="H99" s="356"/>
      <c r="I99" s="367"/>
      <c r="J99" s="356"/>
      <c r="K99" s="356"/>
      <c r="L99" s="356"/>
      <c r="M99" s="365"/>
      <c r="N99" s="363"/>
    </row>
    <row r="100" spans="1:14" ht="15" customHeight="1">
      <c r="A100" s="688" t="s">
        <v>4</v>
      </c>
      <c r="B100" s="343" t="str">
        <f>Idiomas!D160</f>
        <v>1º GRUPO F</v>
      </c>
      <c r="C100" s="335" t="str">
        <f ca="1">IF(OR(SUM(WORLDCUP!$AN$46:$AN$49)=12,WORLDCUP!$AJ$99=144),WORLDCUP!AL46,B100)</f>
        <v>1º GRUPO F</v>
      </c>
      <c r="D100" s="685"/>
      <c r="E100" s="356"/>
      <c r="F100" s="356"/>
      <c r="G100" s="356"/>
      <c r="H100" s="356"/>
      <c r="I100" s="367"/>
      <c r="J100" s="356"/>
      <c r="K100" s="356"/>
      <c r="L100" s="356"/>
      <c r="M100" s="365"/>
      <c r="N100" s="363"/>
    </row>
    <row r="101" spans="1:14" ht="15" customHeight="1">
      <c r="A101" s="688"/>
      <c r="B101" s="343" t="str">
        <f>Idiomas!D161</f>
        <v>2º GRUPO F</v>
      </c>
      <c r="C101" s="335" t="str">
        <f ca="1">IF(OR(SUM(WORLDCUP!$AN$46:$AN$49)=12,WORLDCUP!$AJ$99=144),WORLDCUP!AL47,B101)</f>
        <v>2º GRUPO F</v>
      </c>
      <c r="D101" s="685"/>
      <c r="E101" s="356"/>
      <c r="F101" s="356"/>
      <c r="G101" s="356"/>
      <c r="H101" s="356"/>
      <c r="I101" s="367"/>
      <c r="J101" s="356"/>
      <c r="K101" s="356"/>
      <c r="L101" s="356"/>
      <c r="M101" s="365"/>
      <c r="N101" s="363"/>
    </row>
    <row r="102" spans="1:14" ht="15" customHeight="1">
      <c r="A102" s="688"/>
      <c r="B102" s="343" t="str">
        <f>Idiomas!D162</f>
        <v>3º GRUPO F</v>
      </c>
      <c r="C102" s="335" t="str">
        <f ca="1">IF(OR(SUM(WORLDCUP!$AN$46:$AN$49)=12,WORLDCUP!$AJ$99=144),WORLDCUP!AL48,B102)</f>
        <v>3º GRUPO F</v>
      </c>
      <c r="D102" s="685"/>
      <c r="E102" s="356"/>
      <c r="F102" s="356"/>
      <c r="G102" s="356"/>
      <c r="H102" s="356"/>
      <c r="I102" s="367"/>
      <c r="J102" s="356"/>
      <c r="K102" s="356"/>
      <c r="L102" s="356"/>
      <c r="M102" s="365"/>
      <c r="N102" s="363"/>
    </row>
    <row r="103" spans="1:14" ht="15" customHeight="1">
      <c r="A103" s="688"/>
      <c r="B103" s="343" t="str">
        <f>Idiomas!D163</f>
        <v>4º GRUPO F</v>
      </c>
      <c r="C103" s="335" t="str">
        <f ca="1">IF(OR(SUM(WORLDCUP!$AN$46:$AN$49)=12,WORLDCUP!$AJ$99=144),WORLDCUP!AL49,B103)</f>
        <v>4º GRUPO F</v>
      </c>
      <c r="D103" s="685"/>
      <c r="E103" s="356"/>
      <c r="F103" s="356"/>
      <c r="G103" s="356"/>
      <c r="H103" s="356"/>
      <c r="I103" s="367"/>
      <c r="J103" s="356"/>
      <c r="K103" s="356"/>
      <c r="L103" s="356"/>
      <c r="M103" s="365"/>
      <c r="N103" s="363"/>
    </row>
    <row r="104" spans="1:14" ht="15" customHeight="1">
      <c r="A104" s="678" t="s">
        <v>6</v>
      </c>
      <c r="B104" s="345" t="str">
        <f>Idiomas!D164</f>
        <v>1º GRUPO G</v>
      </c>
      <c r="C104" s="335" t="str">
        <f ca="1">IF(OR(SUM(WORLDCUP!$AN$54:$AN$57)=12,WORLDCUP!$AJ$99=144),WORLDCUP!AL54,B104)</f>
        <v>1º GRUPO G</v>
      </c>
      <c r="D104" s="685"/>
      <c r="E104" s="356"/>
      <c r="F104" s="356"/>
      <c r="G104" s="356"/>
      <c r="H104" s="356"/>
      <c r="I104" s="367"/>
      <c r="J104" s="356"/>
      <c r="K104" s="356"/>
      <c r="L104" s="356"/>
      <c r="M104" s="365"/>
      <c r="N104" s="363"/>
    </row>
    <row r="105" spans="1:14" ht="15" customHeight="1">
      <c r="A105" s="678"/>
      <c r="B105" s="345" t="str">
        <f>Idiomas!D165</f>
        <v>2º GRUPO G</v>
      </c>
      <c r="C105" s="335" t="str">
        <f ca="1">IF(OR(SUM(WORLDCUP!$AN$54:$AN$57)=12,WORLDCUP!$AJ$99=144),WORLDCUP!AL55,B105)</f>
        <v>2º GRUPO G</v>
      </c>
      <c r="D105" s="685"/>
      <c r="E105" s="356"/>
      <c r="F105" s="356"/>
      <c r="G105" s="356"/>
      <c r="H105" s="356"/>
      <c r="I105" s="367"/>
      <c r="J105" s="356"/>
      <c r="K105" s="356"/>
      <c r="L105" s="356"/>
      <c r="M105" s="365"/>
      <c r="N105" s="363"/>
    </row>
    <row r="106" spans="1:14" ht="15" customHeight="1">
      <c r="A106" s="678"/>
      <c r="B106" s="345" t="str">
        <f>Idiomas!D166</f>
        <v>3º GRUPO G</v>
      </c>
      <c r="C106" s="335" t="str">
        <f ca="1">IF(OR(SUM(WORLDCUP!$AN$54:$AN$57)=12,WORLDCUP!$AJ$99=144),WORLDCUP!AL56,B106)</f>
        <v>3º GRUPO G</v>
      </c>
      <c r="D106" s="685"/>
      <c r="E106" s="356"/>
      <c r="F106" s="356"/>
      <c r="G106" s="356"/>
      <c r="H106" s="356"/>
      <c r="I106" s="367"/>
      <c r="J106" s="356"/>
      <c r="K106" s="356"/>
      <c r="L106" s="356"/>
      <c r="M106" s="365"/>
      <c r="N106" s="363"/>
    </row>
    <row r="107" spans="1:14" ht="15" customHeight="1">
      <c r="A107" s="678"/>
      <c r="B107" s="345" t="str">
        <f>Idiomas!D167</f>
        <v>4º GRUPO G</v>
      </c>
      <c r="C107" s="335" t="str">
        <f ca="1">IF(OR(SUM(WORLDCUP!$AN$54:$AN$57)=12,WORLDCUP!$AJ$99=144),WORLDCUP!AL57,B107)</f>
        <v>4º GRUPO G</v>
      </c>
      <c r="D107" s="685"/>
      <c r="E107" s="356"/>
      <c r="F107" s="356"/>
      <c r="G107" s="356"/>
      <c r="H107" s="356"/>
      <c r="I107" s="367"/>
      <c r="J107" s="356"/>
      <c r="K107" s="356"/>
      <c r="L107" s="356"/>
      <c r="M107" s="365"/>
      <c r="N107" s="363"/>
    </row>
    <row r="108" spans="1:14" ht="15" customHeight="1">
      <c r="A108" s="688" t="s">
        <v>447</v>
      </c>
      <c r="B108" s="343" t="str">
        <f>Idiomas!D168</f>
        <v>1º GRUPO H</v>
      </c>
      <c r="C108" s="335" t="str">
        <f ca="1">IF(OR(SUM(WORLDCUP!$AN$62:$AN$65)=12,WORLDCUP!$AJ$99=144),WORLDCUP!AL62,B108)</f>
        <v>1º GRUPO H</v>
      </c>
      <c r="D108" s="685"/>
      <c r="E108" s="356"/>
      <c r="F108" s="356"/>
      <c r="G108" s="356"/>
      <c r="H108" s="356"/>
      <c r="I108" s="367"/>
      <c r="J108" s="356"/>
      <c r="K108" s="356"/>
      <c r="L108" s="356"/>
      <c r="M108" s="365"/>
      <c r="N108" s="363"/>
    </row>
    <row r="109" spans="1:14" ht="15" customHeight="1">
      <c r="A109" s="688"/>
      <c r="B109" s="343" t="str">
        <f>Idiomas!D169</f>
        <v>2º GRUPO H</v>
      </c>
      <c r="C109" s="335" t="str">
        <f ca="1">IF(OR(SUM(WORLDCUP!$AN$62:$AN$65)=12,WORLDCUP!$AJ$99=144),WORLDCUP!AL63,B109)</f>
        <v>2º GRUPO H</v>
      </c>
      <c r="D109" s="685"/>
      <c r="E109" s="356"/>
      <c r="F109" s="356"/>
      <c r="G109" s="356"/>
      <c r="H109" s="356"/>
      <c r="I109" s="367"/>
      <c r="J109" s="356"/>
      <c r="K109" s="356"/>
      <c r="L109" s="356"/>
      <c r="M109" s="365"/>
      <c r="N109" s="363"/>
    </row>
    <row r="110" spans="1:14" ht="15" customHeight="1">
      <c r="A110" s="688"/>
      <c r="B110" s="343" t="str">
        <f>Idiomas!D170</f>
        <v>3º GRUPO H</v>
      </c>
      <c r="C110" s="335" t="str">
        <f ca="1">IF(OR(SUM(WORLDCUP!$AN$62:$AN$65)=12,WORLDCUP!$AJ$99=144),WORLDCUP!AL64,B110)</f>
        <v>3º GRUPO H</v>
      </c>
      <c r="D110" s="685"/>
      <c r="E110" s="356"/>
      <c r="F110" s="356"/>
      <c r="G110" s="356"/>
      <c r="H110" s="356"/>
      <c r="I110" s="367"/>
      <c r="J110" s="356"/>
      <c r="K110" s="356"/>
      <c r="L110" s="356"/>
      <c r="M110" s="365"/>
      <c r="N110" s="363"/>
    </row>
    <row r="111" spans="1:14" ht="15" customHeight="1">
      <c r="A111" s="688"/>
      <c r="B111" s="343" t="str">
        <f>Idiomas!D171</f>
        <v>4º GRUPO H</v>
      </c>
      <c r="C111" s="335" t="str">
        <f ca="1">IF(OR(SUM(WORLDCUP!$AN$62:$AN$65)=12,WORLDCUP!$AJ$99=144),WORLDCUP!AL65,B111)</f>
        <v>4º GRUPO H</v>
      </c>
      <c r="D111" s="685"/>
      <c r="E111" s="356"/>
      <c r="F111" s="356"/>
      <c r="G111" s="356"/>
      <c r="H111" s="356"/>
      <c r="I111" s="367"/>
      <c r="J111" s="356"/>
      <c r="K111" s="356"/>
      <c r="L111" s="356"/>
      <c r="M111" s="365"/>
      <c r="N111" s="363"/>
    </row>
    <row r="112" spans="1:14" ht="15" customHeight="1">
      <c r="A112" s="678" t="s">
        <v>448</v>
      </c>
      <c r="B112" s="345" t="str">
        <f>Idiomas!D172</f>
        <v>1º GRUPO I</v>
      </c>
      <c r="C112" s="335" t="str">
        <f ca="1">IF(OR(SUM(WORLDCUP!$AN$70:$AN$73)=12,WORLDCUP!$AJ$99=144),WORLDCUP!AL70,B112)</f>
        <v>1º GRUPO I</v>
      </c>
      <c r="D112" s="685"/>
      <c r="E112" s="356"/>
      <c r="F112" s="356"/>
      <c r="G112" s="356"/>
      <c r="H112" s="356"/>
      <c r="I112" s="367"/>
      <c r="J112" s="356"/>
      <c r="K112" s="356"/>
      <c r="L112" s="356"/>
      <c r="M112" s="365"/>
      <c r="N112" s="363"/>
    </row>
    <row r="113" spans="1:14" ht="15" customHeight="1">
      <c r="A113" s="678"/>
      <c r="B113" s="345" t="str">
        <f>Idiomas!D173</f>
        <v>2º GRUPO I</v>
      </c>
      <c r="C113" s="335" t="str">
        <f ca="1">IF(OR(SUM(WORLDCUP!$AN$70:$AN$73)=12,WORLDCUP!$AJ$99=144),WORLDCUP!AL71,B113)</f>
        <v>2º GRUPO I</v>
      </c>
      <c r="D113" s="685"/>
      <c r="E113" s="356"/>
      <c r="F113" s="356"/>
      <c r="G113" s="356"/>
      <c r="H113" s="356"/>
      <c r="I113" s="367"/>
      <c r="J113" s="356"/>
      <c r="K113" s="356"/>
      <c r="L113" s="356"/>
      <c r="M113" s="365"/>
      <c r="N113" s="363"/>
    </row>
    <row r="114" spans="1:14" ht="15" customHeight="1">
      <c r="A114" s="678"/>
      <c r="B114" s="345" t="str">
        <f>Idiomas!D174</f>
        <v>3º GRUPO I</v>
      </c>
      <c r="C114" s="335" t="str">
        <f ca="1">IF(OR(SUM(WORLDCUP!$AN$70:$AN$73)=12,WORLDCUP!$AJ$99=144),WORLDCUP!AL72,B114)</f>
        <v>3º GRUPO I</v>
      </c>
      <c r="D114" s="685"/>
      <c r="E114" s="356"/>
      <c r="F114" s="356"/>
      <c r="G114" s="356"/>
      <c r="H114" s="356"/>
      <c r="I114" s="367"/>
      <c r="J114" s="356"/>
      <c r="K114" s="356"/>
      <c r="L114" s="356"/>
      <c r="M114" s="365"/>
      <c r="N114" s="363"/>
    </row>
    <row r="115" spans="1:14" ht="15" customHeight="1">
      <c r="A115" s="678"/>
      <c r="B115" s="345" t="str">
        <f>Idiomas!D175</f>
        <v>4º GRUPO I</v>
      </c>
      <c r="C115" s="335" t="str">
        <f ca="1">IF(OR(SUM(WORLDCUP!$AN$70:$AN$73)=12,WORLDCUP!$AJ$99=144),WORLDCUP!AL73,B115)</f>
        <v>4º GRUPO I</v>
      </c>
      <c r="D115" s="685"/>
      <c r="E115" s="356"/>
      <c r="F115" s="356"/>
      <c r="G115" s="356"/>
      <c r="H115" s="356"/>
      <c r="I115" s="367"/>
      <c r="J115" s="356"/>
      <c r="K115" s="356"/>
      <c r="L115" s="356"/>
      <c r="M115" s="365"/>
      <c r="N115" s="363"/>
    </row>
    <row r="116" spans="1:14" ht="15" customHeight="1">
      <c r="A116" s="688" t="s">
        <v>5</v>
      </c>
      <c r="B116" s="343" t="str">
        <f>Idiomas!D176</f>
        <v>1º GRUPO J</v>
      </c>
      <c r="C116" s="335" t="str">
        <f ca="1">IF(OR(SUM(WORLDCUP!$AN$78:$AN$81)=12,WORLDCUP!$AJ$99=144),WORLDCUP!AL78,B116)</f>
        <v>1º GRUPO J</v>
      </c>
      <c r="D116" s="685"/>
      <c r="E116" s="356"/>
      <c r="F116" s="356"/>
      <c r="G116" s="356"/>
      <c r="H116" s="356"/>
      <c r="I116" s="367"/>
      <c r="J116" s="356"/>
      <c r="K116" s="356"/>
      <c r="L116" s="356"/>
      <c r="M116" s="365"/>
      <c r="N116" s="363"/>
    </row>
    <row r="117" spans="1:14" ht="15" customHeight="1">
      <c r="A117" s="688"/>
      <c r="B117" s="343" t="str">
        <f>Idiomas!D177</f>
        <v>2º GRUPO J</v>
      </c>
      <c r="C117" s="335" t="str">
        <f ca="1">IF(OR(SUM(WORLDCUP!$AN$78:$AN$81)=12,WORLDCUP!$AJ$99=144),WORLDCUP!AL79,B117)</f>
        <v>2º GRUPO J</v>
      </c>
      <c r="D117" s="685"/>
      <c r="E117" s="356"/>
      <c r="F117" s="356"/>
      <c r="G117" s="356"/>
      <c r="H117" s="356"/>
      <c r="I117" s="367"/>
      <c r="J117" s="356"/>
      <c r="K117" s="356"/>
      <c r="L117" s="356"/>
      <c r="M117" s="365"/>
      <c r="N117" s="363"/>
    </row>
    <row r="118" spans="1:14" ht="15" customHeight="1">
      <c r="A118" s="688"/>
      <c r="B118" s="343" t="str">
        <f>Idiomas!D178</f>
        <v>3º GRUPO J</v>
      </c>
      <c r="C118" s="335" t="str">
        <f ca="1">IF(OR(SUM(WORLDCUP!$AN$78:$AN$81)=12,WORLDCUP!$AJ$99=144),WORLDCUP!AL80,B118)</f>
        <v>3º GRUPO J</v>
      </c>
      <c r="D118" s="685"/>
      <c r="E118" s="356"/>
      <c r="F118" s="356"/>
      <c r="G118" s="356"/>
      <c r="H118" s="356"/>
      <c r="I118" s="367"/>
      <c r="J118" s="356"/>
      <c r="K118" s="356"/>
      <c r="L118" s="356"/>
      <c r="M118" s="365"/>
      <c r="N118" s="363"/>
    </row>
    <row r="119" spans="1:14" ht="15" customHeight="1">
      <c r="A119" s="688"/>
      <c r="B119" s="343" t="str">
        <f>Idiomas!D179</f>
        <v>4º GRUPO J</v>
      </c>
      <c r="C119" s="335" t="str">
        <f ca="1">IF(OR(SUM(WORLDCUP!$AN$78:$AN$81)=12,WORLDCUP!$AJ$99=144),WORLDCUP!AL81,B119)</f>
        <v>4º GRUPO J</v>
      </c>
      <c r="D119" s="685"/>
      <c r="E119" s="356"/>
      <c r="F119" s="356"/>
      <c r="G119" s="356"/>
      <c r="H119" s="356"/>
      <c r="I119" s="367"/>
      <c r="J119" s="356"/>
      <c r="K119" s="356"/>
      <c r="L119" s="356"/>
      <c r="M119" s="365"/>
      <c r="N119" s="363"/>
    </row>
    <row r="120" spans="1:14" ht="15" customHeight="1">
      <c r="A120" s="678" t="s">
        <v>449</v>
      </c>
      <c r="B120" s="345" t="str">
        <f>Idiomas!D180</f>
        <v>1º GRUPO K</v>
      </c>
      <c r="C120" s="335" t="str">
        <f ca="1">IF(OR(SUM(WORLDCUP!$AN$86:$AN$89)=12,WORLDCUP!$AJ$99=144),WORLDCUP!AL86,B120)</f>
        <v>1º GRUPO K</v>
      </c>
      <c r="D120" s="685"/>
      <c r="E120" s="356"/>
      <c r="F120" s="356"/>
      <c r="G120" s="356"/>
      <c r="H120" s="356"/>
      <c r="I120" s="367"/>
      <c r="J120" s="356"/>
      <c r="K120" s="356"/>
      <c r="L120" s="356"/>
      <c r="M120" s="365"/>
      <c r="N120" s="363"/>
    </row>
    <row r="121" spans="1:14" ht="15" customHeight="1">
      <c r="A121" s="678"/>
      <c r="B121" s="345" t="str">
        <f>Idiomas!D181</f>
        <v>2º GRUPO K</v>
      </c>
      <c r="C121" s="335" t="str">
        <f ca="1">IF(OR(SUM(WORLDCUP!$AN$86:$AN$89)=12,WORLDCUP!$AJ$99=144),WORLDCUP!AL87,B121)</f>
        <v>2º GRUPO K</v>
      </c>
      <c r="D121" s="685"/>
      <c r="E121" s="356"/>
      <c r="F121" s="356"/>
      <c r="G121" s="356"/>
      <c r="H121" s="356"/>
      <c r="I121" s="367"/>
      <c r="J121" s="356"/>
      <c r="K121" s="356"/>
      <c r="L121" s="356"/>
      <c r="M121" s="365"/>
      <c r="N121" s="363"/>
    </row>
    <row r="122" spans="1:14" ht="15" customHeight="1">
      <c r="A122" s="678"/>
      <c r="B122" s="345" t="str">
        <f>Idiomas!D182</f>
        <v>3º GRUPO K</v>
      </c>
      <c r="C122" s="335" t="str">
        <f ca="1">IF(OR(SUM(WORLDCUP!$AN$86:$AN$89)=12,WORLDCUP!$AJ$99=144),WORLDCUP!AL88,B122)</f>
        <v>3º GRUPO K</v>
      </c>
      <c r="D122" s="685"/>
      <c r="E122" s="356"/>
      <c r="F122" s="356"/>
      <c r="G122" s="356"/>
      <c r="H122" s="356"/>
      <c r="I122" s="367"/>
      <c r="J122" s="356"/>
      <c r="K122" s="356"/>
      <c r="L122" s="356"/>
      <c r="M122" s="365"/>
      <c r="N122" s="363"/>
    </row>
    <row r="123" spans="1:14" ht="15" customHeight="1">
      <c r="A123" s="678"/>
      <c r="B123" s="345" t="str">
        <f>Idiomas!D183</f>
        <v>4º GRUPO K</v>
      </c>
      <c r="C123" s="335" t="str">
        <f ca="1">IF(OR(SUM(WORLDCUP!$AN$86:$AN$89)=12,WORLDCUP!$AJ$99=144),WORLDCUP!AL89,B123)</f>
        <v>4º GRUPO K</v>
      </c>
      <c r="D123" s="685"/>
      <c r="E123" s="356"/>
      <c r="F123" s="356"/>
      <c r="G123" s="356"/>
      <c r="H123" s="356"/>
      <c r="I123" s="367"/>
      <c r="J123" s="356"/>
      <c r="K123" s="356"/>
      <c r="L123" s="356"/>
      <c r="M123" s="365"/>
      <c r="N123" s="363"/>
    </row>
    <row r="124" spans="1:14" ht="15" customHeight="1">
      <c r="A124" s="688" t="s">
        <v>247</v>
      </c>
      <c r="B124" s="343" t="str">
        <f>Idiomas!D184</f>
        <v>1º GRUPO L</v>
      </c>
      <c r="C124" s="335" t="str">
        <f ca="1">IF(OR(SUM(WORLDCUP!$AN$94:$AN$97)=12,WORLDCUP!$AJ$99=144),WORLDCUP!AL94,B124)</f>
        <v>1º GRUPO L</v>
      </c>
      <c r="D124" s="685"/>
      <c r="E124" s="356"/>
      <c r="F124" s="356"/>
      <c r="G124" s="356"/>
      <c r="H124" s="356"/>
      <c r="I124" s="367"/>
      <c r="J124" s="356"/>
      <c r="K124" s="356"/>
      <c r="L124" s="356"/>
      <c r="M124" s="365"/>
      <c r="N124" s="363"/>
    </row>
    <row r="125" spans="1:14" ht="15" customHeight="1">
      <c r="A125" s="688"/>
      <c r="B125" s="343" t="str">
        <f>Idiomas!D185</f>
        <v>2º GRUPO L</v>
      </c>
      <c r="C125" s="335" t="str">
        <f ca="1">IF(OR(SUM(WORLDCUP!$AN$94:$AN$97)=12,WORLDCUP!$AJ$99=144),WORLDCUP!AL95,B125)</f>
        <v>2º GRUPO L</v>
      </c>
      <c r="D125" s="685"/>
      <c r="E125" s="356"/>
      <c r="F125" s="356"/>
      <c r="G125" s="356"/>
      <c r="H125" s="356"/>
      <c r="I125" s="367"/>
      <c r="J125" s="356"/>
      <c r="K125" s="356"/>
      <c r="L125" s="356"/>
      <c r="M125" s="365"/>
      <c r="N125" s="363"/>
    </row>
    <row r="126" spans="1:14" ht="15" customHeight="1">
      <c r="A126" s="688"/>
      <c r="B126" s="343" t="str">
        <f>Idiomas!D186</f>
        <v>3º GRUPO L</v>
      </c>
      <c r="C126" s="335" t="str">
        <f ca="1">IF(OR(SUM(WORLDCUP!$AN$94:$AN$97)=12,WORLDCUP!$AJ$99=144),WORLDCUP!AL96,B126)</f>
        <v>3º GRUPO L</v>
      </c>
      <c r="D126" s="685"/>
      <c r="E126" s="356"/>
      <c r="F126" s="356"/>
      <c r="G126" s="356"/>
      <c r="H126" s="356"/>
      <c r="I126" s="367"/>
      <c r="J126" s="356"/>
      <c r="K126" s="356"/>
      <c r="L126" s="356"/>
      <c r="M126" s="365"/>
      <c r="N126" s="363"/>
    </row>
    <row r="127" spans="1:14" ht="15" customHeight="1">
      <c r="A127" s="688"/>
      <c r="B127" s="343" t="str">
        <f>Idiomas!D187</f>
        <v>4º GRUPO L</v>
      </c>
      <c r="C127" s="335" t="str">
        <f ca="1">IF(OR(SUM(WORLDCUP!$AN$94:$AN$97)=12,WORLDCUP!$AJ$99=144),WORLDCUP!AL97,B127)</f>
        <v>4º GRUPO L</v>
      </c>
      <c r="D127" s="685"/>
      <c r="E127" s="356"/>
      <c r="F127" s="356"/>
      <c r="G127" s="356"/>
      <c r="H127" s="356"/>
      <c r="I127" s="367"/>
      <c r="J127" s="356"/>
      <c r="K127" s="356"/>
      <c r="L127" s="356"/>
      <c r="M127" s="365"/>
      <c r="N127" s="363"/>
    </row>
    <row r="128" spans="1:14" ht="15" customHeight="1">
      <c r="A128" s="339"/>
      <c r="B128" s="339"/>
      <c r="C128" s="336"/>
      <c r="D128" s="685"/>
      <c r="E128" s="356"/>
      <c r="F128" s="356"/>
      <c r="G128" s="356"/>
      <c r="H128" s="356"/>
      <c r="I128" s="367"/>
      <c r="J128" s="356"/>
      <c r="K128" s="356"/>
      <c r="L128" s="356"/>
      <c r="M128" s="365"/>
      <c r="N128" s="363"/>
    </row>
    <row r="129" spans="1:14" ht="19" customHeight="1">
      <c r="A129" s="339"/>
      <c r="B129" s="344" t="str">
        <f>Idiomas!D127</f>
        <v>CLASIFICADOS PARA DIECISEISAVOS</v>
      </c>
      <c r="C129" s="336"/>
      <c r="D129" s="685"/>
      <c r="E129" s="356"/>
      <c r="F129" s="356"/>
      <c r="G129" s="356"/>
      <c r="H129" s="356"/>
      <c r="I129" s="367"/>
      <c r="J129" s="356"/>
      <c r="K129" s="356"/>
      <c r="L129" s="356"/>
      <c r="M129" s="365"/>
      <c r="N129" s="363"/>
    </row>
    <row r="130" spans="1:14" ht="15" customHeight="1">
      <c r="A130" s="684" t="s">
        <v>493</v>
      </c>
      <c r="B130" s="346" t="str">
        <f>Idiomas!$D$188</f>
        <v>Dieciseisavofinalista</v>
      </c>
      <c r="C130" s="335" t="str">
        <f ca="1">WORLDCUP!AA101</f>
        <v>2A</v>
      </c>
      <c r="D130" s="685"/>
      <c r="E130" s="356"/>
      <c r="F130" s="356"/>
      <c r="G130" s="356"/>
      <c r="H130" s="356"/>
      <c r="I130" s="367"/>
      <c r="J130" s="356"/>
      <c r="K130" s="356"/>
      <c r="L130" s="356"/>
      <c r="M130" s="365"/>
      <c r="N130" s="363"/>
    </row>
    <row r="131" spans="1:14" ht="15" customHeight="1">
      <c r="A131" s="684"/>
      <c r="B131" s="346" t="str">
        <f>B130</f>
        <v>Dieciseisavofinalista</v>
      </c>
      <c r="C131" s="335" t="str">
        <f ca="1">WORLDCUP!AA102</f>
        <v>1C</v>
      </c>
      <c r="D131" s="685"/>
      <c r="E131" s="356"/>
      <c r="F131" s="356"/>
      <c r="G131" s="356"/>
      <c r="H131" s="356"/>
      <c r="I131" s="367"/>
      <c r="J131" s="356"/>
      <c r="K131" s="356"/>
      <c r="L131" s="356"/>
      <c r="M131" s="365"/>
      <c r="N131" s="363"/>
    </row>
    <row r="132" spans="1:14" ht="15" customHeight="1">
      <c r="A132" s="684"/>
      <c r="B132" s="346" t="str">
        <f t="shared" ref="B132:B145" si="0">B131</f>
        <v>Dieciseisavofinalista</v>
      </c>
      <c r="C132" s="335" t="str">
        <f ca="1">WORLDCUP!AA103</f>
        <v>1E</v>
      </c>
      <c r="D132" s="685"/>
      <c r="E132" s="356"/>
      <c r="F132" s="356"/>
      <c r="G132" s="356"/>
      <c r="H132" s="356"/>
      <c r="I132" s="367"/>
      <c r="J132" s="356"/>
      <c r="K132" s="356"/>
      <c r="L132" s="356"/>
      <c r="M132" s="365"/>
      <c r="N132" s="363"/>
    </row>
    <row r="133" spans="1:14" ht="15" customHeight="1">
      <c r="A133" s="684"/>
      <c r="B133" s="346" t="str">
        <f t="shared" si="0"/>
        <v>Dieciseisavofinalista</v>
      </c>
      <c r="C133" s="335" t="str">
        <f ca="1">WORLDCUP!AA104</f>
        <v>1F</v>
      </c>
      <c r="D133" s="685"/>
      <c r="E133" s="356"/>
      <c r="F133" s="356"/>
      <c r="G133" s="356"/>
      <c r="H133" s="356"/>
      <c r="I133" s="367"/>
      <c r="J133" s="356"/>
      <c r="K133" s="356"/>
      <c r="L133" s="356"/>
      <c r="M133" s="365"/>
      <c r="N133" s="363"/>
    </row>
    <row r="134" spans="1:14" ht="15" customHeight="1">
      <c r="A134" s="684"/>
      <c r="B134" s="346" t="str">
        <f t="shared" si="0"/>
        <v>Dieciseisavofinalista</v>
      </c>
      <c r="C134" s="335" t="str">
        <f ca="1">WORLDCUP!AA105</f>
        <v>2E</v>
      </c>
      <c r="D134" s="685"/>
      <c r="E134" s="356"/>
      <c r="F134" s="356"/>
      <c r="G134" s="356"/>
      <c r="H134" s="356"/>
      <c r="I134" s="367"/>
      <c r="J134" s="356"/>
      <c r="K134" s="356"/>
      <c r="L134" s="356"/>
      <c r="M134" s="365"/>
      <c r="N134" s="363"/>
    </row>
    <row r="135" spans="1:14" ht="15" customHeight="1">
      <c r="A135" s="684"/>
      <c r="B135" s="346" t="str">
        <f t="shared" si="0"/>
        <v>Dieciseisavofinalista</v>
      </c>
      <c r="C135" s="335" t="str">
        <f ca="1">WORLDCUP!AA106</f>
        <v>1I</v>
      </c>
      <c r="D135" s="685"/>
      <c r="E135" s="356"/>
      <c r="F135" s="356"/>
      <c r="G135" s="356"/>
      <c r="H135" s="356"/>
      <c r="I135" s="367"/>
      <c r="J135" s="356"/>
      <c r="K135" s="356"/>
      <c r="L135" s="356"/>
      <c r="M135" s="365"/>
      <c r="N135" s="363"/>
    </row>
    <row r="136" spans="1:14" ht="15" customHeight="1">
      <c r="A136" s="684"/>
      <c r="B136" s="346" t="str">
        <f t="shared" si="0"/>
        <v>Dieciseisavofinalista</v>
      </c>
      <c r="C136" s="335" t="str">
        <f ca="1">WORLDCUP!AA107</f>
        <v>1A</v>
      </c>
      <c r="D136" s="685"/>
      <c r="E136" s="356"/>
      <c r="F136" s="356"/>
      <c r="G136" s="356"/>
      <c r="H136" s="356"/>
      <c r="I136" s="367"/>
      <c r="J136" s="356"/>
      <c r="K136" s="356"/>
      <c r="L136" s="356"/>
      <c r="M136" s="365"/>
      <c r="N136" s="363"/>
    </row>
    <row r="137" spans="1:14" ht="15" customHeight="1">
      <c r="A137" s="684"/>
      <c r="B137" s="346" t="str">
        <f t="shared" si="0"/>
        <v>Dieciseisavofinalista</v>
      </c>
      <c r="C137" s="335" t="str">
        <f ca="1">WORLDCUP!AA108</f>
        <v>1L</v>
      </c>
      <c r="D137" s="685"/>
      <c r="E137" s="356"/>
      <c r="F137" s="356"/>
      <c r="G137" s="356"/>
      <c r="H137" s="356"/>
      <c r="I137" s="367"/>
      <c r="J137" s="356"/>
      <c r="K137" s="356"/>
      <c r="L137" s="356"/>
      <c r="M137" s="365"/>
      <c r="N137" s="363"/>
    </row>
    <row r="138" spans="1:14" ht="15" customHeight="1">
      <c r="A138" s="684"/>
      <c r="B138" s="346" t="str">
        <f t="shared" si="0"/>
        <v>Dieciseisavofinalista</v>
      </c>
      <c r="C138" s="335" t="str">
        <f ca="1">WORLDCUP!AA109</f>
        <v>1G</v>
      </c>
      <c r="D138" s="685"/>
      <c r="E138" s="356"/>
      <c r="F138" s="356"/>
      <c r="G138" s="356"/>
      <c r="H138" s="356"/>
      <c r="I138" s="367"/>
      <c r="J138" s="356"/>
      <c r="K138" s="356"/>
      <c r="L138" s="356"/>
      <c r="M138" s="365"/>
      <c r="N138" s="363"/>
    </row>
    <row r="139" spans="1:14" ht="15" customHeight="1">
      <c r="A139" s="684"/>
      <c r="B139" s="346" t="str">
        <f t="shared" si="0"/>
        <v>Dieciseisavofinalista</v>
      </c>
      <c r="C139" s="335" t="str">
        <f ca="1">WORLDCUP!AA110</f>
        <v>1D</v>
      </c>
      <c r="D139" s="685"/>
      <c r="E139" s="356"/>
      <c r="F139" s="356"/>
      <c r="G139" s="356"/>
      <c r="H139" s="356"/>
      <c r="I139" s="367"/>
      <c r="J139" s="356"/>
      <c r="K139" s="356"/>
      <c r="L139" s="356"/>
      <c r="M139" s="365"/>
      <c r="N139" s="363"/>
    </row>
    <row r="140" spans="1:14" ht="15" customHeight="1">
      <c r="A140" s="684"/>
      <c r="B140" s="346" t="str">
        <f t="shared" si="0"/>
        <v>Dieciseisavofinalista</v>
      </c>
      <c r="C140" s="335" t="str">
        <f ca="1">WORLDCUP!AA111</f>
        <v>1H</v>
      </c>
      <c r="D140" s="685"/>
      <c r="E140" s="356"/>
      <c r="F140" s="356"/>
      <c r="G140" s="356"/>
      <c r="H140" s="356"/>
      <c r="I140" s="367"/>
      <c r="J140" s="356"/>
      <c r="K140" s="356"/>
      <c r="L140" s="356"/>
      <c r="M140" s="365"/>
      <c r="N140" s="363"/>
    </row>
    <row r="141" spans="1:14" ht="15" customHeight="1">
      <c r="A141" s="684"/>
      <c r="B141" s="346" t="str">
        <f t="shared" si="0"/>
        <v>Dieciseisavofinalista</v>
      </c>
      <c r="C141" s="335" t="str">
        <f ca="1">WORLDCUP!AA112</f>
        <v>2K</v>
      </c>
      <c r="D141" s="685"/>
      <c r="E141" s="356"/>
      <c r="F141" s="356"/>
      <c r="G141" s="356"/>
      <c r="H141" s="356"/>
      <c r="I141" s="367"/>
      <c r="J141" s="356"/>
      <c r="K141" s="356"/>
      <c r="L141" s="356"/>
      <c r="M141" s="365"/>
      <c r="N141" s="363"/>
    </row>
    <row r="142" spans="1:14" ht="15" customHeight="1">
      <c r="A142" s="684"/>
      <c r="B142" s="346" t="str">
        <f t="shared" si="0"/>
        <v>Dieciseisavofinalista</v>
      </c>
      <c r="C142" s="335" t="str">
        <f ca="1">WORLDCUP!AA113</f>
        <v>1B</v>
      </c>
      <c r="D142" s="685"/>
      <c r="E142" s="356"/>
      <c r="F142" s="356"/>
      <c r="G142" s="356"/>
      <c r="H142" s="356"/>
      <c r="I142" s="367"/>
      <c r="J142" s="356"/>
      <c r="K142" s="356"/>
      <c r="L142" s="356"/>
      <c r="M142" s="365"/>
      <c r="N142" s="363"/>
    </row>
    <row r="143" spans="1:14" ht="15" customHeight="1">
      <c r="A143" s="684"/>
      <c r="B143" s="346" t="str">
        <f t="shared" si="0"/>
        <v>Dieciseisavofinalista</v>
      </c>
      <c r="C143" s="335" t="str">
        <f ca="1">WORLDCUP!AA114</f>
        <v>2D</v>
      </c>
      <c r="D143" s="685"/>
      <c r="E143" s="356"/>
      <c r="F143" s="356"/>
      <c r="G143" s="356"/>
      <c r="H143" s="356"/>
      <c r="I143" s="367"/>
      <c r="J143" s="356"/>
      <c r="K143" s="356"/>
      <c r="L143" s="356"/>
      <c r="M143" s="365"/>
      <c r="N143" s="363"/>
    </row>
    <row r="144" spans="1:14" ht="15" customHeight="1">
      <c r="A144" s="684"/>
      <c r="B144" s="346" t="str">
        <f t="shared" si="0"/>
        <v>Dieciseisavofinalista</v>
      </c>
      <c r="C144" s="335" t="str">
        <f ca="1">WORLDCUP!AA115</f>
        <v>1J</v>
      </c>
      <c r="D144" s="685"/>
      <c r="E144" s="356"/>
      <c r="F144" s="356"/>
      <c r="G144" s="356"/>
      <c r="H144" s="356"/>
      <c r="I144" s="367"/>
      <c r="J144" s="356"/>
      <c r="K144" s="356"/>
      <c r="L144" s="356"/>
      <c r="M144" s="365"/>
      <c r="N144" s="363"/>
    </row>
    <row r="145" spans="1:14" ht="15" customHeight="1">
      <c r="A145" s="684"/>
      <c r="B145" s="346" t="str">
        <f t="shared" si="0"/>
        <v>Dieciseisavofinalista</v>
      </c>
      <c r="C145" s="335" t="str">
        <f ca="1">WORLDCUP!AA116</f>
        <v>1K</v>
      </c>
      <c r="D145" s="685"/>
      <c r="E145" s="356"/>
      <c r="F145" s="356"/>
      <c r="G145" s="356"/>
      <c r="H145" s="356"/>
      <c r="I145" s="367"/>
      <c r="J145" s="356"/>
      <c r="K145" s="356"/>
      <c r="L145" s="356"/>
      <c r="M145" s="365"/>
      <c r="N145" s="363"/>
    </row>
    <row r="146" spans="1:14" ht="15" customHeight="1">
      <c r="A146" s="684"/>
      <c r="B146" s="346" t="str">
        <f>Idiomas!$D$188</f>
        <v>Dieciseisavofinalista</v>
      </c>
      <c r="C146" s="335" t="str">
        <f ca="1">WORLDCUP!AF101</f>
        <v>2B</v>
      </c>
      <c r="D146" s="685"/>
      <c r="E146" s="356"/>
      <c r="F146" s="356"/>
      <c r="G146" s="356"/>
      <c r="H146" s="356"/>
      <c r="I146" s="367"/>
      <c r="J146" s="356"/>
      <c r="K146" s="356"/>
      <c r="L146" s="356"/>
      <c r="M146" s="365"/>
      <c r="N146" s="363"/>
    </row>
    <row r="147" spans="1:14" ht="15" customHeight="1">
      <c r="A147" s="684"/>
      <c r="B147" s="346" t="str">
        <f>B146</f>
        <v>Dieciseisavofinalista</v>
      </c>
      <c r="C147" s="335" t="str">
        <f ca="1">WORLDCUP!AF102</f>
        <v>2F</v>
      </c>
      <c r="D147" s="685"/>
      <c r="E147" s="356"/>
      <c r="F147" s="356"/>
      <c r="G147" s="356"/>
      <c r="H147" s="356"/>
      <c r="I147" s="367"/>
      <c r="J147" s="356"/>
      <c r="K147" s="356"/>
      <c r="L147" s="356"/>
      <c r="M147" s="365"/>
      <c r="N147" s="363"/>
    </row>
    <row r="148" spans="1:14" ht="15" customHeight="1">
      <c r="A148" s="684"/>
      <c r="B148" s="346" t="str">
        <f t="shared" ref="B148:B161" si="1">B147</f>
        <v>Dieciseisavofinalista</v>
      </c>
      <c r="C148" s="335" t="str">
        <f ca="1">WORLDCUP!AF103</f>
        <v>3ABCDF</v>
      </c>
      <c r="D148" s="685"/>
      <c r="E148" s="356"/>
      <c r="F148" s="356"/>
      <c r="G148" s="356"/>
      <c r="H148" s="356"/>
      <c r="I148" s="367"/>
      <c r="J148" s="356"/>
      <c r="K148" s="356"/>
      <c r="L148" s="356"/>
      <c r="M148" s="365"/>
      <c r="N148" s="363"/>
    </row>
    <row r="149" spans="1:14" ht="15" customHeight="1">
      <c r="A149" s="684"/>
      <c r="B149" s="346" t="str">
        <f t="shared" si="1"/>
        <v>Dieciseisavofinalista</v>
      </c>
      <c r="C149" s="335" t="str">
        <f ca="1">WORLDCUP!AF104</f>
        <v>2C</v>
      </c>
      <c r="D149" s="685"/>
      <c r="E149" s="356"/>
      <c r="F149" s="356"/>
      <c r="G149" s="356"/>
      <c r="H149" s="356"/>
      <c r="I149" s="367"/>
      <c r="J149" s="356"/>
      <c r="K149" s="356"/>
      <c r="L149" s="356"/>
      <c r="M149" s="365"/>
      <c r="N149" s="363"/>
    </row>
    <row r="150" spans="1:14" ht="15" customHeight="1">
      <c r="A150" s="684"/>
      <c r="B150" s="346" t="str">
        <f t="shared" si="1"/>
        <v>Dieciseisavofinalista</v>
      </c>
      <c r="C150" s="335" t="str">
        <f ca="1">WORLDCUP!AF105</f>
        <v>2I</v>
      </c>
      <c r="D150" s="685"/>
      <c r="E150" s="356"/>
      <c r="F150" s="356"/>
      <c r="G150" s="356"/>
      <c r="H150" s="356"/>
      <c r="I150" s="367"/>
      <c r="J150" s="356"/>
      <c r="K150" s="356"/>
      <c r="L150" s="356"/>
      <c r="M150" s="365"/>
      <c r="N150" s="363"/>
    </row>
    <row r="151" spans="1:14" ht="15" customHeight="1">
      <c r="A151" s="684"/>
      <c r="B151" s="346" t="str">
        <f t="shared" si="1"/>
        <v>Dieciseisavofinalista</v>
      </c>
      <c r="C151" s="335" t="str">
        <f ca="1">WORLDCUP!AF106</f>
        <v>3CDFGH</v>
      </c>
      <c r="D151" s="685"/>
      <c r="E151" s="356"/>
      <c r="F151" s="356"/>
      <c r="G151" s="356"/>
      <c r="H151" s="356"/>
      <c r="I151" s="367"/>
      <c r="J151" s="356"/>
      <c r="K151" s="356"/>
      <c r="L151" s="356"/>
      <c r="M151" s="365"/>
      <c r="N151" s="363"/>
    </row>
    <row r="152" spans="1:14" ht="15" customHeight="1">
      <c r="A152" s="684"/>
      <c r="B152" s="346" t="str">
        <f t="shared" si="1"/>
        <v>Dieciseisavofinalista</v>
      </c>
      <c r="C152" s="335" t="str">
        <f ca="1">WORLDCUP!AF107</f>
        <v>3CEFHI</v>
      </c>
      <c r="D152" s="685"/>
      <c r="E152" s="356"/>
      <c r="F152" s="356"/>
      <c r="G152" s="356"/>
      <c r="H152" s="356"/>
      <c r="I152" s="367"/>
      <c r="J152" s="356"/>
      <c r="K152" s="356"/>
      <c r="L152" s="356"/>
      <c r="M152" s="365"/>
      <c r="N152" s="363"/>
    </row>
    <row r="153" spans="1:14" ht="15" customHeight="1">
      <c r="A153" s="684"/>
      <c r="B153" s="346" t="str">
        <f t="shared" si="1"/>
        <v>Dieciseisavofinalista</v>
      </c>
      <c r="C153" s="335" t="str">
        <f ca="1">WORLDCUP!AF108</f>
        <v>3EHIJK</v>
      </c>
      <c r="D153" s="685"/>
      <c r="E153" s="356"/>
      <c r="F153" s="356"/>
      <c r="G153" s="356"/>
      <c r="H153" s="356"/>
      <c r="I153" s="367"/>
      <c r="J153" s="356"/>
      <c r="K153" s="356"/>
      <c r="L153" s="356"/>
      <c r="M153" s="365"/>
      <c r="N153" s="363"/>
    </row>
    <row r="154" spans="1:14" ht="15" customHeight="1">
      <c r="A154" s="684"/>
      <c r="B154" s="346" t="str">
        <f t="shared" si="1"/>
        <v>Dieciseisavofinalista</v>
      </c>
      <c r="C154" s="335" t="str">
        <f ca="1">WORLDCUP!AF109</f>
        <v>3AEHIJ</v>
      </c>
      <c r="D154" s="685"/>
      <c r="E154" s="356"/>
      <c r="F154" s="356"/>
      <c r="G154" s="356"/>
      <c r="H154" s="356"/>
      <c r="I154" s="367"/>
      <c r="J154" s="356"/>
      <c r="K154" s="356"/>
      <c r="L154" s="356"/>
      <c r="M154" s="365"/>
      <c r="N154" s="363"/>
    </row>
    <row r="155" spans="1:14" ht="15" customHeight="1">
      <c r="A155" s="684"/>
      <c r="B155" s="346" t="str">
        <f t="shared" si="1"/>
        <v>Dieciseisavofinalista</v>
      </c>
      <c r="C155" s="335" t="str">
        <f ca="1">WORLDCUP!AF110</f>
        <v>3BEFIJ</v>
      </c>
      <c r="D155" s="685"/>
      <c r="E155" s="356"/>
      <c r="F155" s="356"/>
      <c r="G155" s="356"/>
      <c r="H155" s="356"/>
      <c r="I155" s="367"/>
      <c r="J155" s="356"/>
      <c r="K155" s="356"/>
      <c r="L155" s="356"/>
      <c r="M155" s="365"/>
      <c r="N155" s="363"/>
    </row>
    <row r="156" spans="1:14" ht="15" customHeight="1">
      <c r="A156" s="684"/>
      <c r="B156" s="346" t="str">
        <f t="shared" si="1"/>
        <v>Dieciseisavofinalista</v>
      </c>
      <c r="C156" s="335" t="str">
        <f ca="1">WORLDCUP!AF111</f>
        <v>2J</v>
      </c>
      <c r="D156" s="685"/>
      <c r="E156" s="356"/>
      <c r="F156" s="356"/>
      <c r="G156" s="356"/>
      <c r="H156" s="356"/>
      <c r="I156" s="367"/>
      <c r="J156" s="356"/>
      <c r="K156" s="356"/>
      <c r="L156" s="356"/>
      <c r="M156" s="365"/>
      <c r="N156" s="363"/>
    </row>
    <row r="157" spans="1:14" ht="15" customHeight="1">
      <c r="A157" s="684"/>
      <c r="B157" s="346" t="str">
        <f t="shared" si="1"/>
        <v>Dieciseisavofinalista</v>
      </c>
      <c r="C157" s="335" t="str">
        <f ca="1">WORLDCUP!AF112</f>
        <v>2L</v>
      </c>
      <c r="D157" s="685"/>
      <c r="E157" s="356"/>
      <c r="F157" s="356"/>
      <c r="G157" s="356"/>
      <c r="H157" s="356"/>
      <c r="I157" s="367"/>
      <c r="J157" s="356"/>
      <c r="K157" s="356"/>
      <c r="L157" s="356"/>
      <c r="M157" s="365"/>
      <c r="N157" s="363"/>
    </row>
    <row r="158" spans="1:14" ht="15" customHeight="1">
      <c r="A158" s="684"/>
      <c r="B158" s="346" t="str">
        <f t="shared" si="1"/>
        <v>Dieciseisavofinalista</v>
      </c>
      <c r="C158" s="335" t="str">
        <f ca="1">WORLDCUP!AF113</f>
        <v>3EFGIJ</v>
      </c>
      <c r="D158" s="685"/>
      <c r="E158" s="356"/>
      <c r="F158" s="356"/>
      <c r="G158" s="356"/>
      <c r="H158" s="356"/>
      <c r="I158" s="367"/>
      <c r="J158" s="356"/>
      <c r="K158" s="356"/>
      <c r="L158" s="356"/>
      <c r="M158" s="365"/>
      <c r="N158" s="363"/>
    </row>
    <row r="159" spans="1:14" ht="15" customHeight="1">
      <c r="A159" s="684"/>
      <c r="B159" s="346" t="str">
        <f t="shared" si="1"/>
        <v>Dieciseisavofinalista</v>
      </c>
      <c r="C159" s="335" t="str">
        <f ca="1">WORLDCUP!AF114</f>
        <v>2G</v>
      </c>
      <c r="D159" s="685"/>
      <c r="E159" s="356"/>
      <c r="F159" s="356"/>
      <c r="G159" s="356"/>
      <c r="H159" s="356"/>
      <c r="I159" s="367"/>
      <c r="J159" s="356"/>
      <c r="K159" s="356"/>
      <c r="L159" s="356"/>
      <c r="M159" s="365"/>
      <c r="N159" s="363"/>
    </row>
    <row r="160" spans="1:14" ht="15" customHeight="1">
      <c r="A160" s="684"/>
      <c r="B160" s="346" t="str">
        <f t="shared" si="1"/>
        <v>Dieciseisavofinalista</v>
      </c>
      <c r="C160" s="335" t="str">
        <f ca="1">WORLDCUP!AF115</f>
        <v>2H</v>
      </c>
      <c r="D160" s="685"/>
      <c r="E160" s="356"/>
      <c r="F160" s="356"/>
      <c r="G160" s="356"/>
      <c r="H160" s="356"/>
      <c r="I160" s="367"/>
      <c r="J160" s="356"/>
      <c r="K160" s="356"/>
      <c r="L160" s="356"/>
      <c r="M160" s="365"/>
      <c r="N160" s="363"/>
    </row>
    <row r="161" spans="1:14" ht="15" customHeight="1">
      <c r="A161" s="684"/>
      <c r="B161" s="346" t="str">
        <f t="shared" si="1"/>
        <v>Dieciseisavofinalista</v>
      </c>
      <c r="C161" s="335" t="str">
        <f ca="1">WORLDCUP!AF116</f>
        <v>3DEIJL</v>
      </c>
      <c r="D161" s="686"/>
      <c r="E161" s="358"/>
      <c r="F161" s="358"/>
      <c r="G161" s="358"/>
      <c r="H161" s="358"/>
      <c r="I161" s="368"/>
      <c r="J161" s="369"/>
      <c r="K161" s="358"/>
      <c r="L161" s="358"/>
      <c r="M161" s="370"/>
      <c r="N161" s="363"/>
    </row>
    <row r="162" spans="1:14" ht="20" customHeight="1">
      <c r="A162" s="339"/>
      <c r="B162" s="339"/>
      <c r="C162" s="336"/>
      <c r="D162" s="356"/>
      <c r="E162" s="668" t="str">
        <f>Idiomas!D113</f>
        <v>·Si haceis todas las eliminatorias de golpe, copiar de la C164 a la C252 y pegar valores en la plantilla de Administrador.</v>
      </c>
      <c r="F162" s="668"/>
      <c r="G162" s="668"/>
      <c r="H162" s="668"/>
      <c r="I162" s="668"/>
      <c r="J162" s="668"/>
      <c r="K162" s="668"/>
      <c r="L162" s="669"/>
      <c r="M162" s="371"/>
      <c r="N162" s="363"/>
    </row>
    <row r="163" spans="1:14" ht="23" customHeight="1">
      <c r="A163" s="339"/>
      <c r="B163" s="344" t="str">
        <f>Idiomas!D128</f>
        <v>ENFRENTAMIENTOS DIECISEISAVOS</v>
      </c>
      <c r="C163" s="336"/>
      <c r="D163" s="356"/>
      <c r="E163" s="670" t="str">
        <f>Idiomas!D114</f>
        <v>·Si haceis eliminatoria a eliminatoria seguir las instrucciones de cada eliminatoria.</v>
      </c>
      <c r="F163" s="670"/>
      <c r="G163" s="670"/>
      <c r="H163" s="670"/>
      <c r="I163" s="670"/>
      <c r="J163" s="670"/>
      <c r="K163" s="670"/>
      <c r="L163" s="671"/>
      <c r="M163" s="372"/>
      <c r="N163" s="363"/>
    </row>
    <row r="164" spans="1:14" ht="15" customHeight="1">
      <c r="A164" s="684"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7" t="s">
        <v>493</v>
      </c>
      <c r="E164" s="672" t="str">
        <f>Idiomas!D115</f>
        <v>·Para los dieciseisavos copiar de la C164 a la C197 y pega valores en la plantilla de administrador.</v>
      </c>
      <c r="F164" s="672"/>
      <c r="G164" s="672"/>
      <c r="H164" s="672"/>
      <c r="I164" s="338"/>
      <c r="J164" s="356"/>
      <c r="K164" s="356"/>
      <c r="L164" s="356"/>
      <c r="M164" s="372"/>
      <c r="N164" s="363"/>
    </row>
    <row r="165" spans="1:14" ht="15" customHeight="1">
      <c r="A165" s="684"/>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7"/>
      <c r="E165" s="673"/>
      <c r="F165" s="673"/>
      <c r="G165" s="673"/>
      <c r="H165" s="673"/>
      <c r="I165" s="338"/>
      <c r="J165" s="356"/>
      <c r="K165" s="356"/>
      <c r="L165" s="356"/>
      <c r="M165" s="372"/>
      <c r="N165" s="363"/>
    </row>
    <row r="166" spans="1:14" ht="15" customHeight="1">
      <c r="A166" s="684"/>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7"/>
      <c r="E166" s="673"/>
      <c r="F166" s="673"/>
      <c r="G166" s="673"/>
      <c r="H166" s="673"/>
      <c r="I166" s="338"/>
      <c r="J166" s="356"/>
      <c r="K166" s="356"/>
      <c r="L166" s="356"/>
      <c r="M166" s="372"/>
      <c r="N166" s="363"/>
    </row>
    <row r="167" spans="1:14" ht="15" customHeight="1">
      <c r="A167" s="684"/>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7"/>
      <c r="E167" s="673"/>
      <c r="F167" s="673"/>
      <c r="G167" s="673"/>
      <c r="H167" s="673"/>
      <c r="I167" s="338"/>
      <c r="J167" s="356"/>
      <c r="K167" s="356"/>
      <c r="L167" s="356"/>
      <c r="M167" s="372"/>
      <c r="N167" s="363"/>
    </row>
    <row r="168" spans="1:14" ht="15" customHeight="1">
      <c r="A168" s="684"/>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7"/>
      <c r="E168" s="356"/>
      <c r="F168" s="356"/>
      <c r="G168" s="356"/>
      <c r="H168" s="356"/>
      <c r="I168" s="338"/>
      <c r="J168" s="356"/>
      <c r="K168" s="356"/>
      <c r="L168" s="356"/>
      <c r="M168" s="372"/>
      <c r="N168" s="363"/>
    </row>
    <row r="169" spans="1:14" ht="15" customHeight="1">
      <c r="A169" s="684"/>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7"/>
      <c r="E169" s="356"/>
      <c r="F169" s="356"/>
      <c r="G169" s="356"/>
      <c r="H169" s="356"/>
      <c r="I169" s="338"/>
      <c r="J169" s="356"/>
      <c r="K169" s="356"/>
      <c r="L169" s="356"/>
      <c r="M169" s="372"/>
      <c r="N169" s="363"/>
    </row>
    <row r="170" spans="1:14" ht="15" customHeight="1">
      <c r="A170" s="684"/>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7"/>
      <c r="E170" s="356"/>
      <c r="F170" s="356"/>
      <c r="G170" s="356"/>
      <c r="H170" s="356"/>
      <c r="I170" s="338"/>
      <c r="J170" s="356"/>
      <c r="K170" s="356"/>
      <c r="L170" s="356"/>
      <c r="M170" s="372"/>
      <c r="N170" s="363"/>
    </row>
    <row r="171" spans="1:14" ht="15" customHeight="1">
      <c r="A171" s="684"/>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7"/>
      <c r="E171" s="356"/>
      <c r="F171" s="356"/>
      <c r="G171" s="356"/>
      <c r="H171" s="356"/>
      <c r="I171" s="338"/>
      <c r="J171" s="356"/>
      <c r="K171" s="356"/>
      <c r="L171" s="356"/>
      <c r="M171" s="372"/>
      <c r="N171" s="363"/>
    </row>
    <row r="172" spans="1:14" ht="15" customHeight="1">
      <c r="A172" s="684"/>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7"/>
      <c r="E172" s="356"/>
      <c r="F172" s="356"/>
      <c r="G172" s="356"/>
      <c r="H172" s="356"/>
      <c r="I172" s="338"/>
      <c r="J172" s="356"/>
      <c r="K172" s="356"/>
      <c r="L172" s="356"/>
      <c r="M172" s="372"/>
      <c r="N172" s="363"/>
    </row>
    <row r="173" spans="1:14" ht="15" customHeight="1">
      <c r="A173" s="684"/>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7"/>
      <c r="E173" s="356"/>
      <c r="F173" s="356"/>
      <c r="G173" s="356"/>
      <c r="H173" s="356"/>
      <c r="I173" s="338"/>
      <c r="J173" s="356"/>
      <c r="K173" s="356"/>
      <c r="L173" s="356"/>
      <c r="M173" s="372"/>
      <c r="N173" s="363"/>
    </row>
    <row r="174" spans="1:14" ht="15" customHeight="1">
      <c r="A174" s="684"/>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7"/>
      <c r="E174" s="356"/>
      <c r="F174" s="356"/>
      <c r="G174" s="356"/>
      <c r="H174" s="356"/>
      <c r="I174" s="338"/>
      <c r="J174" s="356"/>
      <c r="K174" s="356"/>
      <c r="L174" s="356"/>
      <c r="M174" s="372"/>
      <c r="N174" s="363"/>
    </row>
    <row r="175" spans="1:14" ht="15" customHeight="1">
      <c r="A175" s="684"/>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7"/>
      <c r="E175" s="356"/>
      <c r="F175" s="356"/>
      <c r="G175" s="356"/>
      <c r="H175" s="356"/>
      <c r="I175" s="338"/>
      <c r="J175" s="356"/>
      <c r="K175" s="356"/>
      <c r="L175" s="356"/>
      <c r="M175" s="372"/>
      <c r="N175" s="363"/>
    </row>
    <row r="176" spans="1:14" ht="15" customHeight="1">
      <c r="A176" s="684"/>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7"/>
      <c r="E176" s="356"/>
      <c r="F176" s="356"/>
      <c r="G176" s="356"/>
      <c r="H176" s="356"/>
      <c r="I176" s="338"/>
      <c r="J176" s="356"/>
      <c r="K176" s="356"/>
      <c r="L176" s="356"/>
      <c r="M176" s="372"/>
      <c r="N176" s="363"/>
    </row>
    <row r="177" spans="1:14" ht="15" customHeight="1">
      <c r="A177" s="684"/>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7"/>
      <c r="E177" s="356"/>
      <c r="F177" s="356"/>
      <c r="G177" s="356"/>
      <c r="H177" s="356"/>
      <c r="I177" s="338"/>
      <c r="J177" s="356"/>
      <c r="K177" s="356"/>
      <c r="L177" s="356"/>
      <c r="M177" s="372"/>
      <c r="N177" s="363"/>
    </row>
    <row r="178" spans="1:14" ht="15" customHeight="1">
      <c r="A178" s="684"/>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7"/>
      <c r="E178" s="356"/>
      <c r="F178" s="356"/>
      <c r="G178" s="356"/>
      <c r="H178" s="356"/>
      <c r="I178" s="338"/>
      <c r="J178" s="356"/>
      <c r="K178" s="356"/>
      <c r="L178" s="356"/>
      <c r="M178" s="372"/>
      <c r="N178" s="363"/>
    </row>
    <row r="179" spans="1:14" ht="15" customHeight="1">
      <c r="A179" s="684"/>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7"/>
      <c r="E179" s="356"/>
      <c r="F179" s="356"/>
      <c r="G179" s="356"/>
      <c r="H179" s="356"/>
      <c r="I179" s="338"/>
      <c r="J179" s="356"/>
      <c r="K179" s="356"/>
      <c r="L179" s="356"/>
      <c r="M179" s="372"/>
      <c r="N179" s="363"/>
    </row>
    <row r="180" spans="1:14" ht="15" customHeight="1">
      <c r="A180" s="339"/>
      <c r="B180" s="339"/>
      <c r="C180" s="336"/>
      <c r="D180" s="687"/>
      <c r="E180" s="356"/>
      <c r="F180" s="356"/>
      <c r="G180" s="356"/>
      <c r="H180" s="356"/>
      <c r="I180" s="338"/>
      <c r="J180" s="356"/>
      <c r="K180" s="356"/>
      <c r="L180" s="356"/>
      <c r="M180" s="372"/>
      <c r="N180" s="363"/>
    </row>
    <row r="181" spans="1:14" ht="19" customHeight="1">
      <c r="A181" s="339"/>
      <c r="B181" s="344" t="str">
        <f>Idiomas!D129</f>
        <v>CLASIFICADOS PARA OCTAVOS</v>
      </c>
      <c r="C181" s="336"/>
      <c r="D181" s="687"/>
      <c r="E181" s="356"/>
      <c r="F181" s="356"/>
      <c r="G181" s="356"/>
      <c r="H181" s="356"/>
      <c r="I181" s="338"/>
      <c r="J181" s="356"/>
      <c r="K181" s="356"/>
      <c r="L181" s="356"/>
      <c r="M181" s="372"/>
      <c r="N181" s="363"/>
    </row>
    <row r="182" spans="1:14" ht="15" customHeight="1">
      <c r="A182" s="684" t="s">
        <v>89</v>
      </c>
      <c r="B182" s="346" t="str">
        <f>Idiomas!$D$189</f>
        <v>Octavofinalista</v>
      </c>
      <c r="C182" s="335" t="str">
        <f>WORLDCUP!AA120</f>
        <v>W73</v>
      </c>
      <c r="D182" s="687"/>
      <c r="E182" s="356"/>
      <c r="F182" s="356"/>
      <c r="G182" s="356"/>
      <c r="H182" s="356"/>
      <c r="I182" s="338"/>
      <c r="J182" s="356"/>
      <c r="K182" s="356"/>
      <c r="L182" s="356"/>
      <c r="M182" s="372"/>
      <c r="N182" s="363"/>
    </row>
    <row r="183" spans="1:14" ht="15" customHeight="1">
      <c r="A183" s="684"/>
      <c r="B183" s="346" t="str">
        <f>B182</f>
        <v>Octavofinalista</v>
      </c>
      <c r="C183" s="335" t="str">
        <f>WORLDCUP!AA121</f>
        <v>W74</v>
      </c>
      <c r="D183" s="687"/>
      <c r="E183" s="356"/>
      <c r="F183" s="356"/>
      <c r="G183" s="356"/>
      <c r="H183" s="356"/>
      <c r="I183" s="338"/>
      <c r="J183" s="356"/>
      <c r="K183" s="356"/>
      <c r="L183" s="356"/>
      <c r="M183" s="372"/>
      <c r="N183" s="363"/>
    </row>
    <row r="184" spans="1:14" ht="15" customHeight="1">
      <c r="A184" s="684"/>
      <c r="B184" s="346" t="str">
        <f t="shared" ref="B184:B197" si="2">B183</f>
        <v>Octavofinalista</v>
      </c>
      <c r="C184" s="335" t="str">
        <f>WORLDCUP!AA122</f>
        <v>W76</v>
      </c>
      <c r="D184" s="687"/>
      <c r="E184" s="356"/>
      <c r="F184" s="356"/>
      <c r="G184" s="356"/>
      <c r="H184" s="356"/>
      <c r="I184" s="338"/>
      <c r="J184" s="356"/>
      <c r="K184" s="356"/>
      <c r="L184" s="356"/>
      <c r="M184" s="372"/>
      <c r="N184" s="363"/>
    </row>
    <row r="185" spans="1:14" ht="15" customHeight="1">
      <c r="A185" s="684"/>
      <c r="B185" s="346" t="str">
        <f t="shared" si="2"/>
        <v>Octavofinalista</v>
      </c>
      <c r="C185" s="335" t="str">
        <f>WORLDCUP!AA123</f>
        <v>W79</v>
      </c>
      <c r="D185" s="687"/>
      <c r="E185" s="356"/>
      <c r="F185" s="356"/>
      <c r="G185" s="356"/>
      <c r="H185" s="356"/>
      <c r="I185" s="338"/>
      <c r="J185" s="356"/>
      <c r="K185" s="356"/>
      <c r="L185" s="356"/>
      <c r="M185" s="372"/>
      <c r="N185" s="363"/>
    </row>
    <row r="186" spans="1:14" ht="15" customHeight="1">
      <c r="A186" s="684"/>
      <c r="B186" s="346" t="str">
        <f t="shared" si="2"/>
        <v>Octavofinalista</v>
      </c>
      <c r="C186" s="335" t="str">
        <f>WORLDCUP!AA124</f>
        <v>W83</v>
      </c>
      <c r="D186" s="687"/>
      <c r="E186" s="356"/>
      <c r="F186" s="356"/>
      <c r="G186" s="356"/>
      <c r="H186" s="356"/>
      <c r="I186" s="338"/>
      <c r="J186" s="356"/>
      <c r="K186" s="356"/>
      <c r="L186" s="356"/>
      <c r="M186" s="372"/>
      <c r="N186" s="363"/>
    </row>
    <row r="187" spans="1:14" ht="15" customHeight="1">
      <c r="A187" s="684"/>
      <c r="B187" s="346" t="str">
        <f t="shared" si="2"/>
        <v>Octavofinalista</v>
      </c>
      <c r="C187" s="335" t="str">
        <f>WORLDCUP!AA125</f>
        <v>W81</v>
      </c>
      <c r="D187" s="687"/>
      <c r="E187" s="356"/>
      <c r="F187" s="356"/>
      <c r="G187" s="356"/>
      <c r="H187" s="356"/>
      <c r="I187" s="338"/>
      <c r="J187" s="356"/>
      <c r="K187" s="356"/>
      <c r="L187" s="356"/>
      <c r="M187" s="372"/>
      <c r="N187" s="363"/>
    </row>
    <row r="188" spans="1:14" ht="15" customHeight="1">
      <c r="A188" s="684"/>
      <c r="B188" s="346" t="str">
        <f t="shared" si="2"/>
        <v>Octavofinalista</v>
      </c>
      <c r="C188" s="335" t="str">
        <f>WORLDCUP!AA126</f>
        <v>W86</v>
      </c>
      <c r="D188" s="687"/>
      <c r="E188" s="356"/>
      <c r="F188" s="356"/>
      <c r="G188" s="356"/>
      <c r="H188" s="356"/>
      <c r="I188" s="338"/>
      <c r="J188" s="356"/>
      <c r="K188" s="356"/>
      <c r="L188" s="356"/>
      <c r="M188" s="372"/>
      <c r="N188" s="363"/>
    </row>
    <row r="189" spans="1:14" ht="15" customHeight="1">
      <c r="A189" s="684"/>
      <c r="B189" s="346" t="str">
        <f t="shared" si="2"/>
        <v>Octavofinalista</v>
      </c>
      <c r="C189" s="335" t="str">
        <f>WORLDCUP!AA127</f>
        <v>W85</v>
      </c>
      <c r="D189" s="687"/>
      <c r="E189" s="356"/>
      <c r="F189" s="356"/>
      <c r="G189" s="356"/>
      <c r="H189" s="356"/>
      <c r="I189" s="338"/>
      <c r="J189" s="356"/>
      <c r="K189" s="356"/>
      <c r="L189" s="356"/>
      <c r="M189" s="372"/>
      <c r="N189" s="363"/>
    </row>
    <row r="190" spans="1:14" ht="15" customHeight="1">
      <c r="A190" s="684"/>
      <c r="B190" s="346" t="str">
        <f t="shared" si="2"/>
        <v>Octavofinalista</v>
      </c>
      <c r="C190" s="335" t="str">
        <f>WORLDCUP!AF120</f>
        <v>W75</v>
      </c>
      <c r="D190" s="687"/>
      <c r="E190" s="356"/>
      <c r="F190" s="356"/>
      <c r="G190" s="356"/>
      <c r="H190" s="356"/>
      <c r="I190" s="338"/>
      <c r="J190" s="356"/>
      <c r="K190" s="356"/>
      <c r="L190" s="356"/>
      <c r="M190" s="372"/>
      <c r="N190" s="363"/>
    </row>
    <row r="191" spans="1:14" ht="15" customHeight="1">
      <c r="A191" s="684"/>
      <c r="B191" s="346" t="str">
        <f t="shared" si="2"/>
        <v>Octavofinalista</v>
      </c>
      <c r="C191" s="335" t="str">
        <f>WORLDCUP!AF121</f>
        <v>W77</v>
      </c>
      <c r="D191" s="687"/>
      <c r="E191" s="356"/>
      <c r="F191" s="356"/>
      <c r="G191" s="356"/>
      <c r="H191" s="356"/>
      <c r="I191" s="338"/>
      <c r="J191" s="356"/>
      <c r="K191" s="356"/>
      <c r="L191" s="356"/>
      <c r="M191" s="372"/>
      <c r="N191" s="363"/>
    </row>
    <row r="192" spans="1:14" ht="15" customHeight="1">
      <c r="A192" s="684"/>
      <c r="B192" s="346" t="str">
        <f t="shared" si="2"/>
        <v>Octavofinalista</v>
      </c>
      <c r="C192" s="335" t="str">
        <f>WORLDCUP!AF122</f>
        <v>W78</v>
      </c>
      <c r="D192" s="687"/>
      <c r="E192" s="356"/>
      <c r="F192" s="356"/>
      <c r="G192" s="356"/>
      <c r="H192" s="356"/>
      <c r="I192" s="338"/>
      <c r="J192" s="356"/>
      <c r="K192" s="356"/>
      <c r="L192" s="356"/>
      <c r="M192" s="372"/>
      <c r="N192" s="363"/>
    </row>
    <row r="193" spans="1:14" ht="15" customHeight="1">
      <c r="A193" s="684"/>
      <c r="B193" s="346" t="str">
        <f t="shared" si="2"/>
        <v>Octavofinalista</v>
      </c>
      <c r="C193" s="335" t="str">
        <f>WORLDCUP!AF123</f>
        <v>W80</v>
      </c>
      <c r="D193" s="687"/>
      <c r="E193" s="356"/>
      <c r="F193" s="356"/>
      <c r="G193" s="356"/>
      <c r="H193" s="356"/>
      <c r="I193" s="338"/>
      <c r="J193" s="356"/>
      <c r="K193" s="356"/>
      <c r="L193" s="356"/>
      <c r="M193" s="372"/>
      <c r="N193" s="363"/>
    </row>
    <row r="194" spans="1:14" ht="15" customHeight="1">
      <c r="A194" s="684"/>
      <c r="B194" s="346" t="str">
        <f t="shared" si="2"/>
        <v>Octavofinalista</v>
      </c>
      <c r="C194" s="335" t="str">
        <f>WORLDCUP!AF124</f>
        <v>W84</v>
      </c>
      <c r="D194" s="687"/>
      <c r="E194" s="356"/>
      <c r="F194" s="356"/>
      <c r="G194" s="356"/>
      <c r="H194" s="356"/>
      <c r="I194" s="338"/>
      <c r="J194" s="356"/>
      <c r="K194" s="356"/>
      <c r="L194" s="356"/>
      <c r="M194" s="372"/>
      <c r="N194" s="363"/>
    </row>
    <row r="195" spans="1:14" ht="15" customHeight="1">
      <c r="A195" s="684"/>
      <c r="B195" s="346" t="str">
        <f t="shared" si="2"/>
        <v>Octavofinalista</v>
      </c>
      <c r="C195" s="335" t="str">
        <f>WORLDCUP!AF125</f>
        <v>W82</v>
      </c>
      <c r="D195" s="687"/>
      <c r="E195" s="356"/>
      <c r="F195" s="356"/>
      <c r="G195" s="356"/>
      <c r="H195" s="356"/>
      <c r="I195" s="338"/>
      <c r="J195" s="356"/>
      <c r="K195" s="356"/>
      <c r="L195" s="356"/>
      <c r="M195" s="372"/>
      <c r="N195" s="363"/>
    </row>
    <row r="196" spans="1:14" ht="15" customHeight="1">
      <c r="A196" s="684"/>
      <c r="B196" s="346" t="str">
        <f t="shared" si="2"/>
        <v>Octavofinalista</v>
      </c>
      <c r="C196" s="335" t="str">
        <f>WORLDCUP!AF126</f>
        <v>W88</v>
      </c>
      <c r="D196" s="687"/>
      <c r="E196" s="356"/>
      <c r="F196" s="356"/>
      <c r="G196" s="356"/>
      <c r="H196" s="356"/>
      <c r="I196" s="338"/>
      <c r="J196" s="356"/>
      <c r="K196" s="356"/>
      <c r="L196" s="356"/>
      <c r="M196" s="372"/>
      <c r="N196" s="363"/>
    </row>
    <row r="197" spans="1:14" ht="15" customHeight="1">
      <c r="A197" s="684"/>
      <c r="B197" s="346" t="str">
        <f t="shared" si="2"/>
        <v>Octavofinalista</v>
      </c>
      <c r="C197" s="335" t="str">
        <f>WORLDCUP!AF127</f>
        <v>W87</v>
      </c>
      <c r="D197" s="687"/>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4"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7" t="s">
        <v>89</v>
      </c>
      <c r="E200" s="666" t="str">
        <f>Idiomas!D116</f>
        <v>·Para los octavos de final copiar de la C200 a la C217 y pega valores en la plantilla de administrador.</v>
      </c>
      <c r="F200" s="666"/>
      <c r="G200" s="666"/>
      <c r="H200" s="666"/>
      <c r="I200" s="338"/>
      <c r="J200" s="356"/>
      <c r="K200" s="356"/>
      <c r="L200" s="356"/>
      <c r="M200" s="372"/>
      <c r="N200" s="363"/>
    </row>
    <row r="201" spans="1:14" ht="15" customHeight="1">
      <c r="A201" s="684"/>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7"/>
      <c r="E201" s="666"/>
      <c r="F201" s="666"/>
      <c r="G201" s="666"/>
      <c r="H201" s="666"/>
      <c r="I201" s="338"/>
      <c r="J201" s="356"/>
      <c r="K201" s="356"/>
      <c r="L201" s="356"/>
      <c r="M201" s="372"/>
      <c r="N201" s="363"/>
    </row>
    <row r="202" spans="1:14" ht="15" customHeight="1">
      <c r="A202" s="684"/>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7"/>
      <c r="E202" s="666"/>
      <c r="F202" s="666"/>
      <c r="G202" s="666"/>
      <c r="H202" s="666"/>
      <c r="I202" s="338"/>
      <c r="J202" s="356"/>
      <c r="K202" s="356"/>
      <c r="L202" s="356"/>
      <c r="M202" s="372"/>
      <c r="N202" s="363"/>
    </row>
    <row r="203" spans="1:14" ht="15" customHeight="1">
      <c r="A203" s="684"/>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7"/>
      <c r="E203" s="666"/>
      <c r="F203" s="666"/>
      <c r="G203" s="666"/>
      <c r="H203" s="666"/>
      <c r="I203" s="338"/>
      <c r="J203" s="356"/>
      <c r="K203" s="356"/>
      <c r="L203" s="356"/>
      <c r="M203" s="372"/>
      <c r="N203" s="363"/>
    </row>
    <row r="204" spans="1:14" ht="15" customHeight="1">
      <c r="A204" s="684"/>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7"/>
      <c r="E204" s="338"/>
      <c r="F204" s="338"/>
      <c r="G204" s="338"/>
      <c r="H204" s="338"/>
      <c r="I204" s="338"/>
      <c r="J204" s="356"/>
      <c r="K204" s="356"/>
      <c r="L204" s="356"/>
      <c r="M204" s="372"/>
      <c r="N204" s="363"/>
    </row>
    <row r="205" spans="1:14" ht="15" customHeight="1">
      <c r="A205" s="684"/>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7"/>
      <c r="E205" s="338"/>
      <c r="F205" s="338"/>
      <c r="G205" s="338"/>
      <c r="H205" s="338"/>
      <c r="I205" s="338"/>
      <c r="J205" s="356"/>
      <c r="K205" s="356"/>
      <c r="L205" s="356"/>
      <c r="M205" s="372"/>
      <c r="N205" s="363"/>
    </row>
    <row r="206" spans="1:14" ht="15" customHeight="1">
      <c r="A206" s="684"/>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7"/>
      <c r="E206" s="338"/>
      <c r="F206" s="338"/>
      <c r="G206" s="338"/>
      <c r="H206" s="338"/>
      <c r="I206" s="338"/>
      <c r="J206" s="356"/>
      <c r="K206" s="356"/>
      <c r="L206" s="356"/>
      <c r="M206" s="372"/>
      <c r="N206" s="363"/>
    </row>
    <row r="207" spans="1:14" ht="15" customHeight="1">
      <c r="A207" s="684"/>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7"/>
      <c r="E207" s="338"/>
      <c r="F207" s="338"/>
      <c r="G207" s="338"/>
      <c r="H207" s="338"/>
      <c r="I207" s="338"/>
      <c r="J207" s="356"/>
      <c r="K207" s="356"/>
      <c r="L207" s="356"/>
      <c r="M207" s="372"/>
      <c r="N207" s="363"/>
    </row>
    <row r="208" spans="1:14" ht="15" customHeight="1">
      <c r="A208" s="339"/>
      <c r="B208" s="339"/>
      <c r="C208" s="336"/>
      <c r="D208" s="667"/>
      <c r="E208" s="356"/>
      <c r="F208" s="356"/>
      <c r="G208" s="356"/>
      <c r="H208" s="356"/>
      <c r="I208" s="338"/>
      <c r="J208" s="356"/>
      <c r="K208" s="356"/>
      <c r="L208" s="356"/>
      <c r="M208" s="372"/>
      <c r="N208" s="363"/>
    </row>
    <row r="209" spans="1:14" ht="19" customHeight="1">
      <c r="A209" s="339"/>
      <c r="B209" s="344" t="str">
        <f>Idiomas!D131</f>
        <v>CLASIFICADOS PARA CUARTOS</v>
      </c>
      <c r="C209" s="336"/>
      <c r="D209" s="667"/>
      <c r="E209" s="356"/>
      <c r="F209" s="356"/>
      <c r="G209" s="356"/>
      <c r="H209" s="356"/>
      <c r="I209" s="338"/>
      <c r="J209" s="356"/>
      <c r="K209" s="356"/>
      <c r="L209" s="356"/>
      <c r="M209" s="372"/>
      <c r="N209" s="363"/>
    </row>
    <row r="210" spans="1:14" ht="15" customHeight="1">
      <c r="A210" s="684" t="s">
        <v>36</v>
      </c>
      <c r="B210" s="346" t="str">
        <f>Idiomas!$D$190</f>
        <v>Cuartofinalista</v>
      </c>
      <c r="C210" s="335" t="str">
        <f>WORLDCUP!AA131</f>
        <v>W89</v>
      </c>
      <c r="D210" s="667"/>
      <c r="E210" s="356"/>
      <c r="F210" s="356"/>
      <c r="G210" s="356"/>
      <c r="H210" s="356"/>
      <c r="I210" s="338"/>
      <c r="J210" s="356"/>
      <c r="K210" s="356"/>
      <c r="L210" s="356"/>
      <c r="M210" s="372"/>
      <c r="N210" s="363"/>
    </row>
    <row r="211" spans="1:14" ht="15" customHeight="1">
      <c r="A211" s="684"/>
      <c r="B211" s="346" t="str">
        <f>B210</f>
        <v>Cuartofinalista</v>
      </c>
      <c r="C211" s="335" t="str">
        <f>WORLDCUP!AA132</f>
        <v>W93</v>
      </c>
      <c r="D211" s="667"/>
      <c r="E211" s="356"/>
      <c r="F211" s="356"/>
      <c r="G211" s="356"/>
      <c r="H211" s="356"/>
      <c r="I211" s="338"/>
      <c r="J211" s="356"/>
      <c r="K211" s="356"/>
      <c r="L211" s="356"/>
      <c r="M211" s="372"/>
      <c r="N211" s="363"/>
    </row>
    <row r="212" spans="1:14" ht="15" customHeight="1">
      <c r="A212" s="684"/>
      <c r="B212" s="346" t="str">
        <f t="shared" ref="B212:B217" si="3">B211</f>
        <v>Cuartofinalista</v>
      </c>
      <c r="C212" s="335" t="str">
        <f>WORLDCUP!AA133</f>
        <v>W91</v>
      </c>
      <c r="D212" s="667"/>
      <c r="E212" s="356"/>
      <c r="F212" s="356"/>
      <c r="G212" s="356"/>
      <c r="H212" s="356"/>
      <c r="I212" s="338"/>
      <c r="J212" s="356"/>
      <c r="K212" s="356"/>
      <c r="L212" s="356"/>
      <c r="M212" s="372"/>
      <c r="N212" s="363"/>
    </row>
    <row r="213" spans="1:14" ht="15" customHeight="1">
      <c r="A213" s="684"/>
      <c r="B213" s="346" t="str">
        <f t="shared" si="3"/>
        <v>Cuartofinalista</v>
      </c>
      <c r="C213" s="335" t="str">
        <f>WORLDCUP!AA134</f>
        <v>W95</v>
      </c>
      <c r="D213" s="667"/>
      <c r="E213" s="356"/>
      <c r="F213" s="356"/>
      <c r="G213" s="356"/>
      <c r="H213" s="356"/>
      <c r="I213" s="338"/>
      <c r="J213" s="356"/>
      <c r="K213" s="356"/>
      <c r="L213" s="356"/>
      <c r="M213" s="372"/>
      <c r="N213" s="363"/>
    </row>
    <row r="214" spans="1:14" ht="15" customHeight="1">
      <c r="A214" s="684"/>
      <c r="B214" s="346" t="str">
        <f t="shared" si="3"/>
        <v>Cuartofinalista</v>
      </c>
      <c r="C214" s="335" t="str">
        <f>WORLDCUP!AF131</f>
        <v>W90</v>
      </c>
      <c r="D214" s="667"/>
      <c r="E214" s="356"/>
      <c r="F214" s="356"/>
      <c r="G214" s="356"/>
      <c r="H214" s="356"/>
      <c r="I214" s="338"/>
      <c r="J214" s="356"/>
      <c r="K214" s="356"/>
      <c r="L214" s="356"/>
      <c r="M214" s="372"/>
      <c r="N214" s="363"/>
    </row>
    <row r="215" spans="1:14" ht="15" customHeight="1">
      <c r="A215" s="684"/>
      <c r="B215" s="346" t="str">
        <f t="shared" si="3"/>
        <v>Cuartofinalista</v>
      </c>
      <c r="C215" s="335" t="str">
        <f>WORLDCUP!AF132</f>
        <v>W94</v>
      </c>
      <c r="D215" s="667"/>
      <c r="E215" s="356"/>
      <c r="F215" s="356"/>
      <c r="G215" s="356"/>
      <c r="H215" s="356"/>
      <c r="I215" s="338"/>
      <c r="J215" s="356"/>
      <c r="K215" s="356"/>
      <c r="L215" s="356"/>
      <c r="M215" s="372"/>
      <c r="N215" s="363"/>
    </row>
    <row r="216" spans="1:14" ht="15" customHeight="1">
      <c r="A216" s="684"/>
      <c r="B216" s="346" t="str">
        <f t="shared" si="3"/>
        <v>Cuartofinalista</v>
      </c>
      <c r="C216" s="335" t="str">
        <f>WORLDCUP!AF133</f>
        <v>W92</v>
      </c>
      <c r="D216" s="667"/>
      <c r="E216" s="356"/>
      <c r="F216" s="356"/>
      <c r="G216" s="356"/>
      <c r="H216" s="356"/>
      <c r="I216" s="338"/>
      <c r="J216" s="356"/>
      <c r="K216" s="356"/>
      <c r="L216" s="356"/>
      <c r="M216" s="372"/>
      <c r="N216" s="363"/>
    </row>
    <row r="217" spans="1:14" ht="15" customHeight="1">
      <c r="A217" s="684"/>
      <c r="B217" s="346" t="str">
        <f t="shared" si="3"/>
        <v>Cuartofinalista</v>
      </c>
      <c r="C217" s="335" t="str">
        <f>WORLDCUP!AF134</f>
        <v>W96</v>
      </c>
      <c r="D217" s="667"/>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4"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7" t="s">
        <v>36</v>
      </c>
      <c r="E220" s="666" t="str">
        <f>Idiomas!D117</f>
        <v>·Para los cuartos de final copiar de la C220 a la C229 y pega valores en la plantilla de administrador.</v>
      </c>
      <c r="F220" s="666"/>
      <c r="G220" s="666"/>
      <c r="H220" s="666"/>
      <c r="I220" s="338"/>
      <c r="J220" s="356"/>
      <c r="K220" s="356"/>
      <c r="L220" s="356"/>
      <c r="M220" s="372"/>
      <c r="N220" s="363"/>
    </row>
    <row r="221" spans="1:14" ht="15" customHeight="1">
      <c r="A221" s="684"/>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7"/>
      <c r="E221" s="666"/>
      <c r="F221" s="666"/>
      <c r="G221" s="666"/>
      <c r="H221" s="666"/>
      <c r="I221" s="338"/>
      <c r="J221" s="356"/>
      <c r="K221" s="356"/>
      <c r="L221" s="356"/>
      <c r="M221" s="372"/>
      <c r="N221" s="363"/>
    </row>
    <row r="222" spans="1:14" ht="15" customHeight="1">
      <c r="A222" s="684"/>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7"/>
      <c r="E222" s="666"/>
      <c r="F222" s="666"/>
      <c r="G222" s="666"/>
      <c r="H222" s="666"/>
      <c r="I222" s="338"/>
      <c r="J222" s="356"/>
      <c r="K222" s="356"/>
      <c r="L222" s="356"/>
      <c r="M222" s="372"/>
      <c r="N222" s="363"/>
    </row>
    <row r="223" spans="1:14" ht="15" customHeight="1">
      <c r="A223" s="684"/>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7"/>
      <c r="E223" s="666"/>
      <c r="F223" s="666"/>
      <c r="G223" s="666"/>
      <c r="H223" s="666"/>
      <c r="I223" s="338"/>
      <c r="J223" s="356"/>
      <c r="K223" s="356"/>
      <c r="L223" s="356"/>
      <c r="M223" s="372"/>
      <c r="N223" s="363"/>
    </row>
    <row r="224" spans="1:14">
      <c r="A224" s="339"/>
      <c r="B224" s="339"/>
      <c r="C224" s="336"/>
      <c r="D224" s="687"/>
      <c r="E224" s="338"/>
      <c r="F224" s="338"/>
      <c r="G224" s="338"/>
      <c r="H224" s="338"/>
      <c r="I224" s="338"/>
      <c r="J224" s="356"/>
      <c r="K224" s="356"/>
      <c r="L224" s="356"/>
      <c r="M224" s="372"/>
      <c r="N224" s="363"/>
    </row>
    <row r="225" spans="1:14" ht="18.5">
      <c r="A225" s="339"/>
      <c r="B225" s="344" t="str">
        <f>Idiomas!D133</f>
        <v>CLASIFICADOS PARA SEMIFINALES</v>
      </c>
      <c r="C225" s="336"/>
      <c r="D225" s="687"/>
      <c r="E225" s="356"/>
      <c r="F225" s="356"/>
      <c r="G225" s="356"/>
      <c r="H225" s="356"/>
      <c r="I225" s="338"/>
      <c r="J225" s="356"/>
      <c r="K225" s="356"/>
      <c r="L225" s="356"/>
      <c r="M225" s="372"/>
      <c r="N225" s="363"/>
    </row>
    <row r="226" spans="1:14" ht="15" customHeight="1">
      <c r="A226" s="684" t="s">
        <v>37</v>
      </c>
      <c r="B226" s="346" t="str">
        <f>Idiomas!$D$191</f>
        <v>Semifinalista</v>
      </c>
      <c r="C226" s="335" t="str">
        <f>WORLDCUP!AA138</f>
        <v>W97</v>
      </c>
      <c r="D226" s="687"/>
      <c r="E226" s="356"/>
      <c r="F226" s="356"/>
      <c r="G226" s="356"/>
      <c r="H226" s="356"/>
      <c r="I226" s="338"/>
      <c r="J226" s="356"/>
      <c r="K226" s="356"/>
      <c r="L226" s="356"/>
      <c r="M226" s="372"/>
      <c r="N226" s="363"/>
    </row>
    <row r="227" spans="1:14" ht="15" customHeight="1">
      <c r="A227" s="684"/>
      <c r="B227" s="346" t="str">
        <f>Idiomas!$D$191</f>
        <v>Semifinalista</v>
      </c>
      <c r="C227" s="335" t="str">
        <f>WORLDCUP!AA139</f>
        <v>W99</v>
      </c>
      <c r="D227" s="687"/>
      <c r="E227" s="356"/>
      <c r="F227" s="356"/>
      <c r="G227" s="356"/>
      <c r="H227" s="356"/>
      <c r="I227" s="338"/>
      <c r="J227" s="356"/>
      <c r="K227" s="356"/>
      <c r="L227" s="356"/>
      <c r="M227" s="372"/>
      <c r="N227" s="363"/>
    </row>
    <row r="228" spans="1:14" ht="15" customHeight="1">
      <c r="A228" s="684"/>
      <c r="B228" s="346" t="str">
        <f>Idiomas!$D$191</f>
        <v>Semifinalista</v>
      </c>
      <c r="C228" s="335" t="str">
        <f>WORLDCUP!AF138</f>
        <v>W98</v>
      </c>
      <c r="D228" s="687"/>
      <c r="E228" s="356"/>
      <c r="F228" s="356"/>
      <c r="G228" s="356"/>
      <c r="H228" s="356"/>
      <c r="I228" s="338"/>
      <c r="J228" s="356"/>
      <c r="K228" s="356"/>
      <c r="L228" s="356"/>
      <c r="M228" s="372"/>
      <c r="N228" s="363"/>
    </row>
    <row r="229" spans="1:14" ht="15" customHeight="1">
      <c r="A229" s="684"/>
      <c r="B229" s="346" t="str">
        <f>Idiomas!$D$191</f>
        <v>Semifinalista</v>
      </c>
      <c r="C229" s="335" t="str">
        <f>WORLDCUP!AF139</f>
        <v>W100</v>
      </c>
      <c r="D229" s="687"/>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7" t="s">
        <v>37</v>
      </c>
      <c r="E232" s="666" t="str">
        <f>Idiomas!D118</f>
        <v>·Para las semifinales copiar de la C232 a la C241 y pega valores en la plantilla de administrador.</v>
      </c>
      <c r="F232" s="666"/>
      <c r="G232" s="666"/>
      <c r="H232" s="666"/>
      <c r="I232" s="338"/>
      <c r="J232" s="356"/>
      <c r="K232" s="356"/>
      <c r="L232" s="356"/>
      <c r="M232" s="372"/>
      <c r="N232" s="363"/>
    </row>
    <row r="233" spans="1:14" ht="15" customHeight="1">
      <c r="A233" s="69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7"/>
      <c r="E233" s="666"/>
      <c r="F233" s="666"/>
      <c r="G233" s="666"/>
      <c r="H233" s="666"/>
      <c r="I233" s="338"/>
      <c r="J233" s="356"/>
      <c r="K233" s="356"/>
      <c r="L233" s="356"/>
      <c r="M233" s="372"/>
      <c r="N233" s="363"/>
    </row>
    <row r="234" spans="1:14" ht="15" customHeight="1">
      <c r="A234" s="339"/>
      <c r="B234" s="339"/>
      <c r="C234" s="336"/>
      <c r="D234" s="667"/>
      <c r="E234" s="666"/>
      <c r="F234" s="666"/>
      <c r="G234" s="666"/>
      <c r="H234" s="666"/>
      <c r="I234" s="338"/>
      <c r="J234" s="356"/>
      <c r="K234" s="356"/>
      <c r="L234" s="356"/>
      <c r="M234" s="372"/>
      <c r="N234" s="363"/>
    </row>
    <row r="235" spans="1:14" ht="18.5">
      <c r="A235" s="339"/>
      <c r="B235" s="344" t="str">
        <f>Idiomas!D135</f>
        <v>CLASIFICADOS PARA EL 3º y 4º PUESTO</v>
      </c>
      <c r="C235" s="336"/>
      <c r="D235" s="667"/>
      <c r="E235" s="666"/>
      <c r="F235" s="666"/>
      <c r="G235" s="666"/>
      <c r="H235" s="666"/>
      <c r="I235" s="338"/>
      <c r="J235" s="356"/>
      <c r="K235" s="356"/>
      <c r="L235" s="356"/>
      <c r="M235" s="372"/>
      <c r="N235" s="363"/>
    </row>
    <row r="236" spans="1:14" ht="15" customHeight="1">
      <c r="A236" s="691" t="s">
        <v>503</v>
      </c>
      <c r="B236" s="346" t="str">
        <f>Idiomas!D192</f>
        <v>3º y 4º puesto</v>
      </c>
      <c r="C236" s="335" t="str">
        <f>WORLDCUP!AA143</f>
        <v>L101</v>
      </c>
      <c r="D236" s="667"/>
      <c r="E236" s="360"/>
      <c r="F236" s="360"/>
      <c r="G236" s="360"/>
      <c r="H236" s="360"/>
      <c r="I236" s="338"/>
      <c r="J236" s="356"/>
      <c r="K236" s="356"/>
      <c r="L236" s="356"/>
      <c r="M236" s="372"/>
      <c r="N236" s="363"/>
    </row>
    <row r="237" spans="1:14" ht="15" customHeight="1">
      <c r="A237" s="691"/>
      <c r="B237" s="346" t="str">
        <f>Idiomas!D192</f>
        <v>3º y 4º puesto</v>
      </c>
      <c r="C237" s="335" t="str">
        <f>WORLDCUP!AF143</f>
        <v>L102</v>
      </c>
      <c r="D237" s="667"/>
      <c r="E237" s="360"/>
      <c r="F237" s="360"/>
      <c r="G237" s="360"/>
      <c r="H237" s="360"/>
      <c r="I237" s="338"/>
      <c r="J237" s="356"/>
      <c r="K237" s="356"/>
      <c r="L237" s="356"/>
      <c r="M237" s="372"/>
      <c r="N237" s="363"/>
    </row>
    <row r="238" spans="1:14" ht="15" customHeight="1">
      <c r="A238" s="339"/>
      <c r="B238" s="339"/>
      <c r="C238" s="336"/>
      <c r="D238" s="667"/>
      <c r="E238" s="360"/>
      <c r="F238" s="360"/>
      <c r="G238" s="360"/>
      <c r="H238" s="360"/>
      <c r="I238" s="338"/>
      <c r="J238" s="356"/>
      <c r="K238" s="356"/>
      <c r="L238" s="356"/>
      <c r="M238" s="372"/>
      <c r="N238" s="363"/>
    </row>
    <row r="239" spans="1:14" ht="19" customHeight="1">
      <c r="A239" s="339"/>
      <c r="B239" s="344" t="str">
        <f>Idiomas!D136</f>
        <v>CLASIFICADOS PARA LA FINAL</v>
      </c>
      <c r="C239" s="336"/>
      <c r="D239" s="667"/>
      <c r="E239" s="360"/>
      <c r="F239" s="360"/>
      <c r="G239" s="360"/>
      <c r="H239" s="360"/>
      <c r="I239" s="338"/>
      <c r="J239" s="356"/>
      <c r="K239" s="356"/>
      <c r="L239" s="356"/>
      <c r="M239" s="372"/>
      <c r="N239" s="363"/>
    </row>
    <row r="240" spans="1:14" ht="15" customHeight="1">
      <c r="A240" s="691" t="s">
        <v>4</v>
      </c>
      <c r="B240" s="346" t="str">
        <f>Idiomas!D193</f>
        <v>Finalista</v>
      </c>
      <c r="C240" s="335" t="str">
        <f>WORLDCUP!AA147</f>
        <v>W101</v>
      </c>
      <c r="D240" s="667"/>
      <c r="E240" s="356"/>
      <c r="F240" s="356"/>
      <c r="G240" s="356"/>
      <c r="H240" s="356"/>
      <c r="I240" s="338"/>
      <c r="J240" s="356"/>
      <c r="K240" s="356"/>
      <c r="L240" s="356"/>
      <c r="M240" s="372"/>
      <c r="N240" s="363"/>
    </row>
    <row r="241" spans="1:14" ht="15" customHeight="1">
      <c r="A241" s="691"/>
      <c r="B241" s="346" t="str">
        <f>B240</f>
        <v>Finalista</v>
      </c>
      <c r="C241" s="335" t="str">
        <f>WORLDCUP!AF147</f>
        <v>W102</v>
      </c>
      <c r="D241" s="667"/>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2" t="s">
        <v>583</v>
      </c>
      <c r="E244" s="690" t="str">
        <f>Idiomas!D119</f>
        <v>·Para el 3º y 4º puesto y la Final copiar de la C244 a la C252 y pega valores en la plantilla de administrador.</v>
      </c>
      <c r="F244" s="690"/>
      <c r="G244" s="690"/>
      <c r="H244" s="690"/>
      <c r="I244" s="367"/>
      <c r="J244" s="356"/>
      <c r="K244" s="356"/>
      <c r="L244" s="356"/>
      <c r="M244" s="372"/>
      <c r="N244" s="363"/>
    </row>
    <row r="245" spans="1:14" ht="15" customHeight="1">
      <c r="A245" s="339"/>
      <c r="B245" s="339"/>
      <c r="C245" s="336"/>
      <c r="D245" s="692"/>
      <c r="E245" s="690"/>
      <c r="F245" s="690"/>
      <c r="G245" s="690"/>
      <c r="H245" s="690"/>
      <c r="I245" s="367"/>
      <c r="J245" s="356"/>
      <c r="K245" s="356"/>
      <c r="L245" s="356"/>
      <c r="M245" s="372"/>
      <c r="N245" s="363"/>
    </row>
    <row r="246" spans="1:14" ht="21" customHeight="1">
      <c r="A246" s="339"/>
      <c r="B246" s="344" t="str">
        <f>Idiomas!D138</f>
        <v>ENFRENTAMIENTO FINAL</v>
      </c>
      <c r="C246" s="336"/>
      <c r="D246" s="692"/>
      <c r="E246" s="690"/>
      <c r="F246" s="690"/>
      <c r="G246" s="690"/>
      <c r="H246" s="69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2"/>
      <c r="E247" s="362"/>
      <c r="F247" s="362"/>
      <c r="G247" s="362"/>
      <c r="H247" s="362"/>
      <c r="I247" s="367"/>
      <c r="J247" s="356"/>
      <c r="K247" s="356"/>
      <c r="L247" s="356"/>
      <c r="M247" s="372"/>
      <c r="N247" s="363"/>
    </row>
    <row r="248" spans="1:14" ht="15" customHeight="1">
      <c r="A248" s="339"/>
      <c r="B248" s="339"/>
      <c r="C248" s="336"/>
      <c r="D248" s="692"/>
      <c r="E248" s="360"/>
      <c r="F248" s="360"/>
      <c r="G248" s="360"/>
      <c r="H248" s="360"/>
      <c r="I248" s="367"/>
      <c r="J248" s="356"/>
      <c r="K248" s="356"/>
      <c r="L248" s="356"/>
      <c r="M248" s="372"/>
      <c r="N248" s="363"/>
    </row>
    <row r="249" spans="1:14" ht="19" customHeight="1">
      <c r="A249" s="339"/>
      <c r="B249" s="344" t="str">
        <f>Idiomas!D139</f>
        <v>CUADRO DE HONOR</v>
      </c>
      <c r="C249" s="336"/>
      <c r="D249" s="69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89" t="str">
        <f>Idiomas!D120</f>
        <v>·Al inicio de la competición si se hace por fases copiar de la C253 a la C258 y pegarla al final del jugador en el archivo de administrador.</v>
      </c>
      <c r="F253" s="689"/>
      <c r="G253" s="689"/>
      <c r="H253" s="689"/>
      <c r="I253" s="378"/>
      <c r="J253" s="378"/>
      <c r="K253" s="378"/>
      <c r="L253" s="379"/>
      <c r="M253" s="379"/>
      <c r="N253" s="363"/>
    </row>
    <row r="254" spans="1:14" ht="15" customHeight="1">
      <c r="A254" s="352"/>
      <c r="B254" s="346" t="e">
        <f>WORLDCUP!#REF!</f>
        <v>#REF!</v>
      </c>
      <c r="C254" s="335" t="e">
        <f>WORLDCUP!#REF!</f>
        <v>#REF!</v>
      </c>
      <c r="D254" s="357"/>
      <c r="E254" s="689"/>
      <c r="F254" s="689"/>
      <c r="G254" s="689"/>
      <c r="H254" s="689"/>
      <c r="I254" s="378"/>
      <c r="J254" s="378"/>
      <c r="K254" s="378"/>
      <c r="L254" s="379"/>
      <c r="M254" s="379"/>
      <c r="N254" s="363"/>
    </row>
    <row r="255" spans="1:14" ht="15" customHeight="1">
      <c r="A255" s="352"/>
      <c r="B255" s="346" t="e">
        <f>WORLDCUP!#REF!</f>
        <v>#REF!</v>
      </c>
      <c r="C255" s="335" t="e">
        <f>WORLDCUP!#REF!</f>
        <v>#REF!</v>
      </c>
      <c r="D255" s="357"/>
      <c r="E255" s="689"/>
      <c r="F255" s="689"/>
      <c r="G255" s="689"/>
      <c r="H255" s="689"/>
      <c r="I255" s="378"/>
      <c r="J255" s="378"/>
      <c r="K255" s="378"/>
      <c r="L255" s="379"/>
      <c r="M255" s="379"/>
      <c r="N255" s="363"/>
    </row>
    <row r="256" spans="1:14" ht="15" customHeight="1">
      <c r="A256" s="349"/>
      <c r="B256" s="346" t="str">
        <f>WORLDCUP!W156</f>
        <v>Balón de Oro  (mejor jugador)</v>
      </c>
      <c r="C256" s="335">
        <f>WORLDCUP!AA156</f>
        <v>0</v>
      </c>
      <c r="D256" s="357"/>
      <c r="E256" s="689"/>
      <c r="F256" s="689"/>
      <c r="G256" s="689"/>
      <c r="H256" s="689"/>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2026-06-20T10:45:55Z</dcterms:modified>
</cp:coreProperties>
</file>