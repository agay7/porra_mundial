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338B6A7A-06EE-49A7-B243-B1E31B86D629}" xr6:coauthVersionLast="47" xr6:coauthVersionMax="47" xr10:uidLastSave="{00000000-0000-0000-0000-000000000000}"/>
  <bookViews>
    <workbookView xWindow="9690" yWindow="470" windowWidth="9510" windowHeight="961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38" i="3" l="1"/>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O81" i="3"/>
  <c r="N14" i="3"/>
  <c r="CI11" i="3" s="1"/>
  <c r="CK13" i="3"/>
  <c r="N23" i="3"/>
  <c r="N20" i="3"/>
  <c r="O24" i="3"/>
  <c r="CK17" i="3" s="1"/>
  <c r="N17" i="3"/>
  <c r="CI12" i="3" s="1"/>
  <c r="O14" i="3"/>
  <c r="CI13" i="3" s="1"/>
  <c r="CK33" i="3"/>
  <c r="CK53" i="3"/>
  <c r="CK14" i="3"/>
  <c r="CK49" i="3"/>
  <c r="CK31" i="3"/>
  <c r="CI14" i="3" l="1"/>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L7" i="3"/>
  <c r="CM53" i="3" s="1"/>
  <c r="CL6" i="3"/>
  <c r="CM17" i="3" s="1"/>
  <c r="CM47" i="3"/>
  <c r="CM43" i="3"/>
  <c r="CM35" i="3"/>
  <c r="CM44" i="3"/>
  <c r="CM19" i="3"/>
  <c r="CM39" i="3"/>
  <c r="CM41" i="3"/>
  <c r="CM52" i="3"/>
  <c r="CM37" i="3"/>
  <c r="CM12" i="3" l="1"/>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78" i="3"/>
  <c r="R80" i="3"/>
  <c r="R40" i="3"/>
  <c r="Q62" i="3"/>
  <c r="R38" i="3"/>
  <c r="R56" i="3"/>
  <c r="R62" i="3"/>
  <c r="R53" i="3"/>
  <c r="R54" i="3"/>
  <c r="R81" i="3"/>
  <c r="R87" i="3"/>
  <c r="Q55" i="3"/>
  <c r="R70" i="3"/>
  <c r="Q96" i="3"/>
  <c r="Q72" i="3"/>
  <c r="R49" i="3"/>
  <c r="R32" i="3"/>
  <c r="R69" i="3"/>
  <c r="R24" i="3"/>
  <c r="Q78" i="3"/>
  <c r="Q80" i="3"/>
  <c r="R31" i="3"/>
  <c r="Q23" i="3"/>
  <c r="Q16" i="3"/>
  <c r="R16" i="3"/>
  <c r="R79" i="3"/>
  <c r="CO45" i="3" s="1"/>
  <c r="Q63" i="3"/>
  <c r="R96" i="3"/>
  <c r="R55" i="3"/>
  <c r="R41" i="3"/>
  <c r="R88" i="3"/>
  <c r="R85" i="3"/>
  <c r="R72" i="3"/>
  <c r="R95" i="3"/>
  <c r="Q56" i="3"/>
  <c r="R77" i="3"/>
  <c r="Q86" i="3"/>
  <c r="R39" i="3"/>
  <c r="Q73" i="3"/>
  <c r="Q97" i="3"/>
  <c r="Q8" i="3"/>
  <c r="Q40" i="3"/>
  <c r="Q88" i="3"/>
  <c r="R48" i="3"/>
  <c r="R9" i="3"/>
  <c r="R94" i="3"/>
  <c r="Q65" i="3"/>
  <c r="R17" i="3"/>
  <c r="Q54" i="3"/>
  <c r="Q81" i="3"/>
  <c r="Q49" i="3"/>
  <c r="Q48" i="3"/>
  <c r="Q64" i="3"/>
  <c r="R8" i="3"/>
  <c r="Q38" i="3" l="1"/>
  <c r="Q22" i="3"/>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20" i="3" s="1"/>
  <c r="CP47" i="3"/>
  <c r="CO15" i="3"/>
  <c r="Q68" i="3"/>
  <c r="CP39" i="3" s="1"/>
  <c r="R21" i="3"/>
  <c r="CP23" i="3"/>
  <c r="CP36" i="3"/>
  <c r="CO30" i="3"/>
  <c r="R45" i="3"/>
  <c r="Q60" i="3"/>
  <c r="CO35" i="3" s="1"/>
  <c r="CP50" i="3"/>
  <c r="CP33" i="3"/>
  <c r="Q52" i="3"/>
  <c r="CP31" i="3" s="1"/>
  <c r="CP12" i="3"/>
  <c r="CP30" i="3"/>
  <c r="Q45" i="3"/>
  <c r="CO23" i="3"/>
  <c r="CO22" i="3"/>
  <c r="CP22" i="3"/>
  <c r="Q4" i="3"/>
  <c r="CP7" i="3" s="1"/>
  <c r="Q12" i="3"/>
  <c r="R5" i="3"/>
  <c r="CO8" i="3" s="1"/>
  <c r="CO12" i="3"/>
  <c r="CO47" i="3"/>
  <c r="CO9" i="3"/>
  <c r="R20" i="3"/>
  <c r="Q21" i="3"/>
  <c r="CP45" i="3"/>
  <c r="CQ45" i="3" s="1"/>
  <c r="CP44" i="3"/>
  <c r="CP49" i="3"/>
  <c r="CP48" i="3"/>
  <c r="CO50" i="3"/>
  <c r="CP40" i="3"/>
  <c r="CO40" i="3"/>
  <c r="CO49" i="3"/>
  <c r="CO48" i="3"/>
  <c r="CP32" i="3"/>
  <c r="CP16" i="3"/>
  <c r="CO42" i="3"/>
  <c r="CO44" i="3"/>
  <c r="CO32" i="3"/>
  <c r="CP28" i="3"/>
  <c r="CP17" i="3"/>
  <c r="CO28" i="3"/>
  <c r="CP15" i="3"/>
  <c r="CO17" i="3"/>
  <c r="CO16" i="3"/>
  <c r="CO6" i="3"/>
  <c r="CP6" i="3"/>
  <c r="CP27" i="3"/>
  <c r="CO29" i="3"/>
  <c r="CP29" i="3"/>
  <c r="CO33" i="3"/>
  <c r="CO25" i="3"/>
  <c r="CP25" i="3"/>
  <c r="CP41" i="3"/>
  <c r="CO36" i="3"/>
  <c r="CQ42" i="3" l="1"/>
  <c r="CP19" i="3"/>
  <c r="CQ19" i="3" s="1"/>
  <c r="CO24" i="3"/>
  <c r="CQ24" i="3" s="1"/>
  <c r="CP53" i="3"/>
  <c r="CQ53" i="3" s="1"/>
  <c r="CP37" i="3"/>
  <c r="CQ37" i="3" s="1"/>
  <c r="CP14" i="3"/>
  <c r="CO52" i="3"/>
  <c r="CQ52" i="3" s="1"/>
  <c r="CP38" i="3"/>
  <c r="CQ38" i="3" s="1"/>
  <c r="CO51" i="3"/>
  <c r="CQ51" i="3" s="1"/>
  <c r="CP11" i="3"/>
  <c r="CP34" i="3"/>
  <c r="CQ34" i="3" s="1"/>
  <c r="CO13" i="3"/>
  <c r="CO20" i="3"/>
  <c r="CQ20" i="3" s="1"/>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Q9" i="3"/>
  <c r="CP35" i="3"/>
  <c r="CQ35" i="3" s="1"/>
  <c r="CO11" i="3"/>
  <c r="CQ36" i="3"/>
  <c r="CQ22" i="3"/>
  <c r="CO7" i="3"/>
  <c r="CQ7" i="3" s="1"/>
  <c r="CQ44" i="3"/>
  <c r="CQ49" i="3"/>
  <c r="CQ48" i="3"/>
  <c r="CQ16" i="3"/>
  <c r="CQ40" i="3"/>
  <c r="CQ32" i="3"/>
  <c r="CQ28" i="3"/>
  <c r="CQ17" i="3"/>
  <c r="CQ6" i="3"/>
  <c r="CQ41" i="3"/>
  <c r="CQ29" i="3"/>
  <c r="CQ25" i="3"/>
  <c r="CQ14" i="3" l="1"/>
  <c r="CR41" i="3" s="1"/>
  <c r="CQ13" i="3"/>
  <c r="CQ11" i="3"/>
  <c r="CR53" i="3" s="1"/>
  <c r="CR47" i="3"/>
  <c r="CR48" i="3"/>
  <c r="CR21" i="3"/>
  <c r="CR26" i="3"/>
  <c r="CR49" i="3"/>
  <c r="CR19" i="3"/>
  <c r="CR35" i="3"/>
  <c r="CR34" i="3"/>
  <c r="CR28" i="3"/>
  <c r="CR17" i="3"/>
  <c r="CR20" i="3"/>
  <c r="CR16" i="3"/>
  <c r="CR18" i="3"/>
  <c r="CR7" i="3"/>
  <c r="CR46" i="3"/>
  <c r="CR9" i="3"/>
  <c r="CR6" i="3"/>
  <c r="CR8" i="3"/>
  <c r="CR27" i="3"/>
  <c r="CR13" i="3"/>
  <c r="CR29" i="3"/>
  <c r="CR25" i="3"/>
  <c r="CR51" i="3"/>
  <c r="CR12" i="3" l="1"/>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T54" i="3"/>
  <c r="U33" i="3"/>
  <c r="U25" i="3"/>
  <c r="U32" i="3"/>
  <c r="T86" i="3"/>
  <c r="U64" i="3"/>
  <c r="T8" i="3"/>
  <c r="T36" i="3"/>
  <c r="U41" i="3"/>
  <c r="T69" i="3"/>
  <c r="U73" i="3"/>
  <c r="T81" i="3"/>
  <c r="U16" i="3"/>
  <c r="T24" i="3"/>
  <c r="T73" i="3"/>
  <c r="U95" i="3"/>
  <c r="U86" i="3"/>
  <c r="T97" i="3"/>
  <c r="T32" i="3"/>
  <c r="U81" i="3"/>
  <c r="U78" i="3"/>
  <c r="T89" i="3"/>
  <c r="U87" i="3"/>
  <c r="T87" i="3"/>
  <c r="T88" i="3"/>
  <c r="T56" i="3"/>
  <c r="U49" i="3"/>
  <c r="T16" i="3"/>
  <c r="U52" i="3"/>
  <c r="T64" i="3"/>
  <c r="U54" i="3"/>
  <c r="T94" i="3"/>
  <c r="T68" i="3"/>
  <c r="U93" i="3"/>
  <c r="T33" i="3"/>
  <c r="T96" i="3"/>
  <c r="U72" i="3"/>
  <c r="U96" i="3"/>
  <c r="T72" i="3"/>
  <c r="T57" i="3"/>
  <c r="U94" i="3"/>
  <c r="T65" i="3"/>
  <c r="U17" i="3"/>
  <c r="T55" i="3"/>
  <c r="U97" i="3"/>
  <c r="T25" i="3"/>
  <c r="U79" i="3"/>
  <c r="T60" i="3"/>
  <c r="T62" i="3"/>
  <c r="T48" i="3"/>
  <c r="U44" i="3"/>
  <c r="T9" i="3"/>
  <c r="T49" i="3"/>
  <c r="T47" i="3" l="1"/>
  <c r="U61" i="3"/>
  <c r="U6" i="3"/>
  <c r="U39" i="3"/>
  <c r="U38" i="3"/>
  <c r="CT31" i="3"/>
  <c r="U14" i="3"/>
  <c r="CT13" i="3" s="1"/>
  <c r="U37" i="3"/>
  <c r="CT24" i="3" s="1"/>
  <c r="U36" i="3"/>
  <c r="CT53" i="3"/>
  <c r="T44" i="3"/>
  <c r="T6" i="3"/>
  <c r="T45" i="3"/>
  <c r="U46" i="3"/>
  <c r="CT26" i="3" s="1"/>
  <c r="U7" i="3"/>
  <c r="T37" i="3"/>
  <c r="CT25" i="3" s="1"/>
  <c r="U15" i="3"/>
  <c r="CT28" i="3"/>
  <c r="T12" i="3"/>
  <c r="CT11" i="3" s="1"/>
  <c r="T5" i="3"/>
  <c r="CT9" i="3" s="1"/>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CT10" i="3" s="1"/>
  <c r="T76" i="3"/>
  <c r="CT43" i="3" s="1"/>
  <c r="CT23" i="3"/>
  <c r="T61" i="3"/>
  <c r="CT37" i="3" s="1"/>
  <c r="CT32" i="3"/>
  <c r="CT22" i="3"/>
  <c r="CT21" i="3"/>
  <c r="CT48" i="3"/>
  <c r="CT6" i="3"/>
  <c r="CT46" i="3"/>
  <c r="CT30" i="3"/>
  <c r="CT18" i="3"/>
  <c r="CT16" i="3"/>
  <c r="CT27" i="3"/>
  <c r="CT41" i="3"/>
  <c r="CT39" i="3"/>
  <c r="CT52" i="3"/>
  <c r="CT29" i="3"/>
  <c r="CT36" i="3"/>
  <c r="CT8" i="3"/>
  <c r="CT7" i="3" l="1"/>
  <c r="CU53" i="3" s="1"/>
  <c r="CU47" i="3"/>
  <c r="CU49" i="3"/>
  <c r="CU48" i="3"/>
  <c r="CU44" i="3"/>
  <c r="CU24" i="3"/>
  <c r="CU41" i="3"/>
  <c r="CU21" i="3"/>
  <c r="CU27" i="3"/>
  <c r="CU38" i="3"/>
  <c r="CU10" i="3"/>
  <c r="CU26" i="3"/>
  <c r="CU20" i="3"/>
  <c r="CU50" i="3"/>
  <c r="CU18" i="3"/>
  <c r="CU19" i="3"/>
  <c r="CU46" i="3"/>
  <c r="CU32" i="3"/>
  <c r="CU33" i="3"/>
  <c r="CU15" i="3"/>
  <c r="CU14" i="3"/>
  <c r="CU42" i="3"/>
  <c r="CU17" i="3"/>
  <c r="CU16" i="3"/>
  <c r="CU28" i="3"/>
  <c r="CU22" i="3"/>
  <c r="CU29" i="3"/>
  <c r="CU8" i="3"/>
  <c r="CU25" i="3"/>
  <c r="CU37" i="3"/>
  <c r="CU23" i="3"/>
  <c r="CU9" i="3"/>
  <c r="CU51" i="3"/>
  <c r="CU7" i="3"/>
  <c r="CU6" i="3"/>
  <c r="CU52" i="3"/>
  <c r="CU13" i="3"/>
  <c r="CU36" i="3"/>
  <c r="CU39" i="3" l="1"/>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<sst xmlns="http://schemas.openxmlformats.org/spreadsheetml/2006/main" count="6814" uniqueCount="1534">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</sst>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AA39" zoomScale="73" zoomScaleNormal="100" workbookViewId="0">
      <selection activeCell="AD48" sqref="AD48"/>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41"/>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41"/>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7</v>
      </c>
      <c r="BN58" s="16">
        <f ca="1">CF58</f>
        <v>7</v>
      </c>
      <c r="BO58" s="16" t="str">
        <f t="shared" ref="BO58:BO69" si="174">"4"&amp;BC58</f>
        <v>4A</v>
      </c>
      <c r="BP58" s="16"/>
      <c r="BQ58" s="16"/>
      <c r="BR58" s="16">
        <f t="shared" ref="BR58:BR69" ca="1" si="175">+BE58</f>
        <v>1</v>
      </c>
      <c r="BS58" s="16">
        <f ca="1">COUNTIFS(BR$58:BR$69,"&gt;"&amp;BR58)+1</f>
        <v>4</v>
      </c>
      <c r="BT58" s="16" t="str">
        <f ca="1">IF(COUNTIF(BS$58:BS$69,BS58)=1,"-","Pos. "&amp;BS58&amp;" ("&amp;COUNTIF(BS$58:BS$69,BS58)&amp;")")</f>
        <v>Pos. 4 (6)</v>
      </c>
      <c r="BU58" s="16">
        <f t="shared" ref="BU58:BU69" ca="1" si="176">IF(BT58="-","-",BL58)</f>
        <v>-1</v>
      </c>
      <c r="BV58" s="16">
        <f t="shared" ref="BV58:BV69" ca="1" si="177">BS58+COUNTIFS(BT$58:BT$69,BT58,BU$58:BU$69,"&gt;"&amp;BU58)</f>
        <v>7</v>
      </c>
      <c r="BW58" s="16" t="str">
        <f t="shared" ref="BW58:BW69" ca="1" si="178">IF(COUNTIF(BV$58:BV$69,BV58)=1,"-","Pos. "&amp;BV58&amp;" ("&amp;COUNTIF(BV$58:BV$69,BV58)&amp;")")</f>
        <v>Pos. 7 (2)</v>
      </c>
      <c r="BX58" s="16">
        <f t="shared" ref="BX58:BX69" ca="1" si="179">IF(BW58="-","-",BJ58)</f>
        <v>2</v>
      </c>
      <c r="BY58" s="16">
        <f t="shared" ref="BY58:BY69" ca="1" si="180">BV58+COUNTIFS(BW$58:BW$69,BW58,BX$58:BX$69,"&gt;"&amp;BX58)</f>
        <v>7</v>
      </c>
      <c r="BZ58" s="16" t="str">
        <f t="shared" ref="BZ58:BZ69" ca="1" si="181">IF(COUNTIF(BY$58:BY$69,BY58)=1,"-","Pos. "&amp;BY58&amp;" ("&amp;COUNTIF(BY$58:BY$69,BY58)&amp;")")</f>
        <v>-</v>
      </c>
      <c r="CA58" s="16" t="str">
        <f t="shared" ref="CA58:CA69" ca="1" si="182">IF(BZ58="-","-",COUNTIF($BD$58:$BD$69,"&gt;"&amp;BD58))</f>
        <v>-</v>
      </c>
      <c r="CB58" s="16">
        <f ca="1">BY58+COUNTIFS(BZ$58:BZ$69,BZ58,CA$58:CA$69,"&gt;"&amp;CA58)</f>
        <v>7</v>
      </c>
      <c r="CC58" s="16"/>
      <c r="CD58" s="16">
        <f t="shared" ref="CD58:CD69" ca="1" si="183">IF(OR(INDEX($AW$102:$AW$113,MATCH($BD58,$AV$102:$AV$113,0))="",BZ58="-"),CB58,INDEX($AW$102:$AW$113,MATCH($BD58,$AV$102:$AV$113,0))+CB58/1000)</f>
        <v>7</v>
      </c>
      <c r="CE58" s="16" t="str">
        <f ca="1">IF(BZ58="-","-",COUNTIF(CD$58:CD$69,"&lt;"&amp;CD58))</f>
        <v>-</v>
      </c>
      <c r="CF58" s="16">
        <f ca="1">BY58+COUNTIFS(BZ$58:BZ$69,BZ58,CE$58:CE$69,"&lt;"&amp;CE58)</f>
        <v>7</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9</v>
      </c>
      <c r="BN59" s="16">
        <f t="shared" ref="BN59:BN69" ca="1" si="192">CF59</f>
        <v>9</v>
      </c>
      <c r="BO59" s="16" t="str">
        <f t="shared" si="174"/>
        <v>4B</v>
      </c>
      <c r="BP59" s="16"/>
      <c r="BQ59" s="16"/>
      <c r="BR59" s="16">
        <f t="shared" ca="1" si="175"/>
        <v>1</v>
      </c>
      <c r="BS59" s="16">
        <f t="shared" ref="BS59:BS69" ca="1" si="193">COUNTIFS(BR$58:BR$69,"&gt;"&amp;BR59)+1</f>
        <v>4</v>
      </c>
      <c r="BT59" s="16" t="str">
        <f t="shared" ref="BT59:BT69" ca="1" si="194">IF(COUNTIF(BS$58:BS$69,BS59)=1,"-","Pos. "&amp;BS59&amp;" ("&amp;COUNTIF(BS$58:BS$69,BS59)&amp;")")</f>
        <v>Pos. 4 (6)</v>
      </c>
      <c r="BU59" s="16">
        <f t="shared" ca="1" si="176"/>
        <v>-3</v>
      </c>
      <c r="BV59" s="16">
        <f t="shared" ca="1" si="177"/>
        <v>9</v>
      </c>
      <c r="BW59" s="16" t="str">
        <f t="shared" ca="1" si="178"/>
        <v>-</v>
      </c>
      <c r="BX59" s="16" t="str">
        <f t="shared" ca="1" si="179"/>
        <v>-</v>
      </c>
      <c r="BY59" s="16">
        <f t="shared" ca="1" si="180"/>
        <v>9</v>
      </c>
      <c r="BZ59" s="16" t="str">
        <f t="shared" ca="1" si="181"/>
        <v>-</v>
      </c>
      <c r="CA59" s="16" t="str">
        <f t="shared" ca="1" si="182"/>
        <v>-</v>
      </c>
      <c r="CB59" s="16">
        <f t="shared" ref="CB59:CB68" ca="1" si="195">BY59+COUNTIFS(BZ$58:BZ$69,BZ59,CA$58:CA$69,"&gt;"&amp;CA59)</f>
        <v>9</v>
      </c>
      <c r="CC59" s="16"/>
      <c r="CD59" s="16">
        <f t="shared" ca="1" si="183"/>
        <v>9</v>
      </c>
      <c r="CE59" s="16" t="str">
        <f t="shared" ref="CE59:CE69" ca="1" si="196">IF(BZ59="-","-",COUNTIF(CD$58:CD$69,"&lt;"&amp;CD59))</f>
        <v>-</v>
      </c>
      <c r="CF59" s="16">
        <f t="shared" ref="CF59:CF69" ca="1" si="197">BY59+COUNTIFS(BZ$58:BZ$69,BZ59,CE$58:CE$69,"&lt;"&amp;CE59)</f>
        <v>9</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Escocia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2</v>
      </c>
      <c r="BN60" s="16">
        <f t="shared" ca="1" si="192"/>
        <v>2</v>
      </c>
      <c r="BO60" s="16" t="str">
        <f t="shared" si="174"/>
        <v>4C</v>
      </c>
      <c r="BP60" s="16"/>
      <c r="BQ60" s="16"/>
      <c r="BR60" s="16">
        <f t="shared" ca="1" si="175"/>
        <v>3</v>
      </c>
      <c r="BS60" s="16">
        <f t="shared" ca="1" si="193"/>
        <v>1</v>
      </c>
      <c r="BT60" s="16" t="str">
        <f t="shared" ca="1" si="194"/>
        <v>Pos. 1 (3)</v>
      </c>
      <c r="BU60" s="16">
        <f t="shared" ca="1" si="176"/>
        <v>0</v>
      </c>
      <c r="BV60" s="16">
        <f t="shared" ca="1" si="177"/>
        <v>1</v>
      </c>
      <c r="BW60" s="16" t="str">
        <f t="shared" ca="1" si="178"/>
        <v>Pos. 1 (2)</v>
      </c>
      <c r="BX60" s="16">
        <f t="shared" ca="1" si="179"/>
        <v>1</v>
      </c>
      <c r="BY60" s="16">
        <f t="shared" ca="1" si="180"/>
        <v>2</v>
      </c>
      <c r="BZ60" s="16" t="str">
        <f t="shared" ca="1" si="181"/>
        <v>-</v>
      </c>
      <c r="CA60" s="16" t="str">
        <f t="shared" ca="1" si="182"/>
        <v>-</v>
      </c>
      <c r="CB60" s="16">
        <f t="shared" ca="1" si="195"/>
        <v>2</v>
      </c>
      <c r="CC60" s="16"/>
      <c r="CD60" s="16">
        <f t="shared" ca="1" si="183"/>
        <v>2</v>
      </c>
      <c r="CE60" s="16" t="str">
        <f t="shared" ca="1" si="196"/>
        <v>-</v>
      </c>
      <c r="CF60" s="16">
        <f t="shared" ca="1" si="197"/>
        <v>2</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Paraguay</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23"/>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3</v>
      </c>
      <c r="BN61" s="16">
        <f t="shared" ca="1" si="192"/>
        <v>3</v>
      </c>
      <c r="BO61" s="16" t="str">
        <f t="shared" si="174"/>
        <v>4D</v>
      </c>
      <c r="BP61" s="16"/>
      <c r="BQ61" s="16"/>
      <c r="BR61" s="16">
        <f t="shared" ca="1" si="175"/>
        <v>3</v>
      </c>
      <c r="BS61" s="16">
        <f t="shared" ca="1" si="193"/>
        <v>1</v>
      </c>
      <c r="BT61" s="16" t="str">
        <f t="shared" ca="1" si="194"/>
        <v>Pos. 1 (3)</v>
      </c>
      <c r="BU61" s="16">
        <f t="shared" ca="1" si="176"/>
        <v>-2</v>
      </c>
      <c r="BV61" s="16">
        <f t="shared" ca="1" si="177"/>
        <v>3</v>
      </c>
      <c r="BW61" s="16" t="str">
        <f t="shared" ca="1" si="178"/>
        <v>-</v>
      </c>
      <c r="BX61" s="16" t="str">
        <f t="shared" ca="1" si="179"/>
        <v>-</v>
      </c>
      <c r="BY61" s="16">
        <f t="shared" ca="1" si="180"/>
        <v>3</v>
      </c>
      <c r="BZ61" s="16" t="str">
        <f t="shared" ca="1" si="181"/>
        <v>-</v>
      </c>
      <c r="CA61" s="16" t="str">
        <f t="shared" ca="1" si="182"/>
        <v>-</v>
      </c>
      <c r="CB61" s="16">
        <f t="shared" ca="1" si="195"/>
        <v>3</v>
      </c>
      <c r="CC61" s="16"/>
      <c r="CD61" s="16">
        <f t="shared" ca="1" si="183"/>
        <v>3</v>
      </c>
      <c r="CE61" s="16" t="str">
        <f t="shared" ca="1" si="196"/>
        <v>-</v>
      </c>
      <c r="CF61" s="16">
        <f t="shared" ca="1" si="197"/>
        <v>3</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Bélgica</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23"/>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8</v>
      </c>
      <c r="BN62" s="16">
        <f t="shared" ca="1" si="192"/>
        <v>8</v>
      </c>
      <c r="BO62" s="16" t="str">
        <f t="shared" si="174"/>
        <v>4E</v>
      </c>
      <c r="BP62" s="16"/>
      <c r="BQ62" s="16"/>
      <c r="BR62" s="16">
        <f t="shared" ca="1" si="175"/>
        <v>1</v>
      </c>
      <c r="BS62" s="16">
        <f t="shared" ca="1" si="193"/>
        <v>4</v>
      </c>
      <c r="BT62" s="16" t="str">
        <f t="shared" ca="1" si="194"/>
        <v>Pos. 4 (6)</v>
      </c>
      <c r="BU62" s="16">
        <f t="shared" ca="1" si="176"/>
        <v>-1</v>
      </c>
      <c r="BV62" s="16">
        <f t="shared" ca="1" si="177"/>
        <v>7</v>
      </c>
      <c r="BW62" s="16" t="str">
        <f t="shared" ca="1" si="178"/>
        <v>Pos. 7 (2)</v>
      </c>
      <c r="BX62" s="16">
        <f t="shared" ca="1" si="179"/>
        <v>0</v>
      </c>
      <c r="BY62" s="16">
        <f t="shared" ca="1" si="180"/>
        <v>8</v>
      </c>
      <c r="BZ62" s="16" t="str">
        <f t="shared" ca="1" si="181"/>
        <v>-</v>
      </c>
      <c r="CA62" s="16" t="str">
        <f t="shared" ca="1" si="182"/>
        <v>-</v>
      </c>
      <c r="CB62" s="16">
        <f t="shared" ca="1" si="195"/>
        <v>8</v>
      </c>
      <c r="CC62" s="16"/>
      <c r="CD62" s="16">
        <f t="shared" ca="1" si="183"/>
        <v>8</v>
      </c>
      <c r="CE62" s="16" t="str">
        <f t="shared" ca="1" si="196"/>
        <v>-</v>
      </c>
      <c r="CF62" s="16">
        <f t="shared" ca="1" si="197"/>
        <v>8</v>
      </c>
      <c r="DJ62" s="16">
        <f t="shared" ca="1" si="184"/>
        <v>4</v>
      </c>
      <c r="DK62" s="16"/>
      <c r="DL62" s="16">
        <f t="shared" ca="1" si="185"/>
        <v>1</v>
      </c>
      <c r="DM62" s="16" t="str">
        <f t="shared" ca="1" si="186"/>
        <v>4.1</v>
      </c>
      <c r="DN62" s="16" cm="1">
        <f t="array" aca="1" ref="DN62" ca="1">OFFSET(Horarios!$P$3,DJ62-1,0,DL62,1)</f>
        <v>4</v>
      </c>
      <c r="DO62" s="16"/>
      <c r="DP62" s="16">
        <v>5</v>
      </c>
      <c r="DQ62" s="16" t="str">
        <f t="shared" ca="1" si="198"/>
        <v>RD Congo</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23"/>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1</v>
      </c>
      <c r="BN63" s="16">
        <f t="shared" ca="1" si="192"/>
        <v>1</v>
      </c>
      <c r="BO63" s="16" t="str">
        <f t="shared" si="174"/>
        <v>4F</v>
      </c>
      <c r="BP63" s="16"/>
      <c r="BQ63" s="16"/>
      <c r="BR63" s="16">
        <f t="shared" ca="1" si="175"/>
        <v>3</v>
      </c>
      <c r="BS63" s="16">
        <f t="shared" ca="1" si="193"/>
        <v>1</v>
      </c>
      <c r="BT63" s="16" t="str">
        <f t="shared" ca="1" si="194"/>
        <v>Pos. 1 (3)</v>
      </c>
      <c r="BU63" s="16">
        <f t="shared" ca="1" si="176"/>
        <v>0</v>
      </c>
      <c r="BV63" s="16">
        <f t="shared" ca="1" si="177"/>
        <v>1</v>
      </c>
      <c r="BW63" s="16" t="str">
        <f t="shared" ca="1" si="178"/>
        <v>Pos. 1 (2)</v>
      </c>
      <c r="BX63" s="16">
        <f t="shared" ca="1" si="179"/>
        <v>6</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España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4</v>
      </c>
      <c r="BN64" s="16">
        <f t="shared" ca="1" si="192"/>
        <v>4</v>
      </c>
      <c r="BO64" s="16" t="str">
        <f t="shared" si="174"/>
        <v>4G</v>
      </c>
      <c r="BP64" s="16"/>
      <c r="BQ64" s="16"/>
      <c r="BR64" s="16">
        <f t="shared" ca="1" si="175"/>
        <v>1</v>
      </c>
      <c r="BS64" s="16">
        <f t="shared" ca="1" si="193"/>
        <v>4</v>
      </c>
      <c r="BT64" s="16" t="str">
        <f t="shared" ca="1" si="194"/>
        <v>Pos. 4 (6)</v>
      </c>
      <c r="BU64" s="16">
        <f t="shared" ca="1" si="176"/>
        <v>0</v>
      </c>
      <c r="BV64" s="16">
        <f t="shared" ca="1" si="177"/>
        <v>4</v>
      </c>
      <c r="BW64" s="16" t="str">
        <f t="shared" ca="1" si="178"/>
        <v>Pos. 4 (3)</v>
      </c>
      <c r="BX64" s="16">
        <f t="shared" ca="1" si="179"/>
        <v>1</v>
      </c>
      <c r="BY64" s="16">
        <f t="shared" ca="1" si="180"/>
        <v>4</v>
      </c>
      <c r="BZ64" s="16" t="str">
        <f t="shared" ca="1" si="181"/>
        <v>Pos. 4 (2)</v>
      </c>
      <c r="CA64" s="16">
        <f t="shared" ca="1" si="182"/>
        <v>11</v>
      </c>
      <c r="CB64" s="16">
        <f t="shared" ca="1" si="195"/>
        <v>4</v>
      </c>
      <c r="CC64" s="16"/>
      <c r="CD64" s="16">
        <f t="shared" ca="1" si="183"/>
        <v>4</v>
      </c>
      <c r="CE64" s="16">
        <f t="shared" ca="1" si="196"/>
        <v>3</v>
      </c>
      <c r="CF64" s="16">
        <f t="shared" ca="1" si="197"/>
        <v>4</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República Checa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4"/>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6</v>
      </c>
      <c r="BN65" s="16">
        <f t="shared" ca="1" si="192"/>
        <v>6</v>
      </c>
      <c r="BO65" s="16" t="str">
        <f t="shared" si="174"/>
        <v>4H</v>
      </c>
      <c r="BP65" s="16"/>
      <c r="BQ65" s="16"/>
      <c r="BR65" s="16">
        <f t="shared" ca="1" si="175"/>
        <v>1</v>
      </c>
      <c r="BS65" s="16">
        <f t="shared" ca="1" si="193"/>
        <v>4</v>
      </c>
      <c r="BT65" s="16" t="str">
        <f t="shared" ca="1" si="194"/>
        <v>Pos. 4 (6)</v>
      </c>
      <c r="BU65" s="16">
        <f t="shared" ca="1" si="176"/>
        <v>0</v>
      </c>
      <c r="BV65" s="16">
        <f t="shared" ca="1" si="177"/>
        <v>4</v>
      </c>
      <c r="BW65" s="16" t="str">
        <f t="shared" ca="1" si="178"/>
        <v>Pos. 4 (3)</v>
      </c>
      <c r="BX65" s="16">
        <f t="shared" ca="1" si="179"/>
        <v>0</v>
      </c>
      <c r="BY65" s="16">
        <f t="shared" ca="1" si="180"/>
        <v>6</v>
      </c>
      <c r="BZ65" s="16" t="str">
        <f t="shared" ca="1" si="181"/>
        <v>-</v>
      </c>
      <c r="CA65" s="16" t="str">
        <f t="shared" ca="1" si="182"/>
        <v>-</v>
      </c>
      <c r="CB65" s="16">
        <f t="shared" ca="1" si="195"/>
        <v>6</v>
      </c>
      <c r="CC65" s="16"/>
      <c r="CD65" s="16">
        <f t="shared" ca="1" si="183"/>
        <v>6</v>
      </c>
      <c r="CE65" s="16" t="str">
        <f t="shared" ca="1" si="196"/>
        <v>-</v>
      </c>
      <c r="CF65" s="16">
        <f t="shared" ca="1" si="197"/>
        <v>6</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Ecuador</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12</v>
      </c>
      <c r="BN66" s="16">
        <f t="shared" ca="1" si="192"/>
        <v>12</v>
      </c>
      <c r="BO66" s="16" t="str">
        <f t="shared" si="174"/>
        <v>4I</v>
      </c>
      <c r="BP66" s="16"/>
      <c r="BQ66" s="16"/>
      <c r="BR66" s="16">
        <f t="shared" ca="1" si="175"/>
        <v>0</v>
      </c>
      <c r="BS66" s="16">
        <f t="shared" ca="1" si="193"/>
        <v>10</v>
      </c>
      <c r="BT66" s="16" t="str">
        <f t="shared" ca="1" si="194"/>
        <v>Pos. 10 (3)</v>
      </c>
      <c r="BU66" s="16">
        <f t="shared" ca="1" si="176"/>
        <v>-2</v>
      </c>
      <c r="BV66" s="16">
        <f t="shared" ca="1" si="177"/>
        <v>11</v>
      </c>
      <c r="BW66" s="16" t="str">
        <f t="shared" ca="1" si="178"/>
        <v>Pos. 11 (2)</v>
      </c>
      <c r="BX66" s="16">
        <f t="shared" ca="1" si="179"/>
        <v>1</v>
      </c>
      <c r="BY66" s="16">
        <f t="shared" ca="1" si="180"/>
        <v>11</v>
      </c>
      <c r="BZ66" s="16" t="str">
        <f t="shared" ca="1" si="181"/>
        <v>Pos. 11 (2)</v>
      </c>
      <c r="CA66" s="16">
        <f t="shared" ca="1" si="182"/>
        <v>1</v>
      </c>
      <c r="CB66" s="16">
        <f t="shared" ca="1" si="195"/>
        <v>12</v>
      </c>
      <c r="CC66" s="16"/>
      <c r="CD66" s="16">
        <f t="shared" ca="1" si="183"/>
        <v>12</v>
      </c>
      <c r="CE66" s="16">
        <f t="shared" ca="1" si="196"/>
        <v>11</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Bosnia y Herzegovina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11</v>
      </c>
      <c r="BN67" s="16">
        <f t="shared" ca="1" si="192"/>
        <v>11</v>
      </c>
      <c r="BO67" s="16" t="str">
        <f t="shared" si="174"/>
        <v>4J</v>
      </c>
      <c r="BP67" s="16"/>
      <c r="BQ67" s="16"/>
      <c r="BR67" s="16">
        <f t="shared" ca="1" si="175"/>
        <v>0</v>
      </c>
      <c r="BS67" s="16">
        <f t="shared" ca="1" si="193"/>
        <v>10</v>
      </c>
      <c r="BT67" s="16" t="str">
        <f t="shared" ca="1" si="194"/>
        <v>Pos. 10 (3)</v>
      </c>
      <c r="BU67" s="16">
        <f t="shared" ca="1" si="176"/>
        <v>-2</v>
      </c>
      <c r="BV67" s="16">
        <f t="shared" ca="1" si="177"/>
        <v>11</v>
      </c>
      <c r="BW67" s="16" t="str">
        <f t="shared" ca="1" si="178"/>
        <v>Pos. 11 (2)</v>
      </c>
      <c r="BX67" s="16">
        <f t="shared" ca="1" si="179"/>
        <v>1</v>
      </c>
      <c r="BY67" s="16">
        <f t="shared" ca="1" si="180"/>
        <v>11</v>
      </c>
      <c r="BZ67" s="16" t="str">
        <f t="shared" ca="1" si="181"/>
        <v>Pos. 11 (2)</v>
      </c>
      <c r="CA67" s="16">
        <f t="shared" ca="1" si="182"/>
        <v>6</v>
      </c>
      <c r="CB67" s="16">
        <f t="shared" ca="1" si="195"/>
        <v>11</v>
      </c>
      <c r="CC67" s="16"/>
      <c r="CD67" s="16">
        <f t="shared" ca="1" si="183"/>
        <v>11</v>
      </c>
      <c r="CE67" s="16">
        <f t="shared" ca="1" si="196"/>
        <v>10</v>
      </c>
      <c r="CF67" s="16">
        <f t="shared" ca="1" si="197"/>
        <v>11</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Panamá</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9"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5</v>
      </c>
      <c r="BN68" s="16">
        <f t="shared" ca="1" si="192"/>
        <v>5</v>
      </c>
      <c r="BO68" s="16" t="str">
        <f t="shared" si="174"/>
        <v>4K</v>
      </c>
      <c r="BP68" s="16"/>
      <c r="BQ68" s="16"/>
      <c r="BR68" s="16">
        <f t="shared" ca="1" si="175"/>
        <v>1</v>
      </c>
      <c r="BS68" s="16">
        <f t="shared" ca="1" si="193"/>
        <v>4</v>
      </c>
      <c r="BT68" s="16" t="str">
        <f t="shared" ca="1" si="194"/>
        <v>Pos. 4 (6)</v>
      </c>
      <c r="BU68" s="16">
        <f t="shared" ca="1" si="176"/>
        <v>0</v>
      </c>
      <c r="BV68" s="16">
        <f t="shared" ca="1" si="177"/>
        <v>4</v>
      </c>
      <c r="BW68" s="16" t="str">
        <f t="shared" ca="1" si="178"/>
        <v>Pos. 4 (3)</v>
      </c>
      <c r="BX68" s="16">
        <f t="shared" ca="1" si="179"/>
        <v>1</v>
      </c>
      <c r="BY68" s="16">
        <f t="shared" ca="1" si="180"/>
        <v>4</v>
      </c>
      <c r="BZ68" s="16" t="str">
        <f t="shared" ca="1" si="181"/>
        <v>Pos. 4 (2)</v>
      </c>
      <c r="CA68" s="16">
        <f t="shared" ca="1" si="182"/>
        <v>3</v>
      </c>
      <c r="CB68" s="16">
        <f t="shared" ca="1" si="195"/>
        <v>5</v>
      </c>
      <c r="CC68" s="16"/>
      <c r="CD68" s="16">
        <f t="shared" ca="1" si="183"/>
        <v>5</v>
      </c>
      <c r="CE68" s="16">
        <f t="shared" ca="1" si="196"/>
        <v>4</v>
      </c>
      <c r="CF68" s="16">
        <f t="shared" ca="1" si="197"/>
        <v>5</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Jordania</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9"/>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10</v>
      </c>
      <c r="BN69" s="16">
        <f t="shared" ca="1" si="192"/>
        <v>10</v>
      </c>
      <c r="BO69" s="16" t="str">
        <f t="shared" si="174"/>
        <v>4L</v>
      </c>
      <c r="BP69" s="16"/>
      <c r="BQ69" s="16"/>
      <c r="BR69" s="16">
        <f t="shared" ca="1" si="175"/>
        <v>0</v>
      </c>
      <c r="BS69" s="16">
        <f t="shared" ca="1" si="193"/>
        <v>10</v>
      </c>
      <c r="BT69" s="16" t="str">
        <f t="shared" ca="1" si="194"/>
        <v>Pos. 10 (3)</v>
      </c>
      <c r="BU69" s="16">
        <f t="shared" ca="1" si="176"/>
        <v>-1</v>
      </c>
      <c r="BV69" s="16">
        <f t="shared" ca="1" si="177"/>
        <v>10</v>
      </c>
      <c r="BW69" s="16" t="str">
        <f t="shared" ca="1" si="178"/>
        <v>-</v>
      </c>
      <c r="BX69" s="16" t="str">
        <f t="shared" ca="1" si="179"/>
        <v>-</v>
      </c>
      <c r="BY69" s="16">
        <f t="shared" ca="1" si="180"/>
        <v>10</v>
      </c>
      <c r="BZ69" s="16" t="str">
        <f t="shared" ca="1" si="181"/>
        <v>-</v>
      </c>
      <c r="CA69" s="16" t="str">
        <f t="shared" ca="1" si="182"/>
        <v>-</v>
      </c>
      <c r="CB69" s="16">
        <f ca="1">BY69+COUNTIFS(BZ$58:BZ$69,BZ69,CA$58:CA$69,"&gt;"&amp;CA69)</f>
        <v>10</v>
      </c>
      <c r="CC69" s="16"/>
      <c r="CD69" s="16">
        <f t="shared" ca="1" si="183"/>
        <v>10</v>
      </c>
      <c r="CE69" s="16" t="str">
        <f t="shared" ca="1" si="196"/>
        <v>-</v>
      </c>
      <c r="CF69" s="16">
        <f t="shared" ca="1" si="197"/>
        <v>10</v>
      </c>
      <c r="DJ69" s="16">
        <f t="shared" ca="1" si="184"/>
        <v>11</v>
      </c>
      <c r="DK69" s="16"/>
      <c r="DL69" s="16">
        <f t="shared" ca="1" si="185"/>
        <v>1</v>
      </c>
      <c r="DM69" s="16" t="str">
        <f t="shared" ca="1" si="186"/>
        <v>11.1</v>
      </c>
      <c r="DN69" s="16" cm="1">
        <f t="array" aca="1" ref="DN69" ca="1">OFFSET(Horarios!$P$3,DJ69-1,0,DL69,1)</f>
        <v>11</v>
      </c>
      <c r="DO69" s="16"/>
      <c r="DP69" s="16">
        <v>12</v>
      </c>
      <c r="DQ69" s="16" t="str">
        <f t="shared" ca="1" si="198"/>
        <v>Senegal</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29"/>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29"/>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9"/>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30"/>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25"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25"/>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25"/>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25"/>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5"/>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6"/>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31"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31"/>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31"/>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31"/>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2"/>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27"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27"/>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27"/>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27"/>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7"/>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8"/>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ACDEFGHK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6</v>
      </c>
      <c r="AS102" s="81">
        <f t="shared" ca="1" si="298"/>
        <v>6</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3"/>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2">
        <f t="array" aca="1" ref="AK103" ca="1">Ver_flag_visit</f>
        <v>#VALUE!</v>
      </c>
      <c r="AL103" s="83" t="str">
        <f t="shared" ca="1" si="297"/>
        <v>Escocia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1</v>
      </c>
      <c r="AS103" s="84">
        <f t="shared" ca="1" si="302"/>
        <v>1</v>
      </c>
      <c r="AT103" s="85">
        <f t="shared" ca="1" si="302"/>
        <v>0</v>
      </c>
      <c r="AU103" s="316" t="str">
        <f t="shared" ca="1" si="299"/>
        <v/>
      </c>
      <c r="AV103" s="174" t="str">
        <f t="shared" ca="1" si="300"/>
        <v>Escocia</v>
      </c>
      <c r="AW103" s="207"/>
      <c r="AX103" s="162"/>
      <c r="AY103" s="263"/>
      <c r="AZ103" s="265" t="str">
        <f t="shared" ref="AZ103:AZ110" ca="1" si="303">+IF(OR($H$113&gt;=48,$AJ$99=144),BF117&amp;" - "&amp;BG117,"")</f>
        <v>1A - 3H</v>
      </c>
      <c r="BA103" s="168"/>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3"/>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14">
        <f t="array" aca="1" ref="AK104" ca="1">Ver_flag_visit</f>
        <v>#VALUE!</v>
      </c>
      <c r="AL104" s="83" t="str">
        <f t="shared" ca="1" si="297"/>
        <v>Paraguay</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2</v>
      </c>
      <c r="AS104" s="84">
        <f t="shared" ca="1" si="307"/>
        <v>4</v>
      </c>
      <c r="AT104" s="85">
        <f t="shared" ca="1" si="307"/>
        <v>-2</v>
      </c>
      <c r="AU104" s="316" t="str">
        <f t="shared" ca="1" si="299"/>
        <v/>
      </c>
      <c r="AV104" s="174" t="str">
        <f t="shared" ca="1" si="300"/>
        <v>Paraguay</v>
      </c>
      <c r="AW104" s="207"/>
      <c r="AX104" s="162"/>
      <c r="AY104" s="263"/>
      <c r="AZ104" s="265" t="str">
        <f t="shared" ca="1" si="303"/>
        <v>1B - 3G</v>
      </c>
      <c r="BA104" s="168"/>
      <c r="BF104" t="str">
        <f t="shared" ca="1" si="304"/>
        <v>C</v>
      </c>
      <c r="BG104">
        <f t="shared" ca="1" si="305"/>
        <v>2</v>
      </c>
      <c r="BI104">
        <v>2</v>
      </c>
      <c r="BJ104" t="str">
        <f t="shared" ca="1" si="306"/>
        <v>C</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25">
        <f t="array" aca="1" ref="AK105" ca="1">Ver_flag_visit</f>
        <v>#VALUE!</v>
      </c>
      <c r="AL105" s="83" t="str">
        <f t="shared" ca="1" si="297"/>
        <v>Bélgica</v>
      </c>
      <c r="AM105" s="568">
        <f t="shared" ca="1" si="301"/>
        <v>1</v>
      </c>
      <c r="AN105" s="84">
        <f t="shared" ref="AN105:AT105" ca="1" si="308">+IF($H$113&gt;=48,INDEX($BE$58:$BN$69,MATCH($AL105,$BD$58:$BD$69,0),MATCH(AN$5,$BE$57:$BN$57,0)),$BB61)</f>
        <v>1</v>
      </c>
      <c r="AO105" s="84">
        <f t="shared" ca="1" si="308"/>
        <v>0</v>
      </c>
      <c r="AP105" s="84">
        <f t="shared" ca="1" si="308"/>
        <v>1</v>
      </c>
      <c r="AQ105" s="84">
        <f t="shared" ca="1" si="308"/>
        <v>0</v>
      </c>
      <c r="AR105" s="84">
        <f t="shared" ca="1" si="308"/>
        <v>1</v>
      </c>
      <c r="AS105" s="84">
        <f t="shared" ca="1" si="308"/>
        <v>1</v>
      </c>
      <c r="AT105" s="85">
        <f t="shared" ca="1" si="308"/>
        <v>0</v>
      </c>
      <c r="AU105" s="316" t="str">
        <f t="shared" ca="1" si="299"/>
        <v/>
      </c>
      <c r="AV105" s="174" t="str">
        <f t="shared" ca="1" si="300"/>
        <v>Bélgica</v>
      </c>
      <c r="AW105" s="207"/>
      <c r="AX105" s="162"/>
      <c r="AY105" s="263"/>
      <c r="AZ105" s="265" t="str">
        <f t="shared" ca="1" si="303"/>
        <v>1D - 3E</v>
      </c>
      <c r="BA105" s="168"/>
      <c r="BF105" t="str">
        <f t="shared" ca="1" si="304"/>
        <v>D</v>
      </c>
      <c r="BG105">
        <f t="shared" ca="1" si="305"/>
        <v>3</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42">
        <f t="array" aca="1" ref="AK106" ca="1">Ver_flag_visit</f>
        <v>#VALUE!</v>
      </c>
      <c r="AL106" s="83" t="str">
        <f t="shared" ca="1" si="297"/>
        <v>RD Congo</v>
      </c>
      <c r="AM106" s="568">
        <f t="shared" ca="1" si="301"/>
        <v>1</v>
      </c>
      <c r="AN106" s="84">
        <f t="shared" ref="AN106:AT106" ca="1" si="309">+IF($H$113&gt;=48,INDEX($BE$58:$BN$69,MATCH($AL106,$BD$58:$BD$69,0),MATCH(AN$5,$BE$57:$BN$57,0)),$BB62)</f>
        <v>1</v>
      </c>
      <c r="AO106" s="84">
        <f t="shared" ca="1" si="309"/>
        <v>0</v>
      </c>
      <c r="AP106" s="84">
        <f t="shared" ca="1" si="309"/>
        <v>1</v>
      </c>
      <c r="AQ106" s="84">
        <f t="shared" ca="1" si="309"/>
        <v>0</v>
      </c>
      <c r="AR106" s="84">
        <f t="shared" ca="1" si="309"/>
        <v>1</v>
      </c>
      <c r="AS106" s="84">
        <f t="shared" ca="1" si="309"/>
        <v>1</v>
      </c>
      <c r="AT106" s="85">
        <f t="shared" ca="1" si="309"/>
        <v>0</v>
      </c>
      <c r="AU106" s="316" t="str">
        <f t="shared" ca="1" si="299"/>
        <v/>
      </c>
      <c r="AV106" s="174" t="str">
        <f t="shared" ca="1" si="300"/>
        <v>RD Congo</v>
      </c>
      <c r="AW106" s="207"/>
      <c r="AX106" s="162"/>
      <c r="AY106" s="263"/>
      <c r="AZ106" s="265" t="str">
        <f t="shared" ca="1" si="303"/>
        <v>1E - 3C</v>
      </c>
      <c r="BA106" s="168"/>
      <c r="BF106" t="str">
        <f t="shared" ca="1" si="304"/>
        <v>G</v>
      </c>
      <c r="BG106">
        <f t="shared" ca="1" si="305"/>
        <v>6</v>
      </c>
      <c r="BI106">
        <v>4</v>
      </c>
      <c r="BJ106" t="str">
        <f t="shared" ca="1" si="306"/>
        <v>E</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3"/>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29">
        <f t="array" aca="1" ref="AK107" ca="1">Ver_flag_visit</f>
        <v>#VALUE!</v>
      </c>
      <c r="AL107" s="83" t="str">
        <f t="shared" ca="1" si="297"/>
        <v>España</v>
      </c>
      <c r="AM107" s="568">
        <f t="shared" ca="1" si="301"/>
        <v>1</v>
      </c>
      <c r="AN107" s="84">
        <f t="shared" ref="AN107:AT107" ca="1" si="310">+IF($H$113&gt;=48,INDEX($BE$58:$BN$69,MATCH($AL107,$BD$58:$BD$69,0),MATCH(AN$5,$BE$57:$BN$57,0)),$BB63)</f>
        <v>1</v>
      </c>
      <c r="AO107" s="84">
        <f t="shared" ca="1" si="310"/>
        <v>0</v>
      </c>
      <c r="AP107" s="84">
        <f t="shared" ca="1" si="310"/>
        <v>1</v>
      </c>
      <c r="AQ107" s="84">
        <f t="shared" ca="1" si="310"/>
        <v>0</v>
      </c>
      <c r="AR107" s="84">
        <f t="shared" ca="1" si="310"/>
        <v>0</v>
      </c>
      <c r="AS107" s="84">
        <f t="shared" ca="1" si="310"/>
        <v>0</v>
      </c>
      <c r="AT107" s="85">
        <f t="shared" ca="1" si="310"/>
        <v>0</v>
      </c>
      <c r="AU107" s="316" t="str">
        <f t="shared" ca="1" si="299"/>
        <v/>
      </c>
      <c r="AV107" s="174" t="str">
        <f ca="1">INDEX($BD$58:$BD$69,MATCH(AI107,$BM$58:$BM$69,0))</f>
        <v>España</v>
      </c>
      <c r="AW107" s="207"/>
      <c r="AX107" s="162"/>
      <c r="AY107" s="263"/>
      <c r="AZ107" s="265" t="str">
        <f t="shared" ca="1" si="303"/>
        <v>1G - 3A</v>
      </c>
      <c r="BA107" s="168"/>
      <c r="BF107" t="str">
        <f t="shared" ca="1" si="304"/>
        <v>K</v>
      </c>
      <c r="BG107">
        <f t="shared" ca="1" si="305"/>
        <v>8</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3"/>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
        <f t="array" aca="1" ref="AK108" ca="1">Ver_flag_visit</f>
        <v>#VALUE!</v>
      </c>
      <c r="AL108" s="83" t="str">
        <f t="shared" ca="1" si="297"/>
        <v>República Checa</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2</v>
      </c>
      <c r="AS108" s="84">
        <f t="shared" ca="1" si="311"/>
        <v>3</v>
      </c>
      <c r="AT108" s="85">
        <f t="shared" ca="1" si="311"/>
        <v>-1</v>
      </c>
      <c r="AU108" s="316" t="str">
        <f t="shared" ca="1" si="299"/>
        <v/>
      </c>
      <c r="AV108" s="174" t="str">
        <f t="shared" ca="1" si="300"/>
        <v>República Checa</v>
      </c>
      <c r="AW108" s="207"/>
      <c r="AX108" s="162"/>
      <c r="AY108" s="263"/>
      <c r="AZ108" s="265" t="str">
        <f t="shared" ca="1" si="303"/>
        <v>1I - 3F</v>
      </c>
      <c r="BA108" s="168"/>
      <c r="BF108" t="str">
        <f t="shared" ca="1" si="304"/>
        <v>H</v>
      </c>
      <c r="BG108">
        <f t="shared" ca="1" si="305"/>
        <v>7</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20">
        <f t="array" aca="1" ref="AK109" ca="1">Ver_flag_visit</f>
        <v>#VALUE!</v>
      </c>
      <c r="AL109" s="83" t="str">
        <f t="shared" ca="1" si="297"/>
        <v>Ecuador</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0</v>
      </c>
      <c r="AS109" s="84">
        <f t="shared" ca="1" si="312"/>
        <v>1</v>
      </c>
      <c r="AT109" s="85">
        <f t="shared" ca="1" si="312"/>
        <v>-1</v>
      </c>
      <c r="AU109" s="316" t="str">
        <f t="shared" ca="1" si="299"/>
        <v/>
      </c>
      <c r="AV109" s="174" t="str">
        <f t="shared" ca="1" si="300"/>
        <v>Ecuador</v>
      </c>
      <c r="AW109" s="207"/>
      <c r="AX109" s="162"/>
      <c r="AY109" s="263"/>
      <c r="AZ109" s="265" t="str">
        <f t="shared" ca="1" si="303"/>
        <v>1K - 3D</v>
      </c>
      <c r="BA109" s="168"/>
      <c r="BF109" t="str">
        <f t="shared" ca="1" si="304"/>
        <v>A</v>
      </c>
      <c r="BG109">
        <f t="shared" ca="1" si="305"/>
        <v>1</v>
      </c>
      <c r="BI109">
        <v>7</v>
      </c>
      <c r="BJ109" t="str">
        <f t="shared" ca="1" si="306"/>
        <v>H</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6">
        <f t="array" aca="1" ref="AK110" ca="1">Ver_flag_visit</f>
        <v>#VALUE!</v>
      </c>
      <c r="AL110" s="83" t="str">
        <f t="shared" ca="1" si="297"/>
        <v>Bosnia y Herzegovina</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2</v>
      </c>
      <c r="AS110" s="84">
        <f t="shared" ca="1" si="313"/>
        <v>5</v>
      </c>
      <c r="AT110" s="85">
        <f t="shared" ca="1" si="313"/>
        <v>-3</v>
      </c>
      <c r="AU110" s="316" t="str">
        <f t="shared" ca="1" si="299"/>
        <v/>
      </c>
      <c r="AV110" s="174" t="str">
        <f t="shared" ca="1" si="300"/>
        <v>Bosnia y Herzegovina</v>
      </c>
      <c r="AW110" s="207"/>
      <c r="AX110" s="162"/>
      <c r="AY110" s="263"/>
      <c r="AZ110" s="265" t="str">
        <f t="shared" ca="1" si="303"/>
        <v>1L - 3K</v>
      </c>
      <c r="BA110" s="168"/>
      <c r="BF110" t="str">
        <f t="shared" ca="1" si="304"/>
        <v>E</v>
      </c>
      <c r="BG110">
        <f t="shared" ca="1" si="305"/>
        <v>4</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3"/>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8">
        <f t="array" aca="1" ref="AK111" ca="1">Ver_flag_visit</f>
        <v>#VALUE!</v>
      </c>
      <c r="AL111" s="83" t="str">
        <f t="shared" ca="1" si="297"/>
        <v>Panamá</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0</v>
      </c>
      <c r="AS111" s="84">
        <f t="shared" ca="1" si="314"/>
        <v>1</v>
      </c>
      <c r="AT111" s="85">
        <f t="shared" ca="1" si="314"/>
        <v>-1</v>
      </c>
      <c r="AU111" s="316" t="str">
        <f t="shared" ca="1" si="299"/>
        <v/>
      </c>
      <c r="AV111" s="174" t="str">
        <f t="shared" ca="1" si="300"/>
        <v>Panamá</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0">
        <f t="array" aca="1" ref="AK112" ca="1">Ver_flag_visit</f>
        <v>#VALUE!</v>
      </c>
      <c r="AL112" s="83" t="str">
        <f t="shared" ca="1" si="297"/>
        <v>Jordania</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Jordania</v>
      </c>
      <c r="AW112" s="207"/>
      <c r="AX112" s="162"/>
      <c r="AY112" s="262"/>
      <c r="AZ112" s="262"/>
      <c r="BA112" s="168"/>
      <c r="BI112" t="str">
        <f ca="1">IFERROR(CONCATENATE(BJ103,BJ104,BJ105,BJ106,BJ107,BJ108,BJ109,BJ110),"¿A/B/C/D/E/F/G/H/I/J/K/L?")</f>
        <v>ACDEFGHK</v>
      </c>
    </row>
    <row r="113" spans="1:59" ht="16" customHeight="1" thickBot="1">
      <c r="A113" s="16" t="s">
        <v>660</v>
      </c>
      <c r="B113" s="16" t="s">
        <v>740</v>
      </c>
      <c r="C113" s="16"/>
      <c r="D113" s="16" t="str">
        <f t="shared" si="289"/>
        <v>W85</v>
      </c>
      <c r="E113" s="16" t="s">
        <v>1</v>
      </c>
      <c r="F113" s="16" t="s">
        <v>733</v>
      </c>
      <c r="G113" s="16" t="s">
        <v>733</v>
      </c>
      <c r="H113" s="16">
        <f ca="1">+IF($AJ$99&lt;&gt;144,SUM(H101:H112),$AJ$99)</f>
        <v>72</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1</v>
      </c>
      <c r="AS113" s="47">
        <f t="shared" ca="1" si="316"/>
        <v>3</v>
      </c>
      <c r="AT113" s="48">
        <f t="shared" ca="1" si="316"/>
        <v>-2</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3"/>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3E</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3D</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0</v>
      </c>
      <c r="J40" s="613">
        <f ca="1">WORLDCUP!X54</f>
        <v>46194.875</v>
      </c>
      <c r="K40" s="614">
        <f ca="1">WORLDCUP!Y54</f>
        <v>46194.875</v>
      </c>
    </row>
    <row r="41" spans="1:11">
      <c r="A41" s="7">
        <v>40</v>
      </c>
      <c r="B41" s="611" t="str">
        <f ca="1">WORLDCUP!AA55</f>
        <v>Nueva Zelanda</v>
      </c>
      <c r="C41" t="str">
        <f ca="1">WORLDCUP!AF55</f>
        <v>Egipto</v>
      </c>
      <c r="D41" s="7">
        <f>WORLDCUP!AC55</f>
        <v>0</v>
      </c>
      <c r="E41" s="7">
        <f>WORLDCUP!AD55</f>
        <v>0</v>
      </c>
      <c r="H41" s="7">
        <f>IF(AND(NOT(ISBLANK(WORLDCUP!AC55)),NOT(ISBLANK(WORLDCUP!AD55))),1,0)</f>
        <v>0</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0</v>
      </c>
      <c r="E46" s="7">
        <f>WORLDCUP!AD62</f>
        <v>0</v>
      </c>
      <c r="H46" s="7">
        <f>IF(AND(NOT(ISBLANK(WORLDCUP!AC62)),NOT(ISBLANK(WORLDCUP!AD62))),1,0)</f>
        <v>0</v>
      </c>
      <c r="J46" s="613">
        <f ca="1">WORLDCUP!X62</f>
        <v>46194.75</v>
      </c>
      <c r="K46" s="614">
        <f ca="1">WORLDCUP!Y62</f>
        <v>46194.75</v>
      </c>
    </row>
    <row r="47" spans="1:11">
      <c r="A47" s="7">
        <v>46</v>
      </c>
      <c r="B47" s="611" t="str">
        <f ca="1">WORLDCUP!AA63</f>
        <v>Uruguay</v>
      </c>
      <c r="C47" t="str">
        <f ca="1">WORLDCUP!AF63</f>
        <v>Cabo Verde</v>
      </c>
      <c r="D47" s="7">
        <f>WORLDCUP!AC63</f>
        <v>0</v>
      </c>
      <c r="E47" s="7">
        <f>WORLDCUP!AD63</f>
        <v>0</v>
      </c>
      <c r="H47" s="7">
        <f>IF(AND(NOT(ISBLANK(WORLDCUP!AC63)),NOT(ISBLANK(WORLDCUP!AD63))),1,0)</f>
        <v>0</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0</v>
      </c>
      <c r="E52" s="7">
        <f>WORLDCUP!AD70</f>
        <v>0</v>
      </c>
      <c r="H52" s="7">
        <f>IF(AND(NOT(ISBLANK(WORLDCUP!AC70)),NOT(ISBLANK(WORLDCUP!AD70))),1,0)</f>
        <v>0</v>
      </c>
      <c r="J52" s="613">
        <f ca="1">WORLDCUP!X70</f>
        <v>46195.958333333336</v>
      </c>
      <c r="K52" s="614">
        <f ca="1">WORLDCUP!Y70</f>
        <v>46195.958333333336</v>
      </c>
    </row>
    <row r="53" spans="1:11">
      <c r="A53" s="7">
        <v>52</v>
      </c>
      <c r="B53" s="611" t="str">
        <f ca="1">WORLDCUP!AA71</f>
        <v>Noruega</v>
      </c>
      <c r="C53" t="str">
        <f ca="1">WORLDCUP!AF71</f>
        <v>Senegal</v>
      </c>
      <c r="D53" s="7">
        <f>WORLDCUP!AC71</f>
        <v>0</v>
      </c>
      <c r="E53" s="7">
        <f>WORLDCUP!AD71</f>
        <v>0</v>
      </c>
      <c r="H53" s="7">
        <f>IF(AND(NOT(ISBLANK(WORLDCUP!AC71)),NOT(ISBLANK(WORLDCUP!AD71))),1,0)</f>
        <v>0</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0</v>
      </c>
      <c r="E58" s="7">
        <f>WORLDCUP!AD78</f>
        <v>0</v>
      </c>
      <c r="H58" s="7">
        <f>IF(AND(NOT(ISBLANK(WORLDCUP!AC78)),NOT(ISBLANK(WORLDCUP!AD78))),1,0)</f>
        <v>0</v>
      </c>
      <c r="J58" s="613">
        <f ca="1">WORLDCUP!X78</f>
        <v>46195.791666666664</v>
      </c>
      <c r="K58" s="614">
        <f ca="1">WORLDCUP!Y78</f>
        <v>46195.791666666664</v>
      </c>
    </row>
    <row r="59" spans="1:11">
      <c r="A59" s="7">
        <v>58</v>
      </c>
      <c r="B59" s="611" t="str">
        <f ca="1">WORLDCUP!AA79</f>
        <v>Jordania</v>
      </c>
      <c r="C59" t="str">
        <f ca="1">WORLDCUP!AF79</f>
        <v>Argelia</v>
      </c>
      <c r="D59" s="7">
        <f>WORLDCUP!AC79</f>
        <v>0</v>
      </c>
      <c r="E59" s="7">
        <f>WORLDCUP!AD79</f>
        <v>0</v>
      </c>
      <c r="H59" s="7">
        <f>IF(AND(NOT(ISBLANK(WORLDCUP!AC79)),NOT(ISBLANK(WORLDCUP!AD79))),1,0)</f>
        <v>0</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0</v>
      </c>
      <c r="E64" s="7">
        <f>WORLDCUP!AD86</f>
        <v>0</v>
      </c>
      <c r="H64" s="7">
        <f>IF(AND(NOT(ISBLANK(WORLDCUP!AC86)),NOT(ISBLANK(WORLDCUP!AD86))),1,0)</f>
        <v>0</v>
      </c>
      <c r="J64" s="613">
        <f ca="1">WORLDCUP!X86</f>
        <v>46196.791666666664</v>
      </c>
      <c r="K64" s="614">
        <f ca="1">WORLDCUP!Y86</f>
        <v>46196.791666666664</v>
      </c>
    </row>
    <row r="65" spans="1:11">
      <c r="A65" s="7">
        <v>64</v>
      </c>
      <c r="B65" s="611" t="str">
        <f ca="1">WORLDCUP!AA87</f>
        <v>Colombia</v>
      </c>
      <c r="C65" t="str">
        <f ca="1">WORLDCUP!AF87</f>
        <v>RD Congo</v>
      </c>
      <c r="D65" s="7">
        <f>WORLDCUP!AC87</f>
        <v>0</v>
      </c>
      <c r="E65" s="7">
        <f>WORLDCUP!AD87</f>
        <v>0</v>
      </c>
      <c r="H65" s="7">
        <f>IF(AND(NOT(ISBLANK(WORLDCUP!AC87)),NOT(ISBLANK(WORLDCUP!AD87))),1,0)</f>
        <v>0</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0</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0</v>
      </c>
      <c r="H71" s="7">
        <f>IF(AND(NOT(ISBLANK(WORLDCUP!AC95)),NOT(ISBLANK(WORLDCUP!AD95))),1,0)</f>
        <v>0</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Irán</v>
      </c>
      <c r="J138" s="613"/>
    </row>
    <row r="139" spans="1:10">
      <c r="A139" s="7">
        <v>1025</v>
      </c>
      <c r="B139" t="s">
        <v>1527</v>
      </c>
      <c r="C139" s="7">
        <v>2</v>
      </c>
      <c r="D139" t="str">
        <f ca="1">WORLDCUP!AL55</f>
        <v>Nueva Zelanda</v>
      </c>
      <c r="J139" s="613"/>
    </row>
    <row r="140" spans="1:10">
      <c r="A140" s="7">
        <v>1026</v>
      </c>
      <c r="B140" t="s">
        <v>1527</v>
      </c>
      <c r="C140" s="7">
        <v>3</v>
      </c>
      <c r="D140" t="str">
        <f ca="1">WORLDCUP!AL56</f>
        <v>Bélgica</v>
      </c>
      <c r="J140" s="613"/>
    </row>
    <row r="141" spans="1:10">
      <c r="A141" s="7">
        <v>1027</v>
      </c>
      <c r="B141" t="s">
        <v>1527</v>
      </c>
      <c r="C141" s="7">
        <v>4</v>
      </c>
      <c r="D141" t="str">
        <f ca="1">WORLDCUP!AL57</f>
        <v>Egipto</v>
      </c>
      <c r="J141" s="613"/>
    </row>
    <row r="142" spans="1:10">
      <c r="A142" s="7">
        <v>1028</v>
      </c>
      <c r="B142" t="s">
        <v>1528</v>
      </c>
      <c r="C142" s="7">
        <v>1</v>
      </c>
      <c r="D142" t="str">
        <f ca="1">WORLDCUP!AL62</f>
        <v>Arabia Saudita</v>
      </c>
      <c r="J142" s="613"/>
    </row>
    <row r="143" spans="1:10">
      <c r="A143" s="7">
        <v>1029</v>
      </c>
      <c r="B143" t="s">
        <v>1528</v>
      </c>
      <c r="C143" s="7">
        <v>2</v>
      </c>
      <c r="D143" t="str">
        <f ca="1">WORLDCUP!AL63</f>
        <v>Uruguay</v>
      </c>
      <c r="J143" s="613"/>
    </row>
    <row r="144" spans="1:10">
      <c r="A144" s="7">
        <v>1030</v>
      </c>
      <c r="B144" t="s">
        <v>1528</v>
      </c>
      <c r="C144" s="7">
        <v>3</v>
      </c>
      <c r="D144" t="str">
        <f ca="1">WORLDCUP!AL64</f>
        <v>España</v>
      </c>
      <c r="J144" s="613"/>
    </row>
    <row r="145" spans="1:10">
      <c r="A145" s="7">
        <v>1031</v>
      </c>
      <c r="B145" t="s">
        <v>1528</v>
      </c>
      <c r="C145" s="7">
        <v>4</v>
      </c>
      <c r="D145" t="str">
        <f ca="1">WORLDCUP!AL65</f>
        <v>Cabo Verde</v>
      </c>
      <c r="J145" s="613"/>
    </row>
    <row r="146" spans="1:10">
      <c r="A146" s="7">
        <v>1032</v>
      </c>
      <c r="B146" t="s">
        <v>1529</v>
      </c>
      <c r="C146" s="7">
        <v>1</v>
      </c>
      <c r="D146" t="str">
        <f ca="1">WORLDCUP!AL70</f>
        <v>Noruega</v>
      </c>
      <c r="J146" s="613"/>
    </row>
    <row r="147" spans="1:10">
      <c r="A147" s="7">
        <v>1033</v>
      </c>
      <c r="B147" t="s">
        <v>1529</v>
      </c>
      <c r="C147" s="7">
        <v>2</v>
      </c>
      <c r="D147" t="str">
        <f ca="1">WORLDCUP!AL71</f>
        <v>Francia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Jordania</v>
      </c>
      <c r="J152" s="613"/>
    </row>
    <row r="153" spans="1:10">
      <c r="A153" s="7">
        <v>1039</v>
      </c>
      <c r="B153" t="s">
        <v>1530</v>
      </c>
      <c r="C153" s="7">
        <v>4</v>
      </c>
      <c r="D153" t="str">
        <f ca="1">WORLDCUP!AL81</f>
        <v>Argelia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Panamá</v>
      </c>
      <c r="J160" s="613"/>
    </row>
    <row r="161" spans="1:10">
      <c r="A161" s="7">
        <v>1047</v>
      </c>
      <c r="B161" t="s">
        <v>1532</v>
      </c>
      <c r="C161" s="7">
        <v>4</v>
      </c>
      <c r="D161" t="str">
        <f ca="1">WORLDCUP!AL97</f>
        <v>Croacia</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1º GRUPO A</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2º GRUPO 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3º GRUPO A</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4º GRUPO 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1º GRUPO B</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2º GRUPO B</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3º GRUPO B</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4º GRUPO B</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1º GRUPO C</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2º GRUPO C</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3º GRUPO C</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4º GRUPO C</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1º GRUPO D</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2º GRUPO D</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3º GRUPO D</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4º GRUPO D</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1º GRUPO E</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2º GRUPO E</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3º GRUPO E</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4º GRUPO E</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1º GRUPO F</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2º GRUPO F</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3º GRUPO F</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4º GRUPO F</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1º GRUPO G</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2º GRUPO G</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3º GRUPO G</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4º GRUPO G</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1º GRUPO H</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2º GRUPO H</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3º GRUPO H</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4º GRUPO H</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1º GRUPO I</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2º GRUPO I</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3º GRUPO I</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4º GRUPO I</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1º GRUPO J</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2º GRUPO J</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3º GRUPO J</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4º GRUPO J</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1º GRUPO K</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2º GRUPO K</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3º GRUPO K</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4º GRUPO K</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1º GRUPO L</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2º GRUPO L</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3º GRUPO L</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4º GRUPO L</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2A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1C</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1E</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1F</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2E</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1I</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1A</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1L</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1G</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1D</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1H</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2K</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1B</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2D</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1J</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1K</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2B</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2F</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3ABCDF</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2C</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2I</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3CDFGH</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3CEFHI</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3EHIJK</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3AEHIJ</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3BEFIJ</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2J</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2L</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3EFGIJ</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2G</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2H</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3DEIJL</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5"/>
      <c r="E165" s="694"/>
      <c r="F165" s="694"/>
      <c r="G165" s="694"/>
      <c r="H165" s="694"/>
      <c r="I165" s="338"/>
      <c r="J165" s="356"/>
      <c r="K165" s="356"/>
      <c r="L165" s="356"/>
      <c r="M165" s="372"/>
      <c r="N165" s="363"/>
    </row>
    <row r="166" spans="1:14" ht="15" customHeight="1">
      <c r="A166" s="673"/>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5"/>
      <c r="E166" s="694"/>
      <c r="F166" s="694"/>
      <c r="G166" s="694"/>
      <c r="H166" s="694"/>
      <c r="I166" s="338"/>
      <c r="J166" s="356"/>
      <c r="K166" s="356"/>
      <c r="L166" s="356"/>
      <c r="M166" s="372"/>
      <c r="N166" s="363"/>
    </row>
    <row r="167" spans="1:14" ht="15" customHeight="1">
      <c r="A167" s="673"/>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5"/>
      <c r="E167" s="694"/>
      <c r="F167" s="694"/>
      <c r="G167" s="694"/>
      <c r="H167" s="694"/>
      <c r="I167" s="338"/>
      <c r="J167" s="356"/>
      <c r="K167" s="356"/>
      <c r="L167" s="356"/>
      <c r="M167" s="372"/>
      <c r="N167" s="363"/>
    </row>
    <row r="168" spans="1:14" ht="15" customHeight="1">
      <c r="A168" s="673"/>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5"/>
      <c r="E168" s="356"/>
      <c r="F168" s="356"/>
      <c r="G168" s="356"/>
      <c r="H168" s="356"/>
      <c r="I168" s="338"/>
      <c r="J168" s="356"/>
      <c r="K168" s="356"/>
      <c r="L168" s="356"/>
      <c r="M168" s="372"/>
      <c r="N168" s="363"/>
    </row>
    <row r="169" spans="1:14" ht="15" customHeight="1">
      <c r="A169" s="673"/>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5"/>
      <c r="E169" s="356"/>
      <c r="F169" s="356"/>
      <c r="G169" s="356"/>
      <c r="H169" s="356"/>
      <c r="I169" s="338"/>
      <c r="J169" s="356"/>
      <c r="K169" s="356"/>
      <c r="L169" s="356"/>
      <c r="M169" s="372"/>
      <c r="N169" s="363"/>
    </row>
    <row r="170" spans="1:14" ht="15" customHeight="1">
      <c r="A170" s="673"/>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5"/>
      <c r="E170" s="356"/>
      <c r="F170" s="356"/>
      <c r="G170" s="356"/>
      <c r="H170" s="356"/>
      <c r="I170" s="338"/>
      <c r="J170" s="356"/>
      <c r="K170" s="356"/>
      <c r="L170" s="356"/>
      <c r="M170" s="372"/>
      <c r="N170" s="363"/>
    </row>
    <row r="171" spans="1:14" ht="15" customHeight="1">
      <c r="A171" s="673"/>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5"/>
      <c r="E171" s="356"/>
      <c r="F171" s="356"/>
      <c r="G171" s="356"/>
      <c r="H171" s="356"/>
      <c r="I171" s="338"/>
      <c r="J171" s="356"/>
      <c r="K171" s="356"/>
      <c r="L171" s="356"/>
      <c r="M171" s="372"/>
      <c r="N171" s="363"/>
    </row>
    <row r="172" spans="1:14" ht="15" customHeight="1">
      <c r="A172" s="673"/>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5"/>
      <c r="E172" s="356"/>
      <c r="F172" s="356"/>
      <c r="G172" s="356"/>
      <c r="H172" s="356"/>
      <c r="I172" s="338"/>
      <c r="J172" s="356"/>
      <c r="K172" s="356"/>
      <c r="L172" s="356"/>
      <c r="M172" s="372"/>
      <c r="N172" s="363"/>
    </row>
    <row r="173" spans="1:14" ht="15" customHeight="1">
      <c r="A173" s="673"/>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5"/>
      <c r="E173" s="356"/>
      <c r="F173" s="356"/>
      <c r="G173" s="356"/>
      <c r="H173" s="356"/>
      <c r="I173" s="338"/>
      <c r="J173" s="356"/>
      <c r="K173" s="356"/>
      <c r="L173" s="356"/>
      <c r="M173" s="372"/>
      <c r="N173" s="363"/>
    </row>
    <row r="174" spans="1:14" ht="15" customHeight="1">
      <c r="A174" s="673"/>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5"/>
      <c r="E174" s="356"/>
      <c r="F174" s="356"/>
      <c r="G174" s="356"/>
      <c r="H174" s="356"/>
      <c r="I174" s="338"/>
      <c r="J174" s="356"/>
      <c r="K174" s="356"/>
      <c r="L174" s="356"/>
      <c r="M174" s="372"/>
      <c r="N174" s="363"/>
    </row>
    <row r="175" spans="1:14" ht="15" customHeight="1">
      <c r="A175" s="673"/>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5"/>
      <c r="E175" s="356"/>
      <c r="F175" s="356"/>
      <c r="G175" s="356"/>
      <c r="H175" s="356"/>
      <c r="I175" s="338"/>
      <c r="J175" s="356"/>
      <c r="K175" s="356"/>
      <c r="L175" s="356"/>
      <c r="M175" s="372"/>
      <c r="N175" s="363"/>
    </row>
    <row r="176" spans="1:14" ht="15" customHeight="1">
      <c r="A176" s="673"/>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5"/>
      <c r="E176" s="356"/>
      <c r="F176" s="356"/>
      <c r="G176" s="356"/>
      <c r="H176" s="356"/>
      <c r="I176" s="338"/>
      <c r="J176" s="356"/>
      <c r="K176" s="356"/>
      <c r="L176" s="356"/>
      <c r="M176" s="372"/>
      <c r="N176" s="363"/>
    </row>
    <row r="177" spans="1:14" ht="15" customHeight="1">
      <c r="A177" s="673"/>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5"/>
      <c r="E177" s="356"/>
      <c r="F177" s="356"/>
      <c r="G177" s="356"/>
      <c r="H177" s="356"/>
      <c r="I177" s="338"/>
      <c r="J177" s="356"/>
      <c r="K177" s="356"/>
      <c r="L177" s="356"/>
      <c r="M177" s="372"/>
      <c r="N177" s="363"/>
    </row>
    <row r="178" spans="1:14" ht="15" customHeight="1">
      <c r="A178" s="673"/>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5"/>
      <c r="E178" s="356"/>
      <c r="F178" s="356"/>
      <c r="G178" s="356"/>
      <c r="H178" s="356"/>
      <c r="I178" s="338"/>
      <c r="J178" s="356"/>
      <c r="K178" s="356"/>
      <c r="L178" s="356"/>
      <c r="M178" s="372"/>
      <c r="N178" s="363"/>
    </row>
    <row r="179" spans="1:14" ht="15" customHeight="1">
      <c r="A179" s="673"/>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WORLDCUP!AA120</f>
        <v>W73</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WORLDCUP!AA122</f>
        <v>W76</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Suecia</v>
      </c>
      <c r="G2" s="9" t="str">
        <f ca="1">+WORLDCUP!BD65</f>
        <v>España</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Paraguay</v>
      </c>
      <c r="G4" s="9" t="str">
        <f ca="1">+WORLDCUP!BD65</f>
        <v>España</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Paraguay</v>
      </c>
      <c r="G5" s="9" t="str">
        <f ca="1">+WORLDCUP!BD65</f>
        <v>España</v>
      </c>
      <c r="H5" s="9" t="str">
        <f ca="1">+WORLDCUP!BD63</f>
        <v>Suecia</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Paraguay</v>
      </c>
      <c r="G7" s="9" t="str">
        <f ca="1">+WORLDCUP!BD65</f>
        <v>España</v>
      </c>
      <c r="H7" s="9" t="str">
        <f ca="1">+WORLDCUP!BD63</f>
        <v>Suecia</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España</v>
      </c>
      <c r="H8" s="9" t="str">
        <f ca="1">+WORLDCUP!BD63</f>
        <v>Suecia</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Paraguay</v>
      </c>
      <c r="G9" s="9" t="str">
        <f ca="1">+WORLDCUP!BD65</f>
        <v>España</v>
      </c>
      <c r="H9" s="9" t="str">
        <f ca="1">+WORLDCUP!BD63</f>
        <v>Suecia</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Paraguay</v>
      </c>
      <c r="G10" s="9" t="str">
        <f ca="1">+WORLDCUP!BD65</f>
        <v>España</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Suecia</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Suecia</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Suecia</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Suecia</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Jordania</v>
      </c>
      <c r="E20" s="9" t="str">
        <f ca="1">+WORLDCUP!BD66</f>
        <v>Senegal</v>
      </c>
      <c r="F20" s="9" t="str">
        <f ca="1">+WORLDCUP!BD61</f>
        <v>Paraguay</v>
      </c>
      <c r="G20" s="9" t="str">
        <f ca="1">+WORLDCUP!BD65</f>
        <v>España</v>
      </c>
      <c r="H20" s="9" t="str">
        <f ca="1">+WORLDCUP!BD63</f>
        <v>Suecia</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Jordania</v>
      </c>
      <c r="F22" s="9" t="str">
        <f ca="1">+WORLDCUP!BD61</f>
        <v>Paraguay</v>
      </c>
      <c r="G22" s="9" t="str">
        <f ca="1">+WORLDCUP!BD65</f>
        <v>España</v>
      </c>
      <c r="H22" s="9" t="str">
        <f ca="1">+WORLDCUP!BD63</f>
        <v>Suecia</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España</v>
      </c>
      <c r="H23" s="9" t="str">
        <f ca="1">+WORLDCUP!BD63</f>
        <v>Suecia</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Jordania</v>
      </c>
      <c r="F24" s="9" t="str">
        <f ca="1">+WORLDCUP!BD61</f>
        <v>Paraguay</v>
      </c>
      <c r="G24" s="9" t="str">
        <f ca="1">+WORLDCUP!BD65</f>
        <v>España</v>
      </c>
      <c r="H24" s="9" t="str">
        <f ca="1">+WORLDCUP!BD63</f>
        <v>Suecia</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Jordania</v>
      </c>
      <c r="F25" s="9" t="str">
        <f ca="1">+WORLDCUP!BD61</f>
        <v>Paraguay</v>
      </c>
      <c r="G25" s="9" t="str">
        <f ca="1">+WORLDCUP!BD65</f>
        <v>España</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Jordania</v>
      </c>
      <c r="E33" s="9" t="str">
        <f ca="1">+WORLDCUP!BD62</f>
        <v>Ecuador</v>
      </c>
      <c r="F33" s="9" t="str">
        <f ca="1">+WORLDCUP!BD61</f>
        <v>Paraguay</v>
      </c>
      <c r="G33" s="9" t="str">
        <f ca="1">+WORLDCUP!BD65</f>
        <v>España</v>
      </c>
      <c r="H33" s="9" t="str">
        <f ca="1">+WORLDCUP!BD63</f>
        <v>Suecia</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España</v>
      </c>
      <c r="H34" s="9" t="str">
        <f ca="1">+WORLDCUP!BD63</f>
        <v>Suecia</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Jordania</v>
      </c>
      <c r="E35" s="9" t="str">
        <f ca="1">+WORLDCUP!BD62</f>
        <v>Ecuador</v>
      </c>
      <c r="F35" s="9" t="str">
        <f ca="1">+WORLDCUP!BD61</f>
        <v>Paraguay</v>
      </c>
      <c r="G35" s="9" t="str">
        <f ca="1">+WORLDCUP!BD65</f>
        <v>España</v>
      </c>
      <c r="H35" s="9" t="str">
        <f ca="1">+WORLDCUP!BD63</f>
        <v>Suecia</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Jordania</v>
      </c>
      <c r="E36" s="9" t="str">
        <f ca="1">+WORLDCUP!BD62</f>
        <v>Ecuador</v>
      </c>
      <c r="F36" s="9" t="str">
        <f ca="1">+WORLDCUP!BD61</f>
        <v>Paraguay</v>
      </c>
      <c r="G36" s="9" t="str">
        <f ca="1">+WORLDCUP!BD65</f>
        <v>España</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España</v>
      </c>
      <c r="H41" s="9" t="str">
        <f ca="1">+WORLDCUP!BD63</f>
        <v>Suecia</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Jordania</v>
      </c>
      <c r="F42" s="9" t="str">
        <f ca="1">+WORLDCUP!BD61</f>
        <v>Paraguay</v>
      </c>
      <c r="G42" s="9" t="str">
        <f ca="1">+WORLDCUP!BD65</f>
        <v>España</v>
      </c>
      <c r="H42" s="9" t="str">
        <f ca="1">+WORLDCUP!BD63</f>
        <v>Suecia</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Jordania</v>
      </c>
      <c r="F43" s="9" t="str">
        <f ca="1">+WORLDCUP!BD61</f>
        <v>Paraguay</v>
      </c>
      <c r="G43" s="9" t="str">
        <f ca="1">+WORLDCUP!BD65</f>
        <v>España</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España</v>
      </c>
      <c r="H44" s="9" t="str">
        <f ca="1">+WORLDCUP!BD63</f>
        <v>Suecia</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España</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Jordania</v>
      </c>
      <c r="F46" s="9" t="str">
        <f ca="1">+WORLDCUP!BD61</f>
        <v>Paraguay</v>
      </c>
      <c r="G46" s="9" t="str">
        <f ca="1">+WORLDCUP!BD65</f>
        <v>España</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España</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Suecia</v>
      </c>
      <c r="G51" s="9" t="str">
        <f ca="1">+WORLDCUP!BD65</f>
        <v>España</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España</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Suecia</v>
      </c>
      <c r="G53" s="9" t="str">
        <f ca="1">+WORLDCUP!BD65</f>
        <v>España</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Suecia</v>
      </c>
      <c r="G54" s="9" t="str">
        <f ca="1">+WORLDCUP!BD65</f>
        <v>España</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España</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España</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España</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España</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España</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España</v>
      </c>
      <c r="H69" s="9" t="str">
        <f ca="1">+WORLDCUP!BD63</f>
        <v>Suecia</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España</v>
      </c>
      <c r="H70" s="9" t="str">
        <f ca="1">+WORLDCUP!BD63</f>
        <v>Suecia</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España</v>
      </c>
      <c r="H71" s="9" t="str">
        <f ca="1">+WORLDCUP!BD63</f>
        <v>Suecia</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España</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España</v>
      </c>
      <c r="H77" s="9" t="str">
        <f ca="1">+WORLDCUP!BD63</f>
        <v>Suecia</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España</v>
      </c>
      <c r="H80" s="9" t="str">
        <f ca="1">+WORLDCUP!BD63</f>
        <v>Suecia</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España</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Suecia</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Suecia</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Suecia</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Suecia</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Suecia</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España</v>
      </c>
      <c r="H118" s="9" t="str">
        <f ca="1">+WORLDCUP!BD63</f>
        <v>Suecia</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España</v>
      </c>
      <c r="H119" s="9" t="str">
        <f ca="1">+WORLDCUP!BD63</f>
        <v>Suecia</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España</v>
      </c>
      <c r="H120" s="9" t="str">
        <f ca="1">+WORLDCUP!BD63</f>
        <v>Suecia</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España</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España</v>
      </c>
      <c r="H126" s="9" t="str">
        <f ca="1">+WORLDCUP!BD63</f>
        <v>Suecia</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España</v>
      </c>
      <c r="H127" s="9" t="str">
        <f ca="1">+WORLDCUP!BD63</f>
        <v>Suecia</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España</v>
      </c>
      <c r="H129" s="9" t="str">
        <f ca="1">+WORLDCUP!BD63</f>
        <v>Suecia</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España</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España</v>
      </c>
      <c r="H151" s="9" t="str">
        <f ca="1">+WORLDCUP!BD63</f>
        <v>Suecia</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España</v>
      </c>
      <c r="H152" s="9" t="str">
        <f ca="1">+WORLDCUP!BD63</f>
        <v>Suecia</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España</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España</v>
      </c>
      <c r="H154" s="9" t="str">
        <f ca="1">+WORLDCUP!BD63</f>
        <v>Suecia</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España</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España</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España</v>
      </c>
      <c r="H163" s="9" t="str">
        <f ca="1">+WORLDCUP!BD63</f>
        <v>Suecia</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España</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España</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España</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España</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España</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España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España</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España</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España</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España</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España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España</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1</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España</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España</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España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España</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España</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España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España</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España</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España</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España</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España</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España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España</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España</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España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España</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2026-06-21T09:20:24Z</dcterms:modified>
</cp:coreProperties>
</file>