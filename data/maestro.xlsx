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F761D3CC-7B50-4ACF-8802-782A9EEDD73A}"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V52" i="3" l="1"/>
  <c r="BW24" i="3"/>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c r="CB19" i="3" l="1"/>
  <c r="CA17" i="3"/>
  <c r="CC17" i="3" s="1"/>
  <c r="CA14" i="3"/>
  <c r="CC14" i="3" s="1"/>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9" i="3" l="1"/>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14" i="3" l="1"/>
  <c r="CF35" i="3"/>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H21" i="3"/>
  <c r="N31" i="3" s="1"/>
  <c r="CH27" i="3"/>
  <c r="N48" i="3" s="1"/>
  <c r="CH51" i="3"/>
  <c r="O92" i="3" s="1"/>
  <c r="CH30" i="3"/>
  <c r="CI30" i="3" s="1"/>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42" i="3" l="1"/>
  <c r="O64" i="3"/>
  <c r="N79" i="3"/>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CI31" i="3" s="1"/>
  <c r="N81" i="3"/>
  <c r="N84" i="3"/>
  <c r="CI45" i="3"/>
  <c r="O5" i="3"/>
  <c r="CK8" i="3" s="1"/>
  <c r="N47" i="3"/>
  <c r="CI27" i="3" s="1"/>
  <c r="CK46" i="3"/>
  <c r="CI33" i="3"/>
  <c r="O53" i="3"/>
  <c r="O79" i="3"/>
  <c r="N6" i="3"/>
  <c r="N86" i="3"/>
  <c r="O32" i="3"/>
  <c r="CI21" i="3" s="1"/>
  <c r="CI43" i="3"/>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N13" i="3"/>
  <c r="O68" i="3"/>
  <c r="O57" i="3"/>
  <c r="O65" i="3"/>
  <c r="CK37" i="3" s="1"/>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0" i="3" l="1"/>
  <c r="CM43" i="3" s="1"/>
  <c r="CL41" i="3"/>
  <c r="CL7" i="3"/>
  <c r="CL6" i="3"/>
  <c r="CM37" i="3"/>
  <c r="CM17" i="3" l="1"/>
  <c r="CM19" i="3"/>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89" i="3"/>
  <c r="R80" i="3"/>
  <c r="R40" i="3"/>
  <c r="R53" i="3"/>
  <c r="R81" i="3"/>
  <c r="Q55" i="3"/>
  <c r="Q96" i="3"/>
  <c r="Q72" i="3"/>
  <c r="R69" i="3"/>
  <c r="Q80" i="3"/>
  <c r="R31" i="3"/>
  <c r="R96" i="3"/>
  <c r="R88" i="3"/>
  <c r="R72" i="3"/>
  <c r="Q97" i="3"/>
  <c r="Q88" i="3"/>
  <c r="Q65" i="3"/>
  <c r="Q81" i="3"/>
  <c r="Q49" i="3"/>
  <c r="Q48" i="3" l="1"/>
  <c r="R79" i="3"/>
  <c r="R24" i="3"/>
  <c r="Q64" i="3"/>
  <c r="R56" i="3"/>
  <c r="Q56" i="3"/>
  <c r="Q73" i="3"/>
  <c r="R85" i="3"/>
  <c r="Q40" i="3"/>
  <c r="R49" i="3"/>
  <c r="Q41" i="3"/>
  <c r="R32" i="3"/>
  <c r="R48" i="3"/>
  <c r="R41" i="3"/>
  <c r="R9" i="3"/>
  <c r="Q9" i="3"/>
  <c r="Q8" i="3"/>
  <c r="R8" i="3"/>
  <c r="R17" i="3"/>
  <c r="R94" i="3"/>
  <c r="CP50" i="3" s="1"/>
  <c r="R95" i="3"/>
  <c r="R16" i="3"/>
  <c r="Q16" i="3"/>
  <c r="R70" i="3"/>
  <c r="R87" i="3"/>
  <c r="Q86" i="3"/>
  <c r="R86" i="3"/>
  <c r="R77" i="3"/>
  <c r="Q78" i="3"/>
  <c r="Q62" i="3"/>
  <c r="CO36" i="3" s="1"/>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CP43"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R45" i="3"/>
  <c r="Q60" i="3"/>
  <c r="CP33" i="3"/>
  <c r="Q52" i="3"/>
  <c r="CP31" i="3" s="1"/>
  <c r="CP12" i="3"/>
  <c r="Q45" i="3"/>
  <c r="CO23" i="3"/>
  <c r="CO22" i="3"/>
  <c r="CP22" i="3"/>
  <c r="Q4" i="3"/>
  <c r="CP7" i="3" s="1"/>
  <c r="Q12" i="3"/>
  <c r="R5" i="3"/>
  <c r="CO8" i="3" s="1"/>
  <c r="CO12" i="3"/>
  <c r="CO47" i="3"/>
  <c r="R20" i="3"/>
  <c r="Q21" i="3"/>
  <c r="CP45" i="3"/>
  <c r="CP49" i="3"/>
  <c r="CP48" i="3"/>
  <c r="CP40" i="3"/>
  <c r="CO40" i="3"/>
  <c r="CO49" i="3"/>
  <c r="CO48" i="3"/>
  <c r="CP16" i="3"/>
  <c r="CO42" i="3"/>
  <c r="CP28" i="3"/>
  <c r="CP17" i="3"/>
  <c r="CO28" i="3"/>
  <c r="CO17" i="3"/>
  <c r="CO16" i="3"/>
  <c r="CO6" i="3"/>
  <c r="CP6" i="3"/>
  <c r="CP27" i="3"/>
  <c r="CO29" i="3"/>
  <c r="CP29" i="3"/>
  <c r="CO33" i="3"/>
  <c r="CP36" i="3" l="1"/>
  <c r="CP32" i="3"/>
  <c r="CO50" i="3"/>
  <c r="CQ50" i="3" s="1"/>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Q10" i="3" s="1"/>
  <c r="CP13" i="3"/>
  <c r="CO21" i="3"/>
  <c r="CQ21" i="3" s="1"/>
  <c r="CO14" i="3"/>
  <c r="CQ23" i="3"/>
  <c r="CQ27" i="3"/>
  <c r="CP26" i="3"/>
  <c r="CQ26" i="3" s="1"/>
  <c r="CQ47" i="3"/>
  <c r="CP18" i="3"/>
  <c r="CQ18" i="3" s="1"/>
  <c r="CO39" i="3"/>
  <c r="CQ39" i="3" s="1"/>
  <c r="CQ33" i="3"/>
  <c r="CO31" i="3"/>
  <c r="CQ31" i="3" s="1"/>
  <c r="CQ12" i="3"/>
  <c r="CP35" i="3"/>
  <c r="CO11" i="3"/>
  <c r="CQ36" i="3"/>
  <c r="CQ22" i="3"/>
  <c r="CO7" i="3"/>
  <c r="CQ7" i="3" s="1"/>
  <c r="CQ49" i="3"/>
  <c r="CQ48" i="3"/>
  <c r="CQ16" i="3"/>
  <c r="CQ40" i="3"/>
  <c r="CQ32" i="3"/>
  <c r="CQ28" i="3"/>
  <c r="CQ17" i="3"/>
  <c r="CQ6" i="3"/>
  <c r="CQ29" i="3"/>
  <c r="CQ38" i="3" l="1"/>
  <c r="CQ44" i="3"/>
  <c r="CQ35" i="3"/>
  <c r="CQ20" i="3"/>
  <c r="CQ14" i="3"/>
  <c r="CR41" i="3" s="1"/>
  <c r="CQ13" i="3"/>
  <c r="CR47" i="3" s="1"/>
  <c r="CQ11" i="3"/>
  <c r="CR53" i="3" s="1"/>
  <c r="CR34" i="3"/>
  <c r="CR28" i="3" l="1"/>
  <c r="CR25" i="3"/>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T36" i="3"/>
  <c r="U41" i="3"/>
  <c r="T69" i="3"/>
  <c r="U73" i="3"/>
  <c r="T81" i="3"/>
  <c r="T97" i="3"/>
  <c r="U81" i="3"/>
  <c r="T89" i="3"/>
  <c r="T88" i="3"/>
  <c r="T68" i="3"/>
  <c r="U93" i="3"/>
  <c r="T96" i="3"/>
  <c r="U72" i="3"/>
  <c r="U96" i="3"/>
  <c r="T57" i="3"/>
  <c r="T65" i="3"/>
  <c r="T55" i="3"/>
  <c r="U97" i="3"/>
  <c r="T60" i="3"/>
  <c r="T62" i="3"/>
  <c r="U64" i="3" l="1"/>
  <c r="T56" i="3"/>
  <c r="T64" i="3"/>
  <c r="U57" i="3"/>
  <c r="T72" i="3"/>
  <c r="T48" i="3"/>
  <c r="T9" i="3"/>
  <c r="T73" i="3"/>
  <c r="U49" i="3"/>
  <c r="T33" i="3"/>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U6" i="3"/>
  <c r="U39" i="3"/>
  <c r="U38" i="3"/>
  <c r="CT31"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17" i="3"/>
  <c r="U77" i="3"/>
  <c r="CT44" i="3" s="1"/>
  <c r="CT35" i="3"/>
  <c r="U60" i="3"/>
  <c r="CT34" i="3" s="1"/>
  <c r="T28" i="3"/>
  <c r="CT19" i="3" s="1"/>
  <c r="T84" i="3"/>
  <c r="CT47" i="3" s="1"/>
  <c r="U21" i="3"/>
  <c r="T85" i="3"/>
  <c r="T21" i="3"/>
  <c r="CT51" i="3"/>
  <c r="U12" i="3"/>
  <c r="T76" i="3"/>
  <c r="CT43" i="3" s="1"/>
  <c r="CT23" i="3"/>
  <c r="T61" i="3"/>
  <c r="CT37" i="3" s="1"/>
  <c r="CT22" i="3"/>
  <c r="CT21" i="3"/>
  <c r="CT48" i="3"/>
  <c r="CT6" i="3"/>
  <c r="CT46" i="3"/>
  <c r="CT18" i="3"/>
  <c r="CT16" i="3"/>
  <c r="CT41" i="3"/>
  <c r="CT39" i="3"/>
  <c r="CT29" i="3"/>
  <c r="CT36" i="3"/>
  <c r="CT8" i="3"/>
  <c r="CT20" i="3" l="1"/>
  <c r="CT15" i="3"/>
  <c r="CT14" i="3"/>
  <c r="CT30" i="3"/>
  <c r="CT11" i="3"/>
  <c r="CT27" i="3"/>
  <c r="CT10" i="3"/>
  <c r="CT25" i="3"/>
  <c r="CT9" i="3"/>
  <c r="CT7" i="3"/>
  <c r="CU16" i="3" l="1"/>
  <c r="CU18" i="3"/>
  <c r="CU17" i="3"/>
  <c r="CU33" i="3"/>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L37" i="3" s="1"/>
  <c r="AU65"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L34" i="3" s="1"/>
  <c r="AU62"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DL35" i="3" s="1"/>
  <c r="AU63" i="3" s="1"/>
  <c r="AV62" i="3"/>
  <c r="DQ12" i="3"/>
  <c r="DJ12" i="3" s="1"/>
  <c r="DL52" i="3"/>
  <c r="AU96" i="3" s="1"/>
  <c r="DL49" i="3"/>
  <c r="AU89" i="3" s="1"/>
  <c r="DL46" i="3"/>
  <c r="AU86" i="3" s="1"/>
  <c r="DL43" i="3"/>
  <c r="AU79" i="3" s="1"/>
  <c r="DL50" i="3"/>
  <c r="DL45" i="3"/>
  <c r="DL48" i="3"/>
  <c r="AU88" i="3" s="1"/>
  <c r="DL47" i="3"/>
  <c r="AU87" i="3" s="1"/>
  <c r="DL51" i="3"/>
  <c r="AU95" i="3" s="1"/>
  <c r="DL53" i="3"/>
  <c r="AU97" i="3" s="1"/>
  <c r="DL42" i="3"/>
  <c r="AU78" i="3" s="1"/>
  <c r="DL44" i="3"/>
  <c r="AU80" i="3" s="1"/>
  <c r="DL36" i="3" l="1"/>
  <c r="AU64" i="3" s="1"/>
  <c r="DL40" i="3"/>
  <c r="AU72" i="3" s="1"/>
  <c r="DL33" i="3"/>
  <c r="AU57" i="3" s="1"/>
  <c r="DL32" i="3"/>
  <c r="AU56" i="3" s="1"/>
  <c r="DL30" i="3"/>
  <c r="AU54" i="3" s="1"/>
  <c r="AU53" i="3" s="1"/>
  <c r="AV52" i="3" s="1"/>
  <c r="DL31" i="3"/>
  <c r="AU55" i="3" s="1"/>
  <c r="DL38" i="3"/>
  <c r="AU70" i="3" s="1"/>
  <c r="DL39" i="3"/>
  <c r="AU71" i="3" s="1"/>
  <c r="DL41" i="3"/>
  <c r="DN41" i="3" s="1" a="1"/>
  <c r="DN41" i="3" s="1"/>
  <c r="DL18" i="3"/>
  <c r="AU30" i="3" s="1"/>
  <c r="DL19" i="3"/>
  <c r="AU31" i="3" s="1"/>
  <c r="DL21" i="3"/>
  <c r="AU33" i="3" s="1"/>
  <c r="DL20" i="3"/>
  <c r="DN20" i="3" s="1" a="1"/>
  <c r="DN20" i="3" s="1"/>
  <c r="DL27" i="3"/>
  <c r="AU47" i="3" s="1"/>
  <c r="DL26" i="3"/>
  <c r="AU46" i="3" s="1"/>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N45" i="3" a="1"/>
  <c r="DN45" i="3" s="1"/>
  <c r="DF8" i="3"/>
  <c r="DN50" i="3" a="1"/>
  <c r="DN50" i="3" s="1"/>
  <c r="DN31" i="3" a="1"/>
  <c r="DN31" i="3" s="1"/>
  <c r="DN33" i="3" a="1"/>
  <c r="DN33" i="3" s="1"/>
  <c r="DM33" i="3"/>
  <c r="DN49" i="3" a="1"/>
  <c r="DN49" i="3" s="1"/>
  <c r="DN32" i="3" a="1"/>
  <c r="DN32" i="3" s="1"/>
  <c r="DM32" i="3"/>
  <c r="DM52" i="3"/>
  <c r="DM51" i="3"/>
  <c r="DN52" i="3" a="1"/>
  <c r="DN52" i="3" s="1"/>
  <c r="DM40" i="3"/>
  <c r="DM37" i="3"/>
  <c r="DN19" i="3" a="1"/>
  <c r="DN19" i="3" s="1"/>
  <c r="DM34" i="3"/>
  <c r="DN37" i="3" a="1"/>
  <c r="DN37" i="3" s="1"/>
  <c r="DN34" i="3" a="1"/>
  <c r="DN34" i="3" s="1"/>
  <c r="DN46" i="3" a="1"/>
  <c r="DN46" i="3" s="1"/>
  <c r="DN51" i="3" a="1"/>
  <c r="DN51" i="3" s="1"/>
  <c r="DM19" i="3"/>
  <c r="DN43" i="3" a="1"/>
  <c r="DN43" i="3" s="1"/>
  <c r="DM35" i="3"/>
  <c r="DM46" i="3"/>
  <c r="DM53" i="3"/>
  <c r="DM49" i="3"/>
  <c r="AU85" i="3"/>
  <c r="AV84" i="3" s="1"/>
  <c r="DN42" i="3" a="1"/>
  <c r="DN42" i="3" s="1"/>
  <c r="AU61" i="3"/>
  <c r="AV60" i="3" s="1"/>
  <c r="DM36" i="3"/>
  <c r="DM42" i="3"/>
  <c r="DN36" i="3" a="1"/>
  <c r="DN36" i="3" s="1"/>
  <c r="DN40" i="3" a="1"/>
  <c r="DN40" i="3" s="1"/>
  <c r="DN47" i="3" a="1"/>
  <c r="DN47" i="3" s="1"/>
  <c r="DM44" i="3"/>
  <c r="DM48" i="3"/>
  <c r="DM50" i="3"/>
  <c r="AU81" i="3"/>
  <c r="AU77" i="3" s="1"/>
  <c r="AV76" i="3" s="1"/>
  <c r="DM45" i="3"/>
  <c r="DN44" i="3" a="1"/>
  <c r="DN44" i="3" s="1"/>
  <c r="DN35" i="3" a="1"/>
  <c r="DN35" i="3" s="1"/>
  <c r="DN48" i="3" a="1"/>
  <c r="DN48" i="3" s="1"/>
  <c r="AU94" i="3"/>
  <c r="AU93" i="3" s="1"/>
  <c r="AV92" i="3" s="1"/>
  <c r="DM43" i="3"/>
  <c r="DM47" i="3"/>
  <c r="DN53" i="3" a="1"/>
  <c r="DN53" i="3" s="1"/>
  <c r="DM30" i="3" l="1"/>
  <c r="DN39" i="3" a="1"/>
  <c r="DN39" i="3" s="1"/>
  <c r="DM38" i="3"/>
  <c r="DM39" i="3"/>
  <c r="AU73" i="3"/>
  <c r="AU69" i="3" s="1"/>
  <c r="AV68" i="3" s="1"/>
  <c r="DN30" i="3" a="1"/>
  <c r="DN30" i="3" s="1"/>
  <c r="DM41" i="3"/>
  <c r="DN38" i="3" a="1"/>
  <c r="DN38" i="3" s="1"/>
  <c r="DM31" i="3"/>
  <c r="DN25" i="3" a="1"/>
  <c r="DN25" i="3" s="1"/>
  <c r="DM20" i="3"/>
  <c r="DN21" i="3" a="1"/>
  <c r="DN21" i="3" s="1"/>
  <c r="DM21" i="3"/>
  <c r="DN27" i="3" a="1"/>
  <c r="DN27" i="3" s="1"/>
  <c r="AU49" i="3"/>
  <c r="AU45" i="3" s="1"/>
  <c r="AV44" i="3" s="1"/>
  <c r="DM26" i="3"/>
  <c r="DM18" i="3"/>
  <c r="DN26" i="3" a="1"/>
  <c r="DN26" i="3" s="1"/>
  <c r="DN18" i="3" a="1"/>
  <c r="DN18" i="3" s="1"/>
  <c r="AU32" i="3"/>
  <c r="AU29" i="3" s="1"/>
  <c r="AV28" i="3" s="1"/>
  <c r="DN24" i="3"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<sst xmlns="http://schemas.openxmlformats.org/spreadsheetml/2006/main" count="6814" uniqueCount="1534">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</sst>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14" fontId="85" fillId="3" borderId="0" xfId="0" quotePrefix="1" applyNumberFormat="1" applyFont="1" applyFill="1" applyAlignment="1" applyProtection="1">
      <alignment horizontal="center" vertical="center"/>
      <protection hidden="1"/>
    </xf>
    <xf numFmtId="14" fontId="83" fillId="36" borderId="0" xfId="0" quotePrefix="1" applyNumberFormat="1" applyFont="1" applyFill="1" applyAlignment="1" applyProtection="1">
      <alignment horizontal="center" vertical="top"/>
      <protection hidden="1"/>
    </xf>
    <xf numFmtId="14" fontId="83" fillId="35" borderId="0" xfId="0" quotePrefix="1" applyNumberFormat="1" applyFont="1" applyFill="1" applyAlignment="1" applyProtection="1">
      <alignment horizontal="center" vertical="top"/>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0" fontId="83" fillId="3" borderId="0" xfId="0" applyFont="1" applyFill="1" applyAlignment="1" applyProtection="1">
      <alignment horizontal="center" vertical="center"/>
      <protection hidden="1"/>
    </xf>
    <xf numFmtId="14" fontId="83" fillId="13" borderId="0" xfId="0" applyNumberFormat="1" applyFont="1" applyFill="1" applyAlignment="1" applyProtection="1">
      <alignment horizontal="center" vertical="center" textRotation="2"/>
      <protection hidden="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68" zoomScale="73" zoomScaleNormal="100" workbookViewId="0">
      <selection activeCell="AD66" sqref="AD66"/>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47" t="str">
        <f>Idiomas!D8</f>
        <v>XXIII Mundial USA/MEX/CAN 2026</v>
      </c>
      <c r="X1" s="647"/>
      <c r="Y1" s="647"/>
      <c r="Z1" s="647"/>
      <c r="AA1" s="647"/>
      <c r="AB1" s="647"/>
      <c r="AC1" s="647"/>
      <c r="AD1" s="647"/>
      <c r="AE1" s="647"/>
      <c r="AF1" s="647"/>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3"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43"/>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43"/>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43"/>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43"/>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44"/>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45"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45"/>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45"/>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45"/>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45"/>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46"/>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54"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54"/>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54"/>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54"/>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54"/>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55"/>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56"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56"/>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56"/>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679</v>
      </c>
      <c r="DQ30" s="16" t="str">
        <f t="shared" ca="1" si="47"/>
        <v>Bélgica</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56"/>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680</v>
      </c>
      <c r="DQ31" s="16" t="str">
        <f t="shared" ca="1" si="47"/>
        <v>Egipto</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56"/>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57"/>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683</v>
      </c>
      <c r="DQ35" s="16" t="str">
        <f t="shared" ca="1" si="47"/>
        <v>Cabo Verde</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58"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58"/>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58"/>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58"/>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58"/>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59"/>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6</v>
      </c>
      <c r="BF42" s="16">
        <f t="shared" ca="1" si="41"/>
        <v>2</v>
      </c>
      <c r="BG42" s="16">
        <f t="shared" ca="1" si="17"/>
        <v>2</v>
      </c>
      <c r="BH42" s="16">
        <f t="shared" ca="1" si="18"/>
        <v>0</v>
      </c>
      <c r="BI42" s="16">
        <f t="shared" ca="1" si="19"/>
        <v>0</v>
      </c>
      <c r="BJ42" s="16">
        <f t="shared" ca="1" si="20"/>
        <v>5</v>
      </c>
      <c r="BK42" s="16">
        <f t="shared" ca="1" si="21"/>
        <v>0</v>
      </c>
      <c r="BL42" s="16">
        <f t="shared" ca="1" si="42"/>
        <v>5</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6</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8</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3</v>
      </c>
      <c r="BF43" s="16">
        <f t="shared" ca="1" si="41"/>
        <v>2</v>
      </c>
      <c r="BG43" s="16">
        <f t="shared" ca="1" si="17"/>
        <v>1</v>
      </c>
      <c r="BH43" s="16">
        <f t="shared" ca="1" si="18"/>
        <v>0</v>
      </c>
      <c r="BI43" s="16">
        <f t="shared" ca="1" si="19"/>
        <v>1</v>
      </c>
      <c r="BJ43" s="16">
        <f t="shared" ca="1" si="20"/>
        <v>2</v>
      </c>
      <c r="BK43" s="16">
        <f t="shared" ca="1" si="21"/>
        <v>4</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3</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0</v>
      </c>
      <c r="BW43" s="16">
        <f t="shared" ca="1" si="26"/>
        <v>0</v>
      </c>
      <c r="BX43" s="16">
        <f t="shared" ca="1" si="48"/>
        <v>0</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0</v>
      </c>
      <c r="CB43" s="16">
        <f t="shared" ca="1" si="28"/>
        <v>0</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0</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0</v>
      </c>
      <c r="CK43" s="16">
        <f t="shared" ca="1" si="32"/>
        <v>0</v>
      </c>
      <c r="CL43" s="16">
        <f t="shared" ca="1" si="50"/>
        <v>0</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0</v>
      </c>
      <c r="CP43" s="16">
        <f t="shared" ca="1" si="34"/>
        <v>0</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0</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8</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21"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3</v>
      </c>
      <c r="BF44" s="16">
        <f t="shared" ca="1" si="41"/>
        <v>2</v>
      </c>
      <c r="BG44" s="16">
        <f t="shared" ca="1" si="17"/>
        <v>1</v>
      </c>
      <c r="BH44" s="16">
        <f t="shared" ca="1" si="18"/>
        <v>0</v>
      </c>
      <c r="BI44" s="16">
        <f t="shared" ca="1" si="19"/>
        <v>1</v>
      </c>
      <c r="BJ44" s="16">
        <f t="shared" ca="1" si="20"/>
        <v>3</v>
      </c>
      <c r="BK44" s="16">
        <f t="shared" ca="1" si="21"/>
        <v>3</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3</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0</v>
      </c>
      <c r="BW44" s="16">
        <f t="shared" ca="1" si="26"/>
        <v>0</v>
      </c>
      <c r="BX44" s="16">
        <f t="shared" ca="1" si="48"/>
        <v>0</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0</v>
      </c>
      <c r="CB44" s="16">
        <f t="shared" ca="1" si="28"/>
        <v>0</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0</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0</v>
      </c>
      <c r="CK44" s="16">
        <f t="shared" ca="1" si="32"/>
        <v>0</v>
      </c>
      <c r="CL44" s="16">
        <f t="shared" ca="1" si="50"/>
        <v>0</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0</v>
      </c>
      <c r="CP44" s="16">
        <f t="shared" ca="1" si="34"/>
        <v>0</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0</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8</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21"/>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2</v>
      </c>
      <c r="BG45" s="16">
        <f t="shared" ca="1" si="17"/>
        <v>0</v>
      </c>
      <c r="BH45" s="16">
        <f t="shared" ca="1" si="18"/>
        <v>0</v>
      </c>
      <c r="BI45" s="16">
        <f t="shared" ca="1" si="19"/>
        <v>2</v>
      </c>
      <c r="BJ45" s="16">
        <f t="shared" ca="1" si="20"/>
        <v>2</v>
      </c>
      <c r="BK45" s="16">
        <f t="shared" ca="1" si="21"/>
        <v>5</v>
      </c>
      <c r="BL45" s="16">
        <f t="shared" ca="1" si="42"/>
        <v>-3</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8</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21"/>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4</v>
      </c>
      <c r="BF46" s="16">
        <f t="shared" ca="1" si="41"/>
        <v>2</v>
      </c>
      <c r="BG46" s="16">
        <f t="shared" ca="1" si="17"/>
        <v>1</v>
      </c>
      <c r="BH46" s="16">
        <f t="shared" ca="1" si="18"/>
        <v>1</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4</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8</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21"/>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1</v>
      </c>
      <c r="BF47" s="16">
        <f t="shared" ca="1" si="41"/>
        <v>2</v>
      </c>
      <c r="BG47" s="16">
        <f t="shared" ca="1" si="17"/>
        <v>0</v>
      </c>
      <c r="BH47" s="16">
        <f t="shared" ca="1" si="18"/>
        <v>1</v>
      </c>
      <c r="BI47" s="16">
        <f t="shared" ca="1" si="19"/>
        <v>1</v>
      </c>
      <c r="BJ47" s="16">
        <f t="shared" ca="1" si="20"/>
        <v>1</v>
      </c>
      <c r="BK47" s="16">
        <f t="shared" ca="1" si="21"/>
        <v>2</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8</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21"/>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2</v>
      </c>
      <c r="BG48" s="16">
        <f t="shared" ca="1" si="17"/>
        <v>0</v>
      </c>
      <c r="BH48" s="16">
        <f t="shared" ca="1" si="18"/>
        <v>0</v>
      </c>
      <c r="BI48" s="16">
        <f t="shared" ca="1" si="19"/>
        <v>2</v>
      </c>
      <c r="BJ48" s="16">
        <f t="shared" ca="1" si="20"/>
        <v>1</v>
      </c>
      <c r="BK48" s="16">
        <f t="shared" ca="1" si="21"/>
        <v>8</v>
      </c>
      <c r="BL48" s="16">
        <f t="shared" ca="1" si="42"/>
        <v>-7</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8</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22"/>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6</v>
      </c>
      <c r="BF49" s="16">
        <f t="shared" ca="1" si="41"/>
        <v>2</v>
      </c>
      <c r="BG49" s="16">
        <f t="shared" ca="1" si="17"/>
        <v>2</v>
      </c>
      <c r="BH49" s="16">
        <f t="shared" ca="1" si="18"/>
        <v>0</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6</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8</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4</v>
      </c>
      <c r="BF50" s="16">
        <f t="shared" ca="1" si="41"/>
        <v>2</v>
      </c>
      <c r="BG50" s="16">
        <f t="shared" ca="1" si="17"/>
        <v>1</v>
      </c>
      <c r="BH50" s="16">
        <f t="shared" ca="1" si="18"/>
        <v>1</v>
      </c>
      <c r="BI50" s="16">
        <f t="shared" ca="1" si="19"/>
        <v>0</v>
      </c>
      <c r="BJ50" s="16">
        <f t="shared" ca="1" si="20"/>
        <v>4</v>
      </c>
      <c r="BK50" s="16">
        <f t="shared" ca="1" si="21"/>
        <v>2</v>
      </c>
      <c r="BL50" s="16">
        <f t="shared" ca="1" si="42"/>
        <v>2</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4</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4"/>
        <v>0</v>
      </c>
      <c r="BV50" s="16">
        <f t="shared" ca="1" si="25"/>
        <v>1</v>
      </c>
      <c r="BW50" s="16">
        <f t="shared" ca="1" si="26"/>
        <v>0</v>
      </c>
      <c r="BX50" s="16">
        <f t="shared" ca="1" si="48"/>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27"/>
        <v>0</v>
      </c>
      <c r="CB50" s="16">
        <f t="shared" ca="1" si="28"/>
        <v>0</v>
      </c>
      <c r="CC50" s="16">
        <f t="shared" ca="1" si="49"/>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29"/>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0"/>
        <v>0</v>
      </c>
      <c r="CJ50" s="16">
        <f t="shared" ca="1" si="31"/>
        <v>1</v>
      </c>
      <c r="CK50" s="16">
        <f t="shared" ca="1" si="32"/>
        <v>0</v>
      </c>
      <c r="CL50" s="16">
        <f t="shared" ca="1" si="50"/>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33"/>
        <v>0</v>
      </c>
      <c r="CP50" s="16">
        <f t="shared" ca="1" si="34"/>
        <v>0</v>
      </c>
      <c r="CQ50" s="16">
        <f t="shared" ca="1" si="51"/>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35"/>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36"/>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8</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3</v>
      </c>
      <c r="BF51" s="16">
        <f t="shared" ca="1" si="41"/>
        <v>2</v>
      </c>
      <c r="BG51" s="16">
        <f t="shared" ca="1" si="17"/>
        <v>1</v>
      </c>
      <c r="BH51" s="16">
        <f t="shared" ca="1" si="18"/>
        <v>0</v>
      </c>
      <c r="BI51" s="16">
        <f t="shared" ca="1" si="19"/>
        <v>1</v>
      </c>
      <c r="BJ51" s="16">
        <f t="shared" ca="1" si="20"/>
        <v>3</v>
      </c>
      <c r="BK51" s="16">
        <f t="shared" ca="1" si="21"/>
        <v>4</v>
      </c>
      <c r="BL51" s="16">
        <f t="shared" ca="1" si="42"/>
        <v>-1</v>
      </c>
      <c r="BM51" s="16" t="str">
        <f t="shared" ca="1" si="22"/>
        <v>3L</v>
      </c>
      <c r="BN51" s="16" t="str">
        <f t="shared" ca="1" si="23"/>
        <v>3L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3</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3</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3</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3</v>
      </c>
      <c r="DE51" s="16"/>
      <c r="DF51" s="16">
        <f t="shared" ca="1" si="52"/>
        <v>3</v>
      </c>
      <c r="DG51" s="16" t="str">
        <f ca="1">IF(DB51="-","-",COUNTIFS(DF$6:DF$53,"&lt;"&amp;DF51,$BC$6:$BC$53,INDEX(T_Equipos[Grupo],MATCH(BD51,T_Equipos[NombreEquipo],0))))</f>
        <v>-</v>
      </c>
      <c r="DH51" s="16">
        <f ca="1">DA51+COUNTIFS(DB$6:DB$53,DB51,DG$6:DG$53,"&lt;"&amp;DG51,$BC$6:$BC$53,INDEX(T_Equipos[Grupo],MATCH(BD51,T_Equipos[NombreEquipo],0)))</f>
        <v>3</v>
      </c>
      <c r="DI51" s="16"/>
      <c r="DJ51" s="16">
        <f t="shared" ca="1" si="38"/>
        <v>2</v>
      </c>
      <c r="DK51" s="16">
        <f t="shared" ca="1" si="39"/>
        <v>8</v>
      </c>
      <c r="DL51" s="16">
        <f t="shared" ca="1" si="40"/>
        <v>1</v>
      </c>
      <c r="DM51" s="16" t="str">
        <f t="shared" ca="1" si="46"/>
        <v>2.1</v>
      </c>
      <c r="DN51" s="16" cm="1">
        <f t="array" aca="1" ref="DN51" ca="1">OFFSET(Horarios!$P$3,DJ51-1,0,DL51,1)</f>
        <v>2</v>
      </c>
      <c r="DO51" s="16"/>
      <c r="DP51" s="16" t="s">
        <v>695</v>
      </c>
      <c r="DQ51" s="16" t="str">
        <f t="shared" ca="1" si="47"/>
        <v>Ghana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41"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2</v>
      </c>
      <c r="BG52" s="16">
        <f t="shared" ca="1" si="17"/>
        <v>1</v>
      </c>
      <c r="BH52" s="16">
        <f t="shared" ca="1" si="18"/>
        <v>1</v>
      </c>
      <c r="BI52" s="16">
        <f t="shared" ca="1" si="19"/>
        <v>0</v>
      </c>
      <c r="BJ52" s="16">
        <f t="shared" ca="1" si="20"/>
        <v>1</v>
      </c>
      <c r="BK52" s="16">
        <f t="shared" ca="1" si="21"/>
        <v>0</v>
      </c>
      <c r="BL52" s="16">
        <f t="shared" ca="1" si="42"/>
        <v>1</v>
      </c>
      <c r="BM52" s="16" t="str">
        <f t="shared" ca="1" si="22"/>
        <v>2L</v>
      </c>
      <c r="BN52" s="16" t="str">
        <f t="shared" ca="1" si="23"/>
        <v>2L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4"/>
        <v>0</v>
      </c>
      <c r="BV52" s="16">
        <f t="shared" ca="1" si="25"/>
        <v>1</v>
      </c>
      <c r="BW52" s="16">
        <f t="shared" ca="1" si="26"/>
        <v>0</v>
      </c>
      <c r="BX52" s="16">
        <f t="shared" ca="1" si="48"/>
        <v>1</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27"/>
        <v>0</v>
      </c>
      <c r="CB52" s="16">
        <f t="shared" ca="1" si="28"/>
        <v>0</v>
      </c>
      <c r="CC52" s="16">
        <f t="shared" ca="1" si="49"/>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29"/>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0"/>
        <v>0</v>
      </c>
      <c r="CJ52" s="16">
        <f t="shared" ca="1" si="31"/>
        <v>1</v>
      </c>
      <c r="CK52" s="16">
        <f t="shared" ca="1" si="32"/>
        <v>0</v>
      </c>
      <c r="CL52" s="16">
        <f t="shared" ca="1" si="50"/>
        <v>1</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33"/>
        <v>0</v>
      </c>
      <c r="CP52" s="16">
        <f t="shared" ca="1" si="34"/>
        <v>0</v>
      </c>
      <c r="CQ52" s="16">
        <f t="shared" ca="1" si="51"/>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35"/>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36"/>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52"/>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38"/>
        <v>3</v>
      </c>
      <c r="DK52" s="16">
        <f t="shared" ca="1" si="39"/>
        <v>8</v>
      </c>
      <c r="DL52" s="16">
        <f t="shared" ca="1" si="40"/>
        <v>1</v>
      </c>
      <c r="DM52" s="16" t="str">
        <f t="shared" ca="1" si="46"/>
        <v>3.1</v>
      </c>
      <c r="DN52" s="16" cm="1">
        <f t="array" aca="1" ref="DN52" ca="1">OFFSET(Horarios!$P$3,DJ52-1,0,DL52,1)</f>
        <v>3</v>
      </c>
      <c r="DO52" s="16"/>
      <c r="DP52" s="16" t="s">
        <v>453</v>
      </c>
      <c r="DQ52" s="16" t="str">
        <f t="shared" ca="1" si="47"/>
        <v>Croacia</v>
      </c>
    </row>
    <row r="53" spans="1:121" ht="16"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41"/>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2</v>
      </c>
      <c r="BG53" s="16">
        <f t="shared" ca="1" si="17"/>
        <v>0</v>
      </c>
      <c r="BH53" s="16">
        <f t="shared" ca="1" si="18"/>
        <v>0</v>
      </c>
      <c r="BI53" s="16">
        <f t="shared" ca="1" si="19"/>
        <v>2</v>
      </c>
      <c r="BJ53" s="16">
        <f t="shared" ca="1" si="20"/>
        <v>0</v>
      </c>
      <c r="BK53" s="16">
        <f t="shared" ca="1" si="21"/>
        <v>2</v>
      </c>
      <c r="BL53" s="16">
        <f t="shared" ca="1" si="42"/>
        <v>-2</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8</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41"/>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16">
        <f ca="1">INDEX($DL$6:$DL$53,MATCH(AI54,$DP$6:$DP$53,0))</f>
        <v>1</v>
      </c>
      <c r="AV54" s="174" t="str">
        <f ca="1">INDEX($BD$6:$BD$53,MATCH(AI54,$BM$6:$BM$53,0))</f>
        <v>Bélgica</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41"/>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16">
        <f ca="1">INDEX($DL$6:$DL$53,MATCH(AI55,$DP$6:$DP$53,0))</f>
        <v>1</v>
      </c>
      <c r="AV55" s="174" t="str">
        <f ca="1">INDEX($BD$6:$BD$53,MATCH(AI55,$BM$6:$BM$53,0))</f>
        <v>Egipto</v>
      </c>
      <c r="AW55" s="202"/>
      <c r="AX55" s="163"/>
      <c r="AY55" s="195" t="str">
        <f ca="1">+A54</f>
        <v>Egipto</v>
      </c>
      <c r="AZ55" s="196"/>
      <c r="BA55" s="168"/>
    </row>
    <row r="56" spans="1:121" ht="16"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41"/>
      <c r="X56" s="24">
        <f ca="1">Horarios!C56</f>
        <v>46200.208333333336</v>
      </c>
      <c r="Y56" s="25">
        <f ca="1">Horarios!C56</f>
        <v>46200.208333333336</v>
      </c>
      <c r="Z56" s="26" t="str">
        <f>$Z$8</f>
        <v>J3</v>
      </c>
      <c r="AA56" s="27" t="str">
        <f ca="1">A54</f>
        <v>Egipto</v>
      </c>
      <c r="AB56" s="49" t="e" cm="1" vm="26">
        <f t="array" aca="1" ref="AB56" ca="1">Ver_flag_local</f>
        <v>#VALUE!</v>
      </c>
      <c r="AC56" s="50">
        <v>1</v>
      </c>
      <c r="AD56" s="51">
        <v>1</v>
      </c>
      <c r="AE56" s="574" t="e" cm="1" vm="27">
        <f t="array" aca="1" ref="AE56" ca="1">Ver_flag_visit</f>
        <v>#VALUE!</v>
      </c>
      <c r="AF56" s="32" t="str">
        <f ca="1">A55</f>
        <v>Irán</v>
      </c>
      <c r="AG56" s="309">
        <f t="shared" si="162"/>
        <v>1</v>
      </c>
      <c r="AH56" s="187">
        <v>63</v>
      </c>
      <c r="AI56" s="173" t="str">
        <f t="shared" si="166"/>
        <v>3G</v>
      </c>
      <c r="AJ56" s="42">
        <v>3</v>
      </c>
      <c r="AK56" s="581"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16">
        <f ca="1">INDEX($DL$6:$DL$53,MATCH(AI56,$DP$6:$DP$53,0))</f>
        <v>1</v>
      </c>
      <c r="AV56" s="174" t="str">
        <f ca="1">INDEX($BD$6:$BD$53,MATCH(AI56,$BM$6:$BM$53,0))</f>
        <v>Irán</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42"/>
      <c r="X57" s="28">
        <f ca="1">Horarios!C57</f>
        <v>46200.208333333336</v>
      </c>
      <c r="Y57" s="29">
        <f ca="1">Horarios!C57</f>
        <v>46200.208333333336</v>
      </c>
      <c r="Z57" s="30" t="str">
        <f>$Z$8</f>
        <v>J3</v>
      </c>
      <c r="AA57" s="31" t="str">
        <f ca="1">A56</f>
        <v>Nueva Zelanda</v>
      </c>
      <c r="AB57" s="52" t="e" cm="1" vm="28">
        <f t="array" aca="1" ref="AB57" ca="1">Ver_flag_local</f>
        <v>#VALUE!</v>
      </c>
      <c r="AC57" s="50">
        <v>1</v>
      </c>
      <c r="AD57" s="51">
        <v>5</v>
      </c>
      <c r="AE57" s="575" t="e" cm="1" vm="25">
        <f t="array" aca="1" ref="AE57" ca="1">Ver_flag_visit</f>
        <v>#VALUE!</v>
      </c>
      <c r="AF57" s="33" t="str">
        <f ca="1">A53</f>
        <v>Bélgica</v>
      </c>
      <c r="AG57" s="309">
        <f t="shared" si="162"/>
        <v>1</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8</v>
      </c>
      <c r="BN58" s="16">
        <f ca="1">CF58</f>
        <v>8</v>
      </c>
      <c r="BO58" s="16" t="str">
        <f t="shared" ref="BO58:BO69" si="174">"4"&amp;BC58</f>
        <v>4A</v>
      </c>
      <c r="BP58" s="16"/>
      <c r="BQ58" s="16"/>
      <c r="BR58" s="16">
        <f t="shared" ref="BR58:BR69" ca="1" si="175">+BE58</f>
        <v>3</v>
      </c>
      <c r="BS58" s="16">
        <f ca="1">COUNTIFS(BR$58:BR$69,"&gt;"&amp;BR58)+1</f>
        <v>5</v>
      </c>
      <c r="BT58" s="16" t="str">
        <f ca="1">IF(COUNTIF(BS$58:BS$69,BS58)=1,"-","Pos. "&amp;BS58&amp;" ("&amp;COUNTIF(BS$58:BS$69,BS58)&amp;")")</f>
        <v>Pos. 5 (6)</v>
      </c>
      <c r="BU58" s="16">
        <f t="shared" ref="BU58:BU69" ca="1" si="176">IF(BT58="-","-",BL58)</f>
        <v>-1</v>
      </c>
      <c r="BV58" s="16">
        <f t="shared" ref="BV58:BV69" ca="1" si="177">BS58+COUNTIFS(BT$58:BT$69,BT58,BU$58:BU$69,"&gt;"&amp;BU58)</f>
        <v>7</v>
      </c>
      <c r="BW58" s="16" t="str">
        <f t="shared" ref="BW58:BW69" ca="1" si="178">IF(COUNTIF(BV$58:BV$69,BV58)=1,"-","Pos. "&amp;BV58&amp;" ("&amp;COUNTIF(BV$58:BV$69,BV58)&amp;")")</f>
        <v>Pos. 7 (2)</v>
      </c>
      <c r="BX58" s="16">
        <f t="shared" ref="BX58:BX69" ca="1" si="179">IF(BW58="-","-",BJ58)</f>
        <v>2</v>
      </c>
      <c r="BY58" s="16">
        <f t="shared" ref="BY58:BY69" ca="1" si="180">BV58+COUNTIFS(BW$58:BW$69,BW58,BX$58:BX$69,"&gt;"&amp;BX58)</f>
        <v>8</v>
      </c>
      <c r="BZ58" s="16" t="str">
        <f t="shared" ref="BZ58:BZ69" ca="1" si="181">IF(COUNTIF(BY$58:BY$69,BY58)=1,"-","Pos. "&amp;BY58&amp;" ("&amp;COUNTIF(BY$58:BY$69,BY58)&amp;")")</f>
        <v>-</v>
      </c>
      <c r="CA58" s="16" t="str">
        <f t="shared" ref="CA58:CA69" ca="1" si="182">IF(BZ58="-","-",COUNTIF($BD$58:$BD$69,"&gt;"&amp;BD58))</f>
        <v>-</v>
      </c>
      <c r="CB58" s="16">
        <f ca="1">BY58+COUNTIFS(BZ$58:BZ$69,BZ58,CA$58:CA$69,"&gt;"&amp;CA58)</f>
        <v>8</v>
      </c>
      <c r="CC58" s="16"/>
      <c r="CD58" s="16">
        <f t="shared" ref="CD58:CD69" ca="1" si="183">IF(OR(INDEX($AW$102:$AW$113,MATCH($BD58,$AV$102:$AV$113,0))="",BZ58="-"),CB58,INDEX($AW$102:$AW$113,MATCH($BD58,$AV$102:$AV$113,0))+CB58/1000)</f>
        <v>8</v>
      </c>
      <c r="CE58" s="16" t="str">
        <f ca="1">IF(BZ58="-","-",COUNTIF(CD$58:CD$69,"&lt;"&amp;CD58))</f>
        <v>-</v>
      </c>
      <c r="CF58" s="16">
        <f ca="1">BY58+COUNTIFS(BZ$58:BZ$69,BZ58,CE$58:CE$69,"&lt;"&amp;CE58)</f>
        <v>8</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Suecia</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3</v>
      </c>
      <c r="BN59" s="16">
        <f t="shared" ref="BN59:BN69" ca="1" si="192">CF59</f>
        <v>3</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(4)</v>
      </c>
      <c r="BU59" s="16">
        <f t="shared" ca="1" si="176"/>
        <v>-1</v>
      </c>
      <c r="BV59" s="16">
        <f t="shared" ca="1" si="177"/>
        <v>3</v>
      </c>
      <c r="BW59" s="16" t="str">
        <f t="shared" ca="1" si="178"/>
        <v>-</v>
      </c>
      <c r="BX59" s="16" t="str">
        <f t="shared" ca="1" si="179"/>
        <v>-</v>
      </c>
      <c r="BY59" s="16">
        <f t="shared" ca="1" si="180"/>
        <v>3</v>
      </c>
      <c r="BZ59" s="16" t="str">
        <f t="shared" ca="1" si="181"/>
        <v>-</v>
      </c>
      <c r="CA59" s="16" t="str">
        <f t="shared" ca="1" si="182"/>
        <v>-</v>
      </c>
      <c r="CB59" s="16">
        <f t="shared" ref="CB59:CB68" ca="1" si="195">BY59+COUNTIFS(BZ$58:BZ$69,BZ59,CA$58:CA$69,"&gt;"&amp;CA59)</f>
        <v>3</v>
      </c>
      <c r="CC59" s="16"/>
      <c r="CD59" s="16">
        <f t="shared" ca="1" si="183"/>
        <v>3</v>
      </c>
      <c r="CE59" s="16" t="str">
        <f t="shared" ref="CE59:CE69" ca="1" si="196">IF(BZ59="-","-",COUNTIF(CD$58:CD$69,"&lt;"&amp;CD59))</f>
        <v>-</v>
      </c>
      <c r="CF59" s="16">
        <f t="shared" ref="CF59:CF69" ca="1" si="197">BY59+COUNTIFS(BZ$58:BZ$69,BZ59,CE$58:CE$69,"&lt;"&amp;CE59)</f>
        <v>3</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Ecuador</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23"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10</v>
      </c>
      <c r="BN60" s="16">
        <f t="shared" ca="1" si="192"/>
        <v>10</v>
      </c>
      <c r="BO60" s="16" t="str">
        <f t="shared" si="174"/>
        <v>4C</v>
      </c>
      <c r="BP60" s="16"/>
      <c r="BQ60" s="16"/>
      <c r="BR60" s="16">
        <f t="shared" ca="1" si="175"/>
        <v>3</v>
      </c>
      <c r="BS60" s="16">
        <f t="shared" ca="1" si="193"/>
        <v>5</v>
      </c>
      <c r="BT60" s="16" t="str">
        <f t="shared" ca="1" si="194"/>
        <v>Pos. 5 (6)</v>
      </c>
      <c r="BU60" s="16">
        <f t="shared" ca="1" si="176"/>
        <v>-3</v>
      </c>
      <c r="BV60" s="16">
        <f t="shared" ca="1" si="177"/>
        <v>10</v>
      </c>
      <c r="BW60" s="16" t="str">
        <f t="shared" ca="1" si="178"/>
        <v>-</v>
      </c>
      <c r="BX60" s="16" t="str">
        <f t="shared" ca="1" si="179"/>
        <v>-</v>
      </c>
      <c r="BY60" s="16">
        <f t="shared" ca="1" si="180"/>
        <v>10</v>
      </c>
      <c r="BZ60" s="16" t="str">
        <f t="shared" ca="1" si="181"/>
        <v>-</v>
      </c>
      <c r="CA60" s="16" t="str">
        <f t="shared" ca="1" si="182"/>
        <v>-</v>
      </c>
      <c r="CB60" s="16">
        <f t="shared" ca="1" si="195"/>
        <v>10</v>
      </c>
      <c r="CC60" s="16"/>
      <c r="CD60" s="16">
        <f t="shared" ca="1" si="183"/>
        <v>10</v>
      </c>
      <c r="CE60" s="16" t="str">
        <f t="shared" ca="1" si="196"/>
        <v>-</v>
      </c>
      <c r="CF60" s="16">
        <f t="shared" ca="1" si="197"/>
        <v>10</v>
      </c>
      <c r="DJ60" s="16">
        <f t="shared" ca="1" si="184"/>
        <v>3</v>
      </c>
      <c r="DK60" s="16"/>
      <c r="DL60" s="16">
        <f t="shared" ca="1" si="185"/>
        <v>1</v>
      </c>
      <c r="DM60" s="16" t="str">
        <f t="shared" ca="1" si="186"/>
        <v>3.1</v>
      </c>
      <c r="DN60" s="16" cm="1">
        <f t="array" aca="1" ref="DN60" ca="1">OFFSET(Horarios!$P$3,DJ60-1,0,DL60,1)</f>
        <v>3</v>
      </c>
      <c r="DO60" s="16"/>
      <c r="DP60" s="16">
        <v>3</v>
      </c>
      <c r="DQ60" s="16" t="str">
        <f t="shared" ca="1" si="198"/>
        <v>Bosnia y Herzegovina</v>
      </c>
    </row>
    <row r="61" spans="1:121" ht="16"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23"/>
      <c r="X61" s="24">
        <f ca="1">Horarios!C61</f>
        <v>46189</v>
      </c>
      <c r="Y61" s="25">
        <f ca="1">Horarios!C61</f>
        <v>46189</v>
      </c>
      <c r="Z61" s="26" t="str">
        <f>$Z$4</f>
        <v>J1</v>
      </c>
      <c r="AA61" s="27" t="str">
        <f ca="1">A63</f>
        <v>Arabia Saudita</v>
      </c>
      <c r="AB61" s="49" t="e" cm="1" vm="31">
        <f t="array" aca="1" ref="AB61" ca="1">Ver_flag_local</f>
        <v>#VALUE!</v>
      </c>
      <c r="AC61" s="50">
        <v>1</v>
      </c>
      <c r="AD61" s="51">
        <v>1</v>
      </c>
      <c r="AE61" s="574" t="e" cm="1" vm="32">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4</v>
      </c>
      <c r="BN61" s="16">
        <f t="shared" ca="1" si="192"/>
        <v>4</v>
      </c>
      <c r="BO61" s="16" t="str">
        <f t="shared" si="174"/>
        <v>4D</v>
      </c>
      <c r="BP61" s="16"/>
      <c r="BQ61" s="16"/>
      <c r="BR61" s="16">
        <f t="shared" ca="1" si="175"/>
        <v>4</v>
      </c>
      <c r="BS61" s="16">
        <f t="shared" ca="1" si="193"/>
        <v>1</v>
      </c>
      <c r="BT61" s="16" t="str">
        <f t="shared" ca="1" si="194"/>
        <v>Pos. 1 (4)</v>
      </c>
      <c r="BU61" s="16">
        <f t="shared" ca="1" si="176"/>
        <v>-2</v>
      </c>
      <c r="BV61" s="16">
        <f t="shared" ca="1" si="177"/>
        <v>4</v>
      </c>
      <c r="BW61" s="16" t="str">
        <f t="shared" ca="1" si="178"/>
        <v>-</v>
      </c>
      <c r="BX61" s="16" t="str">
        <f t="shared" ca="1" si="179"/>
        <v>-</v>
      </c>
      <c r="BY61" s="16">
        <f t="shared" ca="1" si="180"/>
        <v>4</v>
      </c>
      <c r="BZ61" s="16" t="str">
        <f t="shared" ca="1" si="181"/>
        <v>-</v>
      </c>
      <c r="CA61" s="16" t="str">
        <f t="shared" ca="1" si="182"/>
        <v>-</v>
      </c>
      <c r="CB61" s="16">
        <f t="shared" ca="1" si="195"/>
        <v>4</v>
      </c>
      <c r="CC61" s="16"/>
      <c r="CD61" s="16">
        <f t="shared" ca="1" si="183"/>
        <v>4</v>
      </c>
      <c r="CE61" s="16" t="str">
        <f t="shared" ca="1" si="196"/>
        <v>-</v>
      </c>
      <c r="CF61" s="16">
        <f t="shared" ca="1" si="197"/>
        <v>4</v>
      </c>
      <c r="DJ61" s="16">
        <f t="shared" ca="1" si="184"/>
        <v>4</v>
      </c>
      <c r="DK61" s="16"/>
      <c r="DL61" s="16">
        <f t="shared" ca="1" si="185"/>
        <v>1</v>
      </c>
      <c r="DM61" s="16" t="str">
        <f t="shared" ca="1" si="186"/>
        <v>4.1</v>
      </c>
      <c r="DN61" s="16" cm="1">
        <f t="array" aca="1" ref="DN61" ca="1">OFFSET(Horarios!$P$3,DJ61-1,0,DL61,1)</f>
        <v>4</v>
      </c>
      <c r="DO61" s="16"/>
      <c r="DP61" s="16">
        <v>4</v>
      </c>
      <c r="DQ61" s="16" t="str">
        <f t="shared" ca="1" si="198"/>
        <v>Paraguay</v>
      </c>
    </row>
    <row r="62" spans="1:121" ht="16"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23"/>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1">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2</v>
      </c>
      <c r="BN62" s="16">
        <f t="shared" ca="1" si="192"/>
        <v>2</v>
      </c>
      <c r="BO62" s="16" t="str">
        <f t="shared" si="174"/>
        <v>4E</v>
      </c>
      <c r="BP62" s="16"/>
      <c r="BQ62" s="16"/>
      <c r="BR62" s="16">
        <f t="shared" ca="1" si="175"/>
        <v>4</v>
      </c>
      <c r="BS62" s="16">
        <f t="shared" ca="1" si="193"/>
        <v>1</v>
      </c>
      <c r="BT62" s="16" t="str">
        <f t="shared" ca="1" si="194"/>
        <v>Pos. 1 (4)</v>
      </c>
      <c r="BU62" s="16">
        <f t="shared" ca="1" si="176"/>
        <v>0</v>
      </c>
      <c r="BV62" s="16">
        <f t="shared" ca="1" si="177"/>
        <v>1</v>
      </c>
      <c r="BW62" s="16" t="str">
        <f t="shared" ca="1" si="178"/>
        <v>Pos. 1 (2)</v>
      </c>
      <c r="BX62" s="16">
        <f t="shared" ca="1" si="179"/>
        <v>2</v>
      </c>
      <c r="BY62" s="16">
        <f t="shared" ca="1" si="180"/>
        <v>2</v>
      </c>
      <c r="BZ62" s="16" t="str">
        <f t="shared" ca="1" si="181"/>
        <v>-</v>
      </c>
      <c r="CA62" s="16" t="str">
        <f t="shared" ca="1" si="182"/>
        <v>-</v>
      </c>
      <c r="CB62" s="16">
        <f t="shared" ca="1" si="195"/>
        <v>2</v>
      </c>
      <c r="CC62" s="16"/>
      <c r="CD62" s="16">
        <f t="shared" ca="1" si="183"/>
        <v>2</v>
      </c>
      <c r="CE62" s="16" t="str">
        <f t="shared" ca="1" si="196"/>
        <v>-</v>
      </c>
      <c r="CF62" s="16">
        <f t="shared" ca="1" si="197"/>
        <v>2</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Senegal</v>
      </c>
    </row>
    <row r="63" spans="1:121" ht="16"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23"/>
      <c r="X63" s="24">
        <f ca="1">Horarios!C63</f>
        <v>46195</v>
      </c>
      <c r="Y63" s="25">
        <f ca="1">Horarios!C63</f>
        <v>46195</v>
      </c>
      <c r="Z63" s="26" t="str">
        <f>$Z$6</f>
        <v>J2</v>
      </c>
      <c r="AA63" s="27" t="str">
        <f ca="1">A64</f>
        <v>Uruguay</v>
      </c>
      <c r="AB63" s="49" t="e" cm="1" vm="32">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16">
        <f ca="1">INDEX($DL$6:$DL$53,MATCH(AI63,$DP$6:$DP$53,0))</f>
        <v>1</v>
      </c>
      <c r="AV63" s="174" t="str">
        <f ca="1">INDEX($BD$6:$BD$53,MATCH(AI63,$BM$6:$BM$53,0))</f>
        <v>Cabo Verde</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1</v>
      </c>
      <c r="BN63" s="16">
        <f t="shared" ca="1" si="192"/>
        <v>1</v>
      </c>
      <c r="BO63" s="16" t="str">
        <f t="shared" si="174"/>
        <v>4F</v>
      </c>
      <c r="BP63" s="16"/>
      <c r="BQ63" s="16"/>
      <c r="BR63" s="16">
        <f t="shared" ca="1" si="175"/>
        <v>4</v>
      </c>
      <c r="BS63" s="16">
        <f t="shared" ca="1" si="193"/>
        <v>1</v>
      </c>
      <c r="BT63" s="16" t="str">
        <f t="shared" ca="1" si="194"/>
        <v>Pos. 1 (4)</v>
      </c>
      <c r="BU63" s="16">
        <f t="shared" ca="1" si="176"/>
        <v>0</v>
      </c>
      <c r="BV63" s="16">
        <f t="shared" ca="1" si="177"/>
        <v>1</v>
      </c>
      <c r="BW63" s="16" t="str">
        <f t="shared" ca="1" si="178"/>
        <v>Pos. 1 (2)</v>
      </c>
      <c r="BX63" s="16">
        <f t="shared" ca="1" si="179"/>
        <v>7</v>
      </c>
      <c r="BY63" s="16">
        <f t="shared" ca="1" si="180"/>
        <v>1</v>
      </c>
      <c r="BZ63" s="16" t="str">
        <f t="shared" ca="1" si="181"/>
        <v>-</v>
      </c>
      <c r="CA63" s="16" t="str">
        <f t="shared" ca="1" si="182"/>
        <v>-</v>
      </c>
      <c r="CB63" s="16">
        <f t="shared" ca="1" si="195"/>
        <v>1</v>
      </c>
      <c r="CC63" s="16"/>
      <c r="CD63" s="16">
        <f t="shared" ca="1" si="183"/>
        <v>1</v>
      </c>
      <c r="CE63" s="16" t="str">
        <f t="shared" ca="1" si="196"/>
        <v>-</v>
      </c>
      <c r="CF63" s="16">
        <f t="shared" ca="1" si="197"/>
        <v>1</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Irán</v>
      </c>
    </row>
    <row r="64" spans="1:121" ht="16"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23"/>
      <c r="X64" s="24">
        <f ca="1">Horarios!C64</f>
        <v>46200.083333333336</v>
      </c>
      <c r="Y64" s="25">
        <f ca="1">Horarios!C64</f>
        <v>46200.083333333336</v>
      </c>
      <c r="Z64" s="26" t="str">
        <f>$Z$8</f>
        <v>J3</v>
      </c>
      <c r="AA64" s="27" t="str">
        <f ca="1">A62</f>
        <v>Cabo Verde</v>
      </c>
      <c r="AB64" s="49" t="e" cm="1" vm="30">
        <f t="array" aca="1" ref="AB64" ca="1">Ver_flag_local</f>
        <v>#VALUE!</v>
      </c>
      <c r="AC64" s="50">
        <v>0</v>
      </c>
      <c r="AD64" s="51">
        <v>0</v>
      </c>
      <c r="AE64" s="574" t="e" cm="1" vm="31">
        <f t="array" aca="1" ref="AE64" ca="1">Ver_flag_visit</f>
        <v>#VALUE!</v>
      </c>
      <c r="AF64" s="32" t="str">
        <f ca="1">A63</f>
        <v>Arabia Saudita</v>
      </c>
      <c r="AG64" s="309">
        <f t="shared" si="212"/>
        <v>1</v>
      </c>
      <c r="AH64" s="187">
        <v>65</v>
      </c>
      <c r="AI64" s="173" t="str">
        <f t="shared" si="216"/>
        <v>3H</v>
      </c>
      <c r="AJ64" s="42">
        <v>3</v>
      </c>
      <c r="AK64" s="581" t="e" cm="1" vm="32">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16">
        <f ca="1">INDEX($DL$6:$DL$53,MATCH(AI64,$DP$6:$DP$53,0))</f>
        <v>1</v>
      </c>
      <c r="AV64" s="174" t="str">
        <f ca="1">INDEX($BD$6:$BD$53,MATCH(AI64,$BM$6:$BM$53,0))</f>
        <v>Uruguay</v>
      </c>
      <c r="AW64" s="202"/>
      <c r="AX64" s="163"/>
      <c r="AY64" s="193" t="str">
        <f ca="1">+A63</f>
        <v>Arabia Saudita</v>
      </c>
      <c r="AZ64" s="194"/>
      <c r="BA64" s="168"/>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6</v>
      </c>
      <c r="BN64" s="16">
        <f t="shared" ca="1" si="192"/>
        <v>6</v>
      </c>
      <c r="BO64" s="16" t="str">
        <f t="shared" si="174"/>
        <v>4G</v>
      </c>
      <c r="BP64" s="16"/>
      <c r="BQ64" s="16"/>
      <c r="BR64" s="16">
        <f t="shared" ca="1" si="175"/>
        <v>3</v>
      </c>
      <c r="BS64" s="16">
        <f t="shared" ca="1" si="193"/>
        <v>5</v>
      </c>
      <c r="BT64" s="16" t="str">
        <f t="shared" ca="1" si="194"/>
        <v>Pos. 5 (6)</v>
      </c>
      <c r="BU64" s="16">
        <f t="shared" ca="1" si="176"/>
        <v>0</v>
      </c>
      <c r="BV64" s="16">
        <f t="shared" ca="1" si="177"/>
        <v>6</v>
      </c>
      <c r="BW64" s="16" t="str">
        <f t="shared" ca="1" si="178"/>
        <v>-</v>
      </c>
      <c r="BX64" s="16" t="str">
        <f t="shared" ca="1" si="179"/>
        <v>-</v>
      </c>
      <c r="BY64" s="16">
        <f t="shared" ca="1" si="180"/>
        <v>6</v>
      </c>
      <c r="BZ64" s="16" t="str">
        <f t="shared" ca="1" si="181"/>
        <v>-</v>
      </c>
      <c r="CA64" s="16" t="str">
        <f t="shared" ca="1" si="182"/>
        <v>-</v>
      </c>
      <c r="CB64" s="16">
        <f t="shared" ca="1" si="195"/>
        <v>6</v>
      </c>
      <c r="CC64" s="16"/>
      <c r="CD64" s="16">
        <f t="shared" ca="1" si="183"/>
        <v>6</v>
      </c>
      <c r="CE64" s="16" t="str">
        <f t="shared" ca="1" si="196"/>
        <v>-</v>
      </c>
      <c r="CF64" s="16">
        <f t="shared" ca="1" si="197"/>
        <v>6</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Croacia</v>
      </c>
    </row>
    <row r="65" spans="1:121" ht="16"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24"/>
      <c r="X65" s="28">
        <f ca="1">Horarios!C65</f>
        <v>46200.083333333336</v>
      </c>
      <c r="Y65" s="29">
        <f ca="1">Horarios!C65</f>
        <v>46200.083333333336</v>
      </c>
      <c r="Z65" s="30" t="str">
        <f>$Z$8</f>
        <v>J3</v>
      </c>
      <c r="AA65" s="31" t="str">
        <f ca="1">A64</f>
        <v>Uruguay</v>
      </c>
      <c r="AB65" s="52" t="e" cm="1" vm="32">
        <f t="array" aca="1" ref="AB65" ca="1">Ver_flag_local</f>
        <v>#VALUE!</v>
      </c>
      <c r="AC65" s="50">
        <v>0</v>
      </c>
      <c r="AD65" s="51">
        <v>1</v>
      </c>
      <c r="AE65" s="575" t="e" cm="1" vm="29">
        <f t="array" aca="1" ref="AE65" ca="1">Ver_flag_visit</f>
        <v>#VALUE!</v>
      </c>
      <c r="AF65" s="33" t="str">
        <f ca="1">A61</f>
        <v>España</v>
      </c>
      <c r="AG65" s="309">
        <f t="shared" si="212"/>
        <v>1</v>
      </c>
      <c r="AH65" s="187">
        <v>66</v>
      </c>
      <c r="AI65" s="173" t="str">
        <f t="shared" si="216"/>
        <v>4H</v>
      </c>
      <c r="AJ65" s="44">
        <v>4</v>
      </c>
      <c r="AK65" s="583" t="e" cm="1" vm="31">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11</v>
      </c>
      <c r="BN65" s="16">
        <f t="shared" ca="1" si="192"/>
        <v>11</v>
      </c>
      <c r="BO65" s="16" t="str">
        <f t="shared" si="174"/>
        <v>4H</v>
      </c>
      <c r="BP65" s="16"/>
      <c r="BQ65" s="16"/>
      <c r="BR65" s="16">
        <f t="shared" ca="1" si="175"/>
        <v>2</v>
      </c>
      <c r="BS65" s="16">
        <f t="shared" ca="1" si="193"/>
        <v>11</v>
      </c>
      <c r="BT65" s="16" t="str">
        <f t="shared" ca="1" si="194"/>
        <v>-</v>
      </c>
      <c r="BU65" s="16" t="str">
        <f t="shared" ca="1" si="176"/>
        <v>-</v>
      </c>
      <c r="BV65" s="16">
        <f t="shared" ca="1" si="177"/>
        <v>11</v>
      </c>
      <c r="BW65" s="16" t="str">
        <f t="shared" ca="1" si="178"/>
        <v>-</v>
      </c>
      <c r="BX65" s="16" t="str">
        <f t="shared" ca="1" si="179"/>
        <v>-</v>
      </c>
      <c r="BY65" s="16">
        <f t="shared" ca="1" si="180"/>
        <v>11</v>
      </c>
      <c r="BZ65" s="16" t="str">
        <f t="shared" ca="1" si="181"/>
        <v>-</v>
      </c>
      <c r="CA65" s="16" t="str">
        <f t="shared" ca="1" si="182"/>
        <v>-</v>
      </c>
      <c r="CB65" s="16">
        <f t="shared" ca="1" si="195"/>
        <v>11</v>
      </c>
      <c r="CC65" s="16"/>
      <c r="CD65" s="16">
        <f t="shared" ca="1" si="183"/>
        <v>11</v>
      </c>
      <c r="CE65" s="16" t="str">
        <f t="shared" ca="1" si="196"/>
        <v>-</v>
      </c>
      <c r="CF65" s="16">
        <f t="shared" ca="1" si="197"/>
        <v>11</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Corea del Sur</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5</v>
      </c>
      <c r="BN66" s="16">
        <f t="shared" ca="1" si="192"/>
        <v>5</v>
      </c>
      <c r="BO66" s="16" t="str">
        <f t="shared" si="174"/>
        <v>4I</v>
      </c>
      <c r="BP66" s="16"/>
      <c r="BQ66" s="16"/>
      <c r="BR66" s="16">
        <f t="shared" ca="1" si="175"/>
        <v>3</v>
      </c>
      <c r="BS66" s="16">
        <f t="shared" ca="1" si="193"/>
        <v>5</v>
      </c>
      <c r="BT66" s="16" t="str">
        <f t="shared" ca="1" si="194"/>
        <v>Pos. 5 (6)</v>
      </c>
      <c r="BU66" s="16">
        <f t="shared" ca="1" si="176"/>
        <v>2</v>
      </c>
      <c r="BV66" s="16">
        <f t="shared" ca="1" si="177"/>
        <v>5</v>
      </c>
      <c r="BW66" s="16" t="str">
        <f t="shared" ca="1" si="178"/>
        <v>-</v>
      </c>
      <c r="BX66" s="16" t="str">
        <f t="shared" ca="1" si="179"/>
        <v>-</v>
      </c>
      <c r="BY66" s="16">
        <f t="shared" ca="1" si="180"/>
        <v>5</v>
      </c>
      <c r="BZ66" s="16" t="str">
        <f t="shared" ca="1" si="181"/>
        <v>-</v>
      </c>
      <c r="CA66" s="16" t="str">
        <f t="shared" ca="1" si="182"/>
        <v>-</v>
      </c>
      <c r="CB66" s="16">
        <f t="shared" ca="1" si="195"/>
        <v>5</v>
      </c>
      <c r="CC66" s="16"/>
      <c r="CD66" s="16">
        <f t="shared" ca="1" si="183"/>
        <v>5</v>
      </c>
      <c r="CE66" s="16" t="str">
        <f t="shared" ca="1" si="196"/>
        <v>-</v>
      </c>
      <c r="CF66" s="16">
        <f t="shared" ca="1" si="197"/>
        <v>5</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Argelia</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3</v>
      </c>
      <c r="BF67" s="16">
        <f t="shared" ca="1" si="189"/>
        <v>2</v>
      </c>
      <c r="BG67" s="16">
        <f t="shared" ca="1" si="169"/>
        <v>1</v>
      </c>
      <c r="BH67" s="16">
        <f t="shared" ca="1" si="170"/>
        <v>0</v>
      </c>
      <c r="BI67" s="16">
        <f t="shared" ca="1" si="171"/>
        <v>1</v>
      </c>
      <c r="BJ67" s="16">
        <f t="shared" ca="1" si="172"/>
        <v>2</v>
      </c>
      <c r="BK67" s="16">
        <f t="shared" ca="1" si="173"/>
        <v>4</v>
      </c>
      <c r="BL67" s="16">
        <f t="shared" ca="1" si="190"/>
        <v>-2</v>
      </c>
      <c r="BM67" s="16">
        <f t="shared" ca="1" si="191"/>
        <v>9</v>
      </c>
      <c r="BN67" s="16">
        <f t="shared" ca="1" si="192"/>
        <v>9</v>
      </c>
      <c r="BO67" s="16" t="str">
        <f t="shared" si="174"/>
        <v>4J</v>
      </c>
      <c r="BP67" s="16"/>
      <c r="BQ67" s="16"/>
      <c r="BR67" s="16">
        <f t="shared" ca="1" si="175"/>
        <v>3</v>
      </c>
      <c r="BS67" s="16">
        <f t="shared" ca="1" si="193"/>
        <v>5</v>
      </c>
      <c r="BT67" s="16" t="str">
        <f t="shared" ca="1" si="194"/>
        <v>Pos. 5 (6)</v>
      </c>
      <c r="BU67" s="16">
        <f t="shared" ca="1" si="176"/>
        <v>-2</v>
      </c>
      <c r="BV67" s="16">
        <f t="shared" ca="1" si="177"/>
        <v>9</v>
      </c>
      <c r="BW67" s="16" t="str">
        <f t="shared" ca="1" si="178"/>
        <v>-</v>
      </c>
      <c r="BX67" s="16" t="str">
        <f t="shared" ca="1" si="179"/>
        <v>-</v>
      </c>
      <c r="BY67" s="16">
        <f t="shared" ca="1" si="180"/>
        <v>9</v>
      </c>
      <c r="BZ67" s="16" t="str">
        <f t="shared" ca="1" si="181"/>
        <v>-</v>
      </c>
      <c r="CA67" s="16" t="str">
        <f t="shared" ca="1" si="182"/>
        <v>-</v>
      </c>
      <c r="CB67" s="16">
        <f t="shared" ca="1" si="195"/>
        <v>9</v>
      </c>
      <c r="CC67" s="16"/>
      <c r="CD67" s="16">
        <f t="shared" ca="1" si="183"/>
        <v>9</v>
      </c>
      <c r="CE67" s="16" t="str">
        <f t="shared" ca="1" si="196"/>
        <v>-</v>
      </c>
      <c r="CF67" s="16">
        <f t="shared" ca="1" si="197"/>
        <v>9</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Escocia</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29" t="s">
        <v>448</v>
      </c>
      <c r="X68" s="24">
        <f ca="1">Horarios!C68</f>
        <v>46189.875</v>
      </c>
      <c r="Y68" s="25">
        <f ca="1">Horarios!C68</f>
        <v>46189.875</v>
      </c>
      <c r="Z68" s="26" t="str">
        <f>$Z$4</f>
        <v>J1</v>
      </c>
      <c r="AA68" s="27" t="str">
        <f ca="1">A69</f>
        <v>Francia</v>
      </c>
      <c r="AB68" s="49" t="e" cm="1" vm="33">
        <f t="array" aca="1" ref="AB68" ca="1">Ver_flag_local</f>
        <v>#VALUE!</v>
      </c>
      <c r="AC68" s="50">
        <v>3</v>
      </c>
      <c r="AD68" s="51">
        <v>1</v>
      </c>
      <c r="AE68" s="574" t="e" cm="1" vm="34">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1</v>
      </c>
      <c r="BF68" s="16">
        <f t="shared" ca="1" si="189"/>
        <v>2</v>
      </c>
      <c r="BG68" s="16">
        <f t="shared" ca="1" si="169"/>
        <v>0</v>
      </c>
      <c r="BH68" s="16">
        <f t="shared" ca="1" si="170"/>
        <v>1</v>
      </c>
      <c r="BI68" s="16">
        <f t="shared" ca="1" si="171"/>
        <v>1</v>
      </c>
      <c r="BJ68" s="16">
        <f t="shared" ca="1" si="172"/>
        <v>1</v>
      </c>
      <c r="BK68" s="16">
        <f t="shared" ca="1" si="173"/>
        <v>2</v>
      </c>
      <c r="BL68" s="16">
        <f t="shared" ca="1" si="190"/>
        <v>-1</v>
      </c>
      <c r="BM68" s="16">
        <f t="shared" ca="1" si="191"/>
        <v>12</v>
      </c>
      <c r="BN68" s="16">
        <f t="shared" ca="1" si="192"/>
        <v>12</v>
      </c>
      <c r="BO68" s="16" t="str">
        <f t="shared" si="174"/>
        <v>4K</v>
      </c>
      <c r="BP68" s="16"/>
      <c r="BQ68" s="16"/>
      <c r="BR68" s="16">
        <f t="shared" ca="1" si="175"/>
        <v>1</v>
      </c>
      <c r="BS68" s="16">
        <f t="shared" ca="1" si="193"/>
        <v>12</v>
      </c>
      <c r="BT68" s="16" t="str">
        <f t="shared" ca="1" si="194"/>
        <v>-</v>
      </c>
      <c r="BU68" s="16" t="str">
        <f t="shared" ca="1" si="176"/>
        <v>-</v>
      </c>
      <c r="BV68" s="16">
        <f t="shared" ca="1" si="177"/>
        <v>12</v>
      </c>
      <c r="BW68" s="16" t="str">
        <f t="shared" ca="1" si="178"/>
        <v>-</v>
      </c>
      <c r="BX68" s="16" t="str">
        <f t="shared" ca="1" si="179"/>
        <v>-</v>
      </c>
      <c r="BY68" s="16">
        <f t="shared" ca="1" si="180"/>
        <v>12</v>
      </c>
      <c r="BZ68" s="16" t="str">
        <f t="shared" ca="1" si="181"/>
        <v>-</v>
      </c>
      <c r="CA68" s="16" t="str">
        <f t="shared" ca="1" si="182"/>
        <v>-</v>
      </c>
      <c r="CB68" s="16">
        <f t="shared" ca="1" si="195"/>
        <v>12</v>
      </c>
      <c r="CC68" s="16"/>
      <c r="CD68" s="16">
        <f t="shared" ca="1" si="183"/>
        <v>12</v>
      </c>
      <c r="CE68" s="16" t="str">
        <f t="shared" ca="1" si="196"/>
        <v>-</v>
      </c>
      <c r="CF68" s="16">
        <f t="shared" ca="1" si="197"/>
        <v>12</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Uruguay</v>
      </c>
    </row>
    <row r="69" spans="1:121" ht="16"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29"/>
      <c r="X69" s="24">
        <f ca="1">Horarios!C69</f>
        <v>46190</v>
      </c>
      <c r="Y69" s="25">
        <f ca="1">Horarios!C69</f>
        <v>46190</v>
      </c>
      <c r="Z69" s="26" t="str">
        <f>$Z$4</f>
        <v>J1</v>
      </c>
      <c r="AA69" s="27" t="str">
        <f ca="1">A71</f>
        <v>Irak</v>
      </c>
      <c r="AB69" s="49" t="e" cm="1" vm="35">
        <f t="array" aca="1" ref="AB69" ca="1">Ver_flag_local</f>
        <v>#VALUE!</v>
      </c>
      <c r="AC69" s="50">
        <v>1</v>
      </c>
      <c r="AD69" s="51">
        <v>4</v>
      </c>
      <c r="AE69" s="574" t="e" cm="1" vm="36">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Croacia</v>
      </c>
      <c r="BE69" s="16">
        <f t="shared" ca="1" si="188"/>
        <v>3</v>
      </c>
      <c r="BF69" s="16">
        <f t="shared" ca="1" si="189"/>
        <v>2</v>
      </c>
      <c r="BG69" s="16">
        <f t="shared" ca="1" si="169"/>
        <v>1</v>
      </c>
      <c r="BH69" s="16">
        <f t="shared" ca="1" si="170"/>
        <v>0</v>
      </c>
      <c r="BI69" s="16">
        <f t="shared" ca="1" si="171"/>
        <v>1</v>
      </c>
      <c r="BJ69" s="16">
        <f t="shared" ca="1" si="172"/>
        <v>3</v>
      </c>
      <c r="BK69" s="16">
        <f t="shared" ca="1" si="173"/>
        <v>4</v>
      </c>
      <c r="BL69" s="16">
        <f t="shared" ca="1" si="190"/>
        <v>-1</v>
      </c>
      <c r="BM69" s="16">
        <f t="shared" ca="1" si="191"/>
        <v>7</v>
      </c>
      <c r="BN69" s="16">
        <f t="shared" ca="1" si="192"/>
        <v>7</v>
      </c>
      <c r="BO69" s="16" t="str">
        <f t="shared" si="174"/>
        <v>4L</v>
      </c>
      <c r="BP69" s="16"/>
      <c r="BQ69" s="16"/>
      <c r="BR69" s="16">
        <f t="shared" ca="1" si="175"/>
        <v>3</v>
      </c>
      <c r="BS69" s="16">
        <f t="shared" ca="1" si="193"/>
        <v>5</v>
      </c>
      <c r="BT69" s="16" t="str">
        <f t="shared" ca="1" si="194"/>
        <v>Pos. 5 (6)</v>
      </c>
      <c r="BU69" s="16">
        <f t="shared" ca="1" si="176"/>
        <v>-1</v>
      </c>
      <c r="BV69" s="16">
        <f t="shared" ca="1" si="177"/>
        <v>7</v>
      </c>
      <c r="BW69" s="16" t="str">
        <f t="shared" ca="1" si="178"/>
        <v>Pos. 7 (2)</v>
      </c>
      <c r="BX69" s="16">
        <f t="shared" ca="1" si="179"/>
        <v>3</v>
      </c>
      <c r="BY69" s="16">
        <f t="shared" ca="1" si="180"/>
        <v>7</v>
      </c>
      <c r="BZ69" s="16" t="str">
        <f t="shared" ca="1" si="181"/>
        <v>-</v>
      </c>
      <c r="CA69" s="16" t="str">
        <f t="shared" ca="1" si="182"/>
        <v>-</v>
      </c>
      <c r="CB69" s="16">
        <f ca="1">BY69+COUNTIFS(BZ$58:BZ$69,BZ69,CA$58:CA$69,"&gt;"&amp;CA69)</f>
        <v>7</v>
      </c>
      <c r="CC69" s="16"/>
      <c r="CD69" s="16">
        <f t="shared" ca="1" si="183"/>
        <v>7</v>
      </c>
      <c r="CE69" s="16" t="str">
        <f t="shared" ca="1" si="196"/>
        <v>-</v>
      </c>
      <c r="CF69" s="16">
        <f t="shared" ca="1" si="197"/>
        <v>7</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RD Congo</v>
      </c>
    </row>
    <row r="70" spans="1:121" ht="16"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29"/>
      <c r="X70" s="24">
        <f ca="1">Horarios!C70</f>
        <v>46195.958333333336</v>
      </c>
      <c r="Y70" s="25">
        <f ca="1">Horarios!C70</f>
        <v>46195.958333333336</v>
      </c>
      <c r="Z70" s="26" t="str">
        <f>$Z$6</f>
        <v>J2</v>
      </c>
      <c r="AA70" s="27" t="str">
        <f ca="1">A69</f>
        <v>Francia</v>
      </c>
      <c r="AB70" s="49" t="e" cm="1" vm="33">
        <f t="array" aca="1" ref="AB70" ca="1">Ver_flag_local</f>
        <v>#VALUE!</v>
      </c>
      <c r="AC70" s="50">
        <v>3</v>
      </c>
      <c r="AD70" s="51">
        <v>0</v>
      </c>
      <c r="AE70" s="574" t="e" cm="1" vm="35">
        <f t="array" aca="1" ref="AE70" ca="1">Ver_flag_visit</f>
        <v>#VALUE!</v>
      </c>
      <c r="AF70" s="32" t="str">
        <f ca="1">A71</f>
        <v>Irak</v>
      </c>
      <c r="AG70" s="309">
        <f t="shared" si="230"/>
        <v>1</v>
      </c>
      <c r="AH70" s="187">
        <v>42</v>
      </c>
      <c r="AI70" s="173" t="str">
        <f>AJ70&amp;$B$68</f>
        <v>1I</v>
      </c>
      <c r="AJ70" s="40">
        <v>1</v>
      </c>
      <c r="AK70" s="580" t="e" cm="1" vm="33">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29"/>
      <c r="X71" s="24">
        <f ca="1">Horarios!C71</f>
        <v>46196.083333333336</v>
      </c>
      <c r="Y71" s="25">
        <f ca="1">Horarios!C71</f>
        <v>46196.083333333336</v>
      </c>
      <c r="Z71" s="26" t="str">
        <f>$Z$6</f>
        <v>J2</v>
      </c>
      <c r="AA71" s="27" t="str">
        <f ca="1">A72</f>
        <v>Noruega</v>
      </c>
      <c r="AB71" s="49" t="e" cm="1" vm="36">
        <f t="array" aca="1" ref="AB71" ca="1">Ver_flag_local</f>
        <v>#VALUE!</v>
      </c>
      <c r="AC71" s="50">
        <v>3</v>
      </c>
      <c r="AD71" s="51">
        <v>2</v>
      </c>
      <c r="AE71" s="574" t="e" cm="1" vm="34">
        <f t="array" aca="1" ref="AE71" ca="1">Ver_flag_visit</f>
        <v>#VALUE!</v>
      </c>
      <c r="AF71" s="32" t="str">
        <f ca="1">A70</f>
        <v>Senegal</v>
      </c>
      <c r="AG71" s="309">
        <f t="shared" si="230"/>
        <v>1</v>
      </c>
      <c r="AH71" s="187">
        <v>41</v>
      </c>
      <c r="AI71" s="173" t="str">
        <f t="shared" ref="AI71:AI73" si="234">AJ71&amp;$B$68</f>
        <v>2I</v>
      </c>
      <c r="AJ71" s="42">
        <v>2</v>
      </c>
      <c r="AK71" s="581" t="e" cm="1" vm="36">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29"/>
      <c r="X72" s="24">
        <f ca="1">Horarios!C72</f>
        <v>46199.875</v>
      </c>
      <c r="Y72" s="25">
        <f ca="1">Horarios!C72</f>
        <v>46199.875</v>
      </c>
      <c r="Z72" s="26" t="str">
        <f>$Z$8</f>
        <v>J3</v>
      </c>
      <c r="AA72" s="27" t="str">
        <f ca="1">A72</f>
        <v>Noruega</v>
      </c>
      <c r="AB72" s="49" t="e" cm="1" vm="36">
        <f t="array" aca="1" ref="AB72" ca="1">Ver_flag_local</f>
        <v>#VALUE!</v>
      </c>
      <c r="AC72" s="50">
        <v>1</v>
      </c>
      <c r="AD72" s="51">
        <v>4</v>
      </c>
      <c r="AE72" s="574" t="e" cm="1" vm="33">
        <f t="array" aca="1" ref="AE72" ca="1">Ver_flag_visit</f>
        <v>#VALUE!</v>
      </c>
      <c r="AF72" s="32" t="str">
        <f ca="1">A69</f>
        <v>Francia</v>
      </c>
      <c r="AG72" s="309">
        <f t="shared" si="230"/>
        <v>1</v>
      </c>
      <c r="AH72" s="187">
        <v>61</v>
      </c>
      <c r="AI72" s="173" t="str">
        <f t="shared" si="234"/>
        <v>3I</v>
      </c>
      <c r="AJ72" s="42">
        <v>3</v>
      </c>
      <c r="AK72" s="581" t="e" cm="1" vm="34">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30"/>
      <c r="X73" s="28">
        <f ca="1">Horarios!C73</f>
        <v>46199.875</v>
      </c>
      <c r="Y73" s="29">
        <f ca="1">Horarios!C73</f>
        <v>46199.875</v>
      </c>
      <c r="Z73" s="30" t="str">
        <f>$Z$8</f>
        <v>J3</v>
      </c>
      <c r="AA73" s="31" t="str">
        <f ca="1">A70</f>
        <v>Senegal</v>
      </c>
      <c r="AB73" s="52" t="e" cm="1" vm="34">
        <f t="array" aca="1" ref="AB73" ca="1">Ver_flag_local</f>
        <v>#VALUE!</v>
      </c>
      <c r="AC73" s="50">
        <v>5</v>
      </c>
      <c r="AD73" s="51">
        <v>0</v>
      </c>
      <c r="AE73" s="575" t="e" cm="1" vm="35">
        <f t="array" aca="1" ref="AE73" ca="1">Ver_flag_visit</f>
        <v>#VALUE!</v>
      </c>
      <c r="AF73" s="33" t="str">
        <f ca="1">A71</f>
        <v>Irak</v>
      </c>
      <c r="AG73" s="309">
        <f t="shared" si="230"/>
        <v>1</v>
      </c>
      <c r="AH73" s="187">
        <v>62</v>
      </c>
      <c r="AI73" s="173" t="str">
        <f t="shared" si="234"/>
        <v>4I</v>
      </c>
      <c r="AJ73" s="44">
        <v>4</v>
      </c>
      <c r="AK73" s="583" t="e" cm="1" vm="35">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25" t="s">
        <v>5</v>
      </c>
      <c r="X76" s="24">
        <f ca="1">Horarios!C76</f>
        <v>46190.125</v>
      </c>
      <c r="Y76" s="25">
        <f ca="1">Horarios!C76</f>
        <v>46190.125</v>
      </c>
      <c r="Z76" s="26" t="str">
        <f>$Z$4</f>
        <v>J1</v>
      </c>
      <c r="AA76" s="27" t="str">
        <f ca="1">A77</f>
        <v>Argentina</v>
      </c>
      <c r="AB76" s="49" t="e" cm="1" vm="37">
        <f t="array" aca="1" ref="AB76" ca="1">Ver_flag_local</f>
        <v>#VALUE!</v>
      </c>
      <c r="AC76" s="50">
        <v>3</v>
      </c>
      <c r="AD76" s="51">
        <v>0</v>
      </c>
      <c r="AE76" s="574" t="e" cm="1" vm="38">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25"/>
      <c r="X77" s="24">
        <f ca="1">Horarios!C77</f>
        <v>46190.25</v>
      </c>
      <c r="Y77" s="25">
        <f ca="1">Horarios!C77</f>
        <v>46190.25</v>
      </c>
      <c r="Z77" s="26" t="str">
        <f>$Z$4</f>
        <v>J1</v>
      </c>
      <c r="AA77" s="27" t="str">
        <f ca="1">A79</f>
        <v>Austria</v>
      </c>
      <c r="AB77" s="49" t="e" cm="1" vm="39">
        <f t="array" aca="1" ref="AB77" ca="1">Ver_flag_local</f>
        <v>#VALUE!</v>
      </c>
      <c r="AC77" s="50">
        <v>3</v>
      </c>
      <c r="AD77" s="51">
        <v>1</v>
      </c>
      <c r="AE77" s="574" t="e" cm="1" vm="40">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25"/>
      <c r="X78" s="24">
        <f ca="1">Horarios!C78</f>
        <v>46195.791666666664</v>
      </c>
      <c r="Y78" s="25">
        <f ca="1">Horarios!C78</f>
        <v>46195.791666666664</v>
      </c>
      <c r="Z78" s="26" t="str">
        <f>$Z$6</f>
        <v>J2</v>
      </c>
      <c r="AA78" s="27" t="str">
        <f ca="1">A77</f>
        <v>Argentina</v>
      </c>
      <c r="AB78" s="49" t="e" cm="1" vm="37">
        <f t="array" aca="1" ref="AB78" ca="1">Ver_flag_local</f>
        <v>#VALUE!</v>
      </c>
      <c r="AC78" s="50">
        <v>2</v>
      </c>
      <c r="AD78" s="51">
        <v>0</v>
      </c>
      <c r="AE78" s="574" t="e" cm="1" vm="39">
        <f t="array" aca="1" ref="AE78" ca="1">Ver_flag_visit</f>
        <v>#VALUE!</v>
      </c>
      <c r="AF78" s="32" t="str">
        <f ca="1">A79</f>
        <v>Austria</v>
      </c>
      <c r="AG78" s="309">
        <f t="shared" si="248"/>
        <v>1</v>
      </c>
      <c r="AH78" s="187">
        <v>43</v>
      </c>
      <c r="AI78" s="173" t="str">
        <f>AJ78&amp;$B$76</f>
        <v>1J</v>
      </c>
      <c r="AJ78" s="40">
        <v>1</v>
      </c>
      <c r="AK78" s="580" t="e" cm="1" vm="37">
        <f t="array" aca="1" ref="AK78" ca="1">Ver_flag_visit</f>
        <v>#VALUE!</v>
      </c>
      <c r="AL78" s="34" t="str">
        <f ca="1">IFERROR(INDEX($BD$6:$BD$53,MATCH(AI78,$BN$6:$BN$53,0)),"")</f>
        <v>Argentina</v>
      </c>
      <c r="AM78" s="35">
        <f t="shared" ref="AM78:AT81" ca="1" si="251">INDEX($BE$6:$BN$53,MATCH($AL78,$BD$6:$BD$53,0),MATCH(AM$5,$BE$5:$BN$5,0))</f>
        <v>6</v>
      </c>
      <c r="AN78" s="36">
        <f t="shared" ca="1" si="251"/>
        <v>2</v>
      </c>
      <c r="AO78" s="36">
        <f t="shared" ca="1" si="251"/>
        <v>2</v>
      </c>
      <c r="AP78" s="36">
        <f t="shared" ca="1" si="251"/>
        <v>0</v>
      </c>
      <c r="AQ78" s="36">
        <f t="shared" ca="1" si="251"/>
        <v>0</v>
      </c>
      <c r="AR78" s="36">
        <f t="shared" ca="1" si="251"/>
        <v>5</v>
      </c>
      <c r="AS78" s="36">
        <f t="shared" ca="1" si="251"/>
        <v>0</v>
      </c>
      <c r="AT78" s="41">
        <f t="shared" ca="1" si="251"/>
        <v>5</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25"/>
      <c r="X79" s="24">
        <f ca="1">Horarios!C79</f>
        <v>46196.208333333336</v>
      </c>
      <c r="Y79" s="25">
        <f ca="1">Horarios!C79</f>
        <v>46196.208333333336</v>
      </c>
      <c r="Z79" s="26" t="str">
        <f>$Z$6</f>
        <v>J2</v>
      </c>
      <c r="AA79" s="27" t="str">
        <f ca="1">A80</f>
        <v>Jordania</v>
      </c>
      <c r="AB79" s="49" t="e" cm="1" vm="40">
        <f t="array" aca="1" ref="AB79" ca="1">Ver_flag_local</f>
        <v>#VALUE!</v>
      </c>
      <c r="AC79" s="50">
        <v>1</v>
      </c>
      <c r="AD79" s="51">
        <v>2</v>
      </c>
      <c r="AE79" s="574" t="e" cm="1" vm="38">
        <f t="array" aca="1" ref="AE79" ca="1">Ver_flag_visit</f>
        <v>#VALUE!</v>
      </c>
      <c r="AF79" s="32" t="str">
        <f ca="1">A78</f>
        <v>Argelia</v>
      </c>
      <c r="AG79" s="309">
        <f t="shared" si="248"/>
        <v>1</v>
      </c>
      <c r="AH79" s="187">
        <v>44</v>
      </c>
      <c r="AI79" s="173" t="str">
        <f t="shared" ref="AI79:AI81" si="252">AJ79&amp;$B$76</f>
        <v>2J</v>
      </c>
      <c r="AJ79" s="42">
        <v>2</v>
      </c>
      <c r="AK79" s="581" t="e" cm="1" vm="39">
        <f t="array" aca="1" ref="AK79" ca="1">Ver_flag_visit</f>
        <v>#VALUE!</v>
      </c>
      <c r="AL79" s="37" t="str">
        <f ca="1">IFERROR(INDEX($BD$6:$BD$53,MATCH(AI79,$BN$6:$BN$53,0)),"")</f>
        <v>Austria</v>
      </c>
      <c r="AM79" s="38">
        <f t="shared" ca="1" si="251"/>
        <v>3</v>
      </c>
      <c r="AN79" s="39">
        <f t="shared" ca="1" si="251"/>
        <v>2</v>
      </c>
      <c r="AO79" s="39">
        <f t="shared" ca="1" si="251"/>
        <v>1</v>
      </c>
      <c r="AP79" s="39">
        <f t="shared" ca="1" si="251"/>
        <v>0</v>
      </c>
      <c r="AQ79" s="39">
        <f t="shared" ca="1" si="251"/>
        <v>1</v>
      </c>
      <c r="AR79" s="39">
        <f t="shared" ca="1" si="251"/>
        <v>3</v>
      </c>
      <c r="AS79" s="39">
        <f t="shared" ca="1" si="251"/>
        <v>3</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Pendiente</v>
      </c>
      <c r="E80" s="16" t="str">
        <f t="shared" si="236"/>
        <v>-</v>
      </c>
      <c r="F80" s="16" t="str">
        <f t="shared" si="237"/>
        <v>-</v>
      </c>
      <c r="G80" s="16"/>
      <c r="H80" s="16" t="str">
        <f t="shared" si="238"/>
        <v>-</v>
      </c>
      <c r="I80" s="16" t="str">
        <f t="shared" si="239"/>
        <v>-</v>
      </c>
      <c r="J80" s="16"/>
      <c r="K80" s="16" t="str">
        <f t="shared" si="240"/>
        <v>-</v>
      </c>
      <c r="L80" s="16" t="str">
        <f t="shared" si="241"/>
        <v>-</v>
      </c>
      <c r="M80" s="16"/>
      <c r="N80" s="16" t="str">
        <f t="shared" si="242"/>
        <v>-</v>
      </c>
      <c r="O80" s="16" t="str">
        <f t="shared" si="243"/>
        <v>-</v>
      </c>
      <c r="P80" s="16"/>
      <c r="Q80" s="16" t="str">
        <f t="shared" si="244"/>
        <v>-</v>
      </c>
      <c r="R80" s="16" t="str">
        <f t="shared" si="245"/>
        <v>-</v>
      </c>
      <c r="S80" s="16"/>
      <c r="T80" s="16" t="str">
        <f t="shared" si="246"/>
        <v>-</v>
      </c>
      <c r="U80" s="16" t="str">
        <f t="shared" si="247"/>
        <v>-</v>
      </c>
      <c r="V80" s="17"/>
      <c r="W80" s="625"/>
      <c r="X80" s="24">
        <f ca="1">Horarios!C80</f>
        <v>46201.166666666664</v>
      </c>
      <c r="Y80" s="25">
        <f ca="1">Horarios!C80</f>
        <v>46201.166666666664</v>
      </c>
      <c r="Z80" s="26" t="str">
        <f>$Z$8</f>
        <v>J3</v>
      </c>
      <c r="AA80" s="27" t="str">
        <f ca="1">A78</f>
        <v>Argelia</v>
      </c>
      <c r="AB80" s="49" t="e" cm="1" vm="38">
        <f t="array" aca="1" ref="AB80" ca="1">Ver_flag_local</f>
        <v>#VALUE!</v>
      </c>
      <c r="AC80" s="50"/>
      <c r="AD80" s="51"/>
      <c r="AE80" s="574" t="e" cm="1" vm="39">
        <f t="array" aca="1" ref="AE80" ca="1">Ver_flag_visit</f>
        <v>#VALUE!</v>
      </c>
      <c r="AF80" s="32" t="str">
        <f ca="1">A79</f>
        <v>Austria</v>
      </c>
      <c r="AG80" s="309">
        <f t="shared" si="248"/>
        <v>0</v>
      </c>
      <c r="AH80" s="187">
        <v>69</v>
      </c>
      <c r="AI80" s="173" t="str">
        <f t="shared" si="252"/>
        <v>3J</v>
      </c>
      <c r="AJ80" s="42">
        <v>3</v>
      </c>
      <c r="AK80" s="581" t="e" cm="1" vm="38">
        <f t="array" aca="1" ref="AK80" ca="1">Ver_flag_visit</f>
        <v>#VALUE!</v>
      </c>
      <c r="AL80" s="37" t="str">
        <f ca="1">IFERROR(INDEX($BD$6:$BD$53,MATCH(AI80,$BN$6:$BN$53,0)),"")</f>
        <v>Argelia</v>
      </c>
      <c r="AM80" s="38">
        <f t="shared" ca="1" si="251"/>
        <v>3</v>
      </c>
      <c r="AN80" s="39">
        <f t="shared" ca="1" si="251"/>
        <v>2</v>
      </c>
      <c r="AO80" s="39">
        <f t="shared" ca="1" si="251"/>
        <v>1</v>
      </c>
      <c r="AP80" s="39">
        <f t="shared" ca="1" si="251"/>
        <v>0</v>
      </c>
      <c r="AQ80" s="39">
        <f t="shared" ca="1" si="251"/>
        <v>1</v>
      </c>
      <c r="AR80" s="39">
        <f t="shared" ca="1" si="251"/>
        <v>2</v>
      </c>
      <c r="AS80" s="39">
        <f t="shared" ca="1" si="251"/>
        <v>4</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Pendiente</v>
      </c>
      <c r="E81" s="16" t="str">
        <f t="shared" si="236"/>
        <v>-</v>
      </c>
      <c r="F81" s="16" t="str">
        <f t="shared" si="237"/>
        <v>-</v>
      </c>
      <c r="G81" s="16"/>
      <c r="H81" s="16" t="str">
        <f t="shared" si="238"/>
        <v>-</v>
      </c>
      <c r="I81" s="16" t="str">
        <f t="shared" si="239"/>
        <v>-</v>
      </c>
      <c r="J81" s="16"/>
      <c r="K81" s="16" t="str">
        <f t="shared" si="240"/>
        <v>-</v>
      </c>
      <c r="L81" s="16" t="str">
        <f t="shared" si="241"/>
        <v>-</v>
      </c>
      <c r="M81" s="16"/>
      <c r="N81" s="16" t="str">
        <f t="shared" si="242"/>
        <v>-</v>
      </c>
      <c r="O81" s="16" t="str">
        <f t="shared" si="243"/>
        <v>-</v>
      </c>
      <c r="P81" s="16"/>
      <c r="Q81" s="16" t="str">
        <f t="shared" si="244"/>
        <v>-</v>
      </c>
      <c r="R81" s="16" t="str">
        <f t="shared" si="245"/>
        <v>-</v>
      </c>
      <c r="S81" s="16"/>
      <c r="T81" s="16" t="str">
        <f t="shared" si="246"/>
        <v>-</v>
      </c>
      <c r="U81" s="16" t="str">
        <f t="shared" si="247"/>
        <v>-</v>
      </c>
      <c r="V81" s="17"/>
      <c r="W81" s="626"/>
      <c r="X81" s="28">
        <f ca="1">Horarios!C81</f>
        <v>46201.166666666664</v>
      </c>
      <c r="Y81" s="29">
        <f ca="1">Horarios!C81</f>
        <v>46201.166666666664</v>
      </c>
      <c r="Z81" s="30" t="str">
        <f>$Z$8</f>
        <v>J3</v>
      </c>
      <c r="AA81" s="31" t="str">
        <f ca="1">A80</f>
        <v>Jordania</v>
      </c>
      <c r="AB81" s="52" t="e" cm="1" vm="40">
        <f t="array" aca="1" ref="AB81" ca="1">Ver_flag_local</f>
        <v>#VALUE!</v>
      </c>
      <c r="AC81" s="50"/>
      <c r="AD81" s="51"/>
      <c r="AE81" s="575" t="e" cm="1" vm="37">
        <f t="array" aca="1" ref="AE81" ca="1">Ver_flag_visit</f>
        <v>#VALUE!</v>
      </c>
      <c r="AF81" s="33" t="str">
        <f ca="1">A77</f>
        <v>Argentina</v>
      </c>
      <c r="AG81" s="309">
        <f t="shared" si="248"/>
        <v>0</v>
      </c>
      <c r="AH81" s="187">
        <v>70</v>
      </c>
      <c r="AI81" s="173" t="str">
        <f t="shared" si="252"/>
        <v>4J</v>
      </c>
      <c r="AJ81" s="44">
        <v>4</v>
      </c>
      <c r="AK81" s="583" t="e" cm="1" vm="40">
        <f t="array" aca="1" ref="AK81" ca="1">Ver_flag_visit</f>
        <v>#VALUE!</v>
      </c>
      <c r="AL81" s="45" t="str">
        <f ca="1">IFERROR(INDEX($BD$6:$BD$53,MATCH(AI81,$BN$6:$BN$53,0)),"")</f>
        <v>Jordania</v>
      </c>
      <c r="AM81" s="46">
        <f t="shared" ca="1" si="251"/>
        <v>0</v>
      </c>
      <c r="AN81" s="47">
        <f t="shared" ca="1" si="251"/>
        <v>2</v>
      </c>
      <c r="AO81" s="47">
        <f t="shared" ca="1" si="251"/>
        <v>0</v>
      </c>
      <c r="AP81" s="47">
        <f t="shared" ca="1" si="251"/>
        <v>0</v>
      </c>
      <c r="AQ81" s="47">
        <f t="shared" ca="1" si="251"/>
        <v>2</v>
      </c>
      <c r="AR81" s="47">
        <f t="shared" ca="1" si="251"/>
        <v>2</v>
      </c>
      <c r="AS81" s="47">
        <f t="shared" ca="1" si="251"/>
        <v>5</v>
      </c>
      <c r="AT81" s="48">
        <f t="shared" ca="1" si="251"/>
        <v>-3</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31" t="s">
        <v>449</v>
      </c>
      <c r="X84" s="24">
        <f ca="1">Horarios!C84</f>
        <v>46190.791666666664</v>
      </c>
      <c r="Y84" s="25">
        <f ca="1">Horarios!C84</f>
        <v>46190.791666666664</v>
      </c>
      <c r="Z84" s="26" t="str">
        <f>$Z$4</f>
        <v>J1</v>
      </c>
      <c r="AA84" s="27" t="str">
        <f ca="1">A85</f>
        <v>Portugal</v>
      </c>
      <c r="AB84" s="49" t="e" cm="1" vm="41">
        <f t="array" aca="1" ref="AB84" ca="1">Ver_flag_local</f>
        <v>#VALUE!</v>
      </c>
      <c r="AC84" s="50">
        <v>1</v>
      </c>
      <c r="AD84" s="51">
        <v>1</v>
      </c>
      <c r="AE84" s="574" t="e" cm="1" vm="42">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31"/>
      <c r="X85" s="24">
        <f ca="1">Horarios!C85</f>
        <v>46191.166666666664</v>
      </c>
      <c r="Y85" s="25">
        <f ca="1">Horarios!C85</f>
        <v>46191.166666666664</v>
      </c>
      <c r="Z85" s="26" t="str">
        <f>$Z$4</f>
        <v>J1</v>
      </c>
      <c r="AA85" s="27" t="str">
        <f ca="1">A87</f>
        <v>Uzbekistán</v>
      </c>
      <c r="AB85" s="49" t="e" cm="1" vm="43">
        <f t="array" aca="1" ref="AB85" ca="1">Ver_flag_local</f>
        <v>#VALUE!</v>
      </c>
      <c r="AC85" s="50">
        <v>1</v>
      </c>
      <c r="AD85" s="51">
        <v>3</v>
      </c>
      <c r="AE85" s="574" t="e" cm="1" vm="44">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31"/>
      <c r="X86" s="24">
        <f ca="1">Horarios!C86</f>
        <v>46196.791666666664</v>
      </c>
      <c r="Y86" s="25">
        <f ca="1">Horarios!C86</f>
        <v>46196.791666666664</v>
      </c>
      <c r="Z86" s="26" t="str">
        <f>$Z$6</f>
        <v>J2</v>
      </c>
      <c r="AA86" s="27" t="str">
        <f ca="1">A85</f>
        <v>Portugal</v>
      </c>
      <c r="AB86" s="49" t="e" cm="1" vm="41">
        <f t="array" aca="1" ref="AB86" ca="1">Ver_flag_local</f>
        <v>#VALUE!</v>
      </c>
      <c r="AC86" s="50">
        <v>5</v>
      </c>
      <c r="AD86" s="51">
        <v>0</v>
      </c>
      <c r="AE86" s="574" t="e" cm="1" vm="43">
        <f t="array" aca="1" ref="AE86" ca="1">Ver_flag_visit</f>
        <v>#VALUE!</v>
      </c>
      <c r="AF86" s="32" t="str">
        <f ca="1">A87</f>
        <v>Uzbekistán</v>
      </c>
      <c r="AG86" s="309">
        <f t="shared" si="266"/>
        <v>1</v>
      </c>
      <c r="AH86" s="187">
        <v>47</v>
      </c>
      <c r="AI86" s="173" t="str">
        <f>AJ86&amp;$B$84</f>
        <v>1K</v>
      </c>
      <c r="AJ86" s="40">
        <v>1</v>
      </c>
      <c r="AK86" s="580" t="e" cm="1" vm="44">
        <f t="array" aca="1" ref="AK86" ca="1">Ver_flag_visit</f>
        <v>#VALUE!</v>
      </c>
      <c r="AL86" s="34" t="str">
        <f ca="1">IFERROR(INDEX($BD$6:$BD$53,MATCH(AI86,$BN$6:$BN$53,0)),"")</f>
        <v>Colombia</v>
      </c>
      <c r="AM86" s="35">
        <f t="shared" ref="AM86:AT89" ca="1" si="269">INDEX($BE$6:$BN$53,MATCH($AL86,$BD$6:$BD$53,0),MATCH(AM$5,$BE$5:$BN$5,0))</f>
        <v>6</v>
      </c>
      <c r="AN86" s="36">
        <f t="shared" ca="1" si="269"/>
        <v>2</v>
      </c>
      <c r="AO86" s="36">
        <f t="shared" ca="1" si="269"/>
        <v>2</v>
      </c>
      <c r="AP86" s="36">
        <f t="shared" ca="1" si="269"/>
        <v>0</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31"/>
      <c r="X87" s="24">
        <f ca="1">Horarios!C87</f>
        <v>46197.166666666664</v>
      </c>
      <c r="Y87" s="25">
        <f ca="1">Horarios!C87</f>
        <v>46197.166666666664</v>
      </c>
      <c r="Z87" s="26" t="str">
        <f>$Z$6</f>
        <v>J2</v>
      </c>
      <c r="AA87" s="27" t="str">
        <f ca="1">A88</f>
        <v>Colombia</v>
      </c>
      <c r="AB87" s="49" t="e" cm="1" vm="44">
        <f t="array" aca="1" ref="AB87" ca="1">Ver_flag_local</f>
        <v>#VALUE!</v>
      </c>
      <c r="AC87" s="50">
        <v>1</v>
      </c>
      <c r="AD87" s="51">
        <v>0</v>
      </c>
      <c r="AE87" s="574" t="e" cm="1" vm="42">
        <f t="array" aca="1" ref="AE87" ca="1">Ver_flag_visit</f>
        <v>#VALUE!</v>
      </c>
      <c r="AF87" s="32" t="str">
        <f ca="1">A86</f>
        <v>RD Congo</v>
      </c>
      <c r="AG87" s="309">
        <f t="shared" si="266"/>
        <v>1</v>
      </c>
      <c r="AH87" s="187">
        <v>48</v>
      </c>
      <c r="AI87" s="173" t="str">
        <f t="shared" ref="AI87:AI89" si="270">AJ87&amp;$B$84</f>
        <v>2K</v>
      </c>
      <c r="AJ87" s="42">
        <v>2</v>
      </c>
      <c r="AK87" s="581" t="e" cm="1" vm="41">
        <f t="array" aca="1" ref="AK87" ca="1">Ver_flag_visit</f>
        <v>#VALUE!</v>
      </c>
      <c r="AL87" s="37" t="str">
        <f ca="1">IFERROR(INDEX($BD$6:$BD$53,MATCH(AI87,$BN$6:$BN$53,0)),"")</f>
        <v>Portugal</v>
      </c>
      <c r="AM87" s="38">
        <f t="shared" ca="1" si="269"/>
        <v>4</v>
      </c>
      <c r="AN87" s="39">
        <f t="shared" ca="1" si="269"/>
        <v>2</v>
      </c>
      <c r="AO87" s="39">
        <f t="shared" ca="1" si="269"/>
        <v>1</v>
      </c>
      <c r="AP87" s="39">
        <f t="shared" ca="1" si="269"/>
        <v>1</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Pendiente</v>
      </c>
      <c r="E88" s="16" t="str">
        <f t="shared" si="254"/>
        <v>-</v>
      </c>
      <c r="F88" s="16" t="str">
        <f t="shared" si="255"/>
        <v>-</v>
      </c>
      <c r="G88" s="16"/>
      <c r="H88" s="16" t="str">
        <f t="shared" si="256"/>
        <v>-</v>
      </c>
      <c r="I88" s="16" t="str">
        <f t="shared" si="257"/>
        <v>-</v>
      </c>
      <c r="J88" s="16"/>
      <c r="K88" s="16" t="str">
        <f t="shared" si="258"/>
        <v>-</v>
      </c>
      <c r="L88" s="16" t="str">
        <f t="shared" si="259"/>
        <v>-</v>
      </c>
      <c r="M88" s="16"/>
      <c r="N88" s="16" t="str">
        <f t="shared" si="260"/>
        <v>-</v>
      </c>
      <c r="O88" s="16" t="str">
        <f t="shared" si="261"/>
        <v>-</v>
      </c>
      <c r="P88" s="16"/>
      <c r="Q88" s="16" t="str">
        <f t="shared" si="262"/>
        <v>-</v>
      </c>
      <c r="R88" s="16" t="str">
        <f t="shared" si="263"/>
        <v>-</v>
      </c>
      <c r="S88" s="16"/>
      <c r="T88" s="16" t="str">
        <f t="shared" si="264"/>
        <v>-</v>
      </c>
      <c r="U88" s="16" t="str">
        <f t="shared" si="265"/>
        <v>-</v>
      </c>
      <c r="V88" s="17"/>
      <c r="W88" s="631"/>
      <c r="X88" s="24">
        <f ca="1">Horarios!C88</f>
        <v>46201.0625</v>
      </c>
      <c r="Y88" s="25">
        <f ca="1">Horarios!C88</f>
        <v>46201.0625</v>
      </c>
      <c r="Z88" s="26" t="str">
        <f>$Z$8</f>
        <v>J3</v>
      </c>
      <c r="AA88" s="27" t="str">
        <f ca="1">A88</f>
        <v>Colombia</v>
      </c>
      <c r="AB88" s="49" t="e" cm="1" vm="44">
        <f t="array" aca="1" ref="AB88" ca="1">Ver_flag_local</f>
        <v>#VALUE!</v>
      </c>
      <c r="AC88" s="50"/>
      <c r="AD88" s="51"/>
      <c r="AE88" s="574" t="e" cm="1" vm="41">
        <f t="array" aca="1" ref="AE88" ca="1">Ver_flag_visit</f>
        <v>#VALUE!</v>
      </c>
      <c r="AF88" s="32" t="str">
        <f ca="1">A85</f>
        <v>Portugal</v>
      </c>
      <c r="AG88" s="309">
        <f t="shared" si="266"/>
        <v>0</v>
      </c>
      <c r="AH88" s="187">
        <v>71</v>
      </c>
      <c r="AI88" s="173" t="str">
        <f t="shared" si="270"/>
        <v>3K</v>
      </c>
      <c r="AJ88" s="42">
        <v>3</v>
      </c>
      <c r="AK88" s="581" t="e" cm="1" vm="42">
        <f t="array" aca="1" ref="AK88" ca="1">Ver_flag_visit</f>
        <v>#VALUE!</v>
      </c>
      <c r="AL88" s="37" t="str">
        <f ca="1">IFERROR(INDEX($BD$6:$BD$53,MATCH(AI88,$BN$6:$BN$53,0)),"")</f>
        <v>RD Congo</v>
      </c>
      <c r="AM88" s="38">
        <f t="shared" ca="1" si="269"/>
        <v>1</v>
      </c>
      <c r="AN88" s="39">
        <f t="shared" ca="1" si="269"/>
        <v>2</v>
      </c>
      <c r="AO88" s="39">
        <f t="shared" ca="1" si="269"/>
        <v>0</v>
      </c>
      <c r="AP88" s="39">
        <f t="shared" ca="1" si="269"/>
        <v>1</v>
      </c>
      <c r="AQ88" s="39">
        <f t="shared" ca="1" si="269"/>
        <v>1</v>
      </c>
      <c r="AR88" s="39">
        <f t="shared" ca="1" si="269"/>
        <v>1</v>
      </c>
      <c r="AS88" s="39">
        <f t="shared" ca="1" si="269"/>
        <v>2</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Pendiente</v>
      </c>
      <c r="E89" s="16" t="str">
        <f t="shared" si="254"/>
        <v>-</v>
      </c>
      <c r="F89" s="16" t="str">
        <f t="shared" si="255"/>
        <v>-</v>
      </c>
      <c r="G89" s="16"/>
      <c r="H89" s="16" t="str">
        <f t="shared" si="256"/>
        <v>-</v>
      </c>
      <c r="I89" s="16" t="str">
        <f t="shared" si="257"/>
        <v>-</v>
      </c>
      <c r="J89" s="16"/>
      <c r="K89" s="16" t="str">
        <f t="shared" si="258"/>
        <v>-</v>
      </c>
      <c r="L89" s="16" t="str">
        <f t="shared" si="259"/>
        <v>-</v>
      </c>
      <c r="M89" s="16"/>
      <c r="N89" s="16" t="str">
        <f t="shared" si="260"/>
        <v>-</v>
      </c>
      <c r="O89" s="16" t="str">
        <f t="shared" si="261"/>
        <v>-</v>
      </c>
      <c r="P89" s="16"/>
      <c r="Q89" s="16" t="str">
        <f t="shared" si="262"/>
        <v>-</v>
      </c>
      <c r="R89" s="16" t="str">
        <f t="shared" si="263"/>
        <v>-</v>
      </c>
      <c r="S89" s="16"/>
      <c r="T89" s="16" t="str">
        <f t="shared" si="264"/>
        <v>-</v>
      </c>
      <c r="U89" s="16" t="str">
        <f t="shared" si="265"/>
        <v>-</v>
      </c>
      <c r="V89" s="17"/>
      <c r="W89" s="632"/>
      <c r="X89" s="28">
        <f ca="1">Horarios!C89</f>
        <v>46201.0625</v>
      </c>
      <c r="Y89" s="29">
        <f ca="1">Horarios!C89</f>
        <v>46201.0625</v>
      </c>
      <c r="Z89" s="30" t="str">
        <f>$Z$8</f>
        <v>J3</v>
      </c>
      <c r="AA89" s="31" t="str">
        <f ca="1">A86</f>
        <v>RD Congo</v>
      </c>
      <c r="AB89" s="52" t="e" cm="1" vm="42">
        <f t="array" aca="1" ref="AB89" ca="1">Ver_flag_local</f>
        <v>#VALUE!</v>
      </c>
      <c r="AC89" s="50"/>
      <c r="AD89" s="51"/>
      <c r="AE89" s="575" t="e" cm="1" vm="43">
        <f t="array" aca="1" ref="AE89" ca="1">Ver_flag_visit</f>
        <v>#VALUE!</v>
      </c>
      <c r="AF89" s="33" t="str">
        <f ca="1">A87</f>
        <v>Uzbekistán</v>
      </c>
      <c r="AG89" s="309">
        <f t="shared" si="266"/>
        <v>0</v>
      </c>
      <c r="AH89" s="187">
        <v>72</v>
      </c>
      <c r="AI89" s="173" t="str">
        <f t="shared" si="270"/>
        <v>4K</v>
      </c>
      <c r="AJ89" s="44">
        <v>4</v>
      </c>
      <c r="AK89" s="583" t="e" cm="1" vm="43">
        <f t="array" aca="1" ref="AK89" ca="1">Ver_flag_visit</f>
        <v>#VALUE!</v>
      </c>
      <c r="AL89" s="45" t="str">
        <f ca="1">IFERROR(INDEX($BD$6:$BD$53,MATCH(AI89,$BN$6:$BN$53,0)),"")</f>
        <v>Uzbekistán</v>
      </c>
      <c r="AM89" s="46">
        <f t="shared" ca="1" si="269"/>
        <v>0</v>
      </c>
      <c r="AN89" s="47">
        <f t="shared" ca="1" si="269"/>
        <v>2</v>
      </c>
      <c r="AO89" s="47">
        <f t="shared" ca="1" si="269"/>
        <v>0</v>
      </c>
      <c r="AP89" s="47">
        <f t="shared" ca="1" si="269"/>
        <v>0</v>
      </c>
      <c r="AQ89" s="47">
        <f t="shared" ca="1" si="269"/>
        <v>2</v>
      </c>
      <c r="AR89" s="47">
        <f t="shared" ca="1" si="269"/>
        <v>1</v>
      </c>
      <c r="AS89" s="47">
        <f t="shared" ca="1" si="269"/>
        <v>8</v>
      </c>
      <c r="AT89" s="48">
        <f t="shared" ca="1" si="269"/>
        <v>-7</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P.1 (2)</v>
      </c>
      <c r="F92" s="16" t="str">
        <f t="shared" ref="F92:F97" ca="1" si="273">IF(D92="Pendiente","-",INDEX($BT$6:$BT$53,MATCH($AF92,$BD$6:$BD$53,0)))</f>
        <v>-</v>
      </c>
      <c r="G92" s="16"/>
      <c r="H92" s="16" t="str">
        <f t="shared" ref="H92:H97" ca="1" si="274">IF(D92="Pendiente","-",INDEX($BZ$6:$BZ$53,MATCH($AA92,$BD$6:$BD$53,0)))</f>
        <v>P.1 (2)</v>
      </c>
      <c r="I92" s="16" t="str">
        <f t="shared" ref="I92:I97" ca="1" si="275">IF(D92="Pendiente","-",INDEX($BZ$6:$BZ$53,MATCH($AF92,$BD$6:$BD$53,0)))</f>
        <v>-</v>
      </c>
      <c r="J92" s="16"/>
      <c r="K92" s="16" t="str">
        <f t="shared" ref="K92:K97" ca="1" si="276">IF(D92="Pendiente","-",INDEX($CE$6:$CE$53,MATCH($AA92,$BD$6:$BD$53,0)))</f>
        <v>P.1 (2)</v>
      </c>
      <c r="L92" s="16" t="str">
        <f t="shared" ref="L92:L97" ca="1" si="277">IF(D92="Pendiente","-",INDEX($CE$6:$CE$53,MATCH($AF92,$BD$6:$BD$53,0)))</f>
        <v>-</v>
      </c>
      <c r="M92" s="16"/>
      <c r="N92" s="16" t="str">
        <f t="shared" ref="N92:N97" ca="1" si="278">IF(D92="Pendiente","-",INDEX($CH$6:$CH$53,MATCH($AA92,$BD$6:$BD$53,0)))</f>
        <v>P.1 (2)</v>
      </c>
      <c r="O92" s="16" t="str">
        <f t="shared" ref="O92:O97" ca="1" si="279">IF(D92="Pendiente","-",INDEX($CH$6:$CH$53,MATCH($AF92,$BD$6:$BD$53,0)))</f>
        <v>-</v>
      </c>
      <c r="P92" s="16"/>
      <c r="Q92" s="16" t="str">
        <f t="shared" ref="Q92:Q97" ca="1" si="280">IF(D92="Pendiente","-",INDEX($CN$6:$CN$53,MATCH($AA92,$BD$6:$BD$53,0)))</f>
        <v>P.1 (2)</v>
      </c>
      <c r="R92" s="16" t="str">
        <f t="shared" ref="R92:R97" ca="1" si="281">IF(D92="Pendiente","-",INDEX($CN$6:$CN$53,MATCH($AF92,$BD$6:$BD$53,0)))</f>
        <v>-</v>
      </c>
      <c r="S92" s="16"/>
      <c r="T92" s="16" t="str">
        <f t="shared" ref="T92:T97" ca="1" si="282">IF(D92="Pendiente","-",INDEX($CS$6:$CS$53,MATCH($AA92,$BD$6:$BD$53,0)))</f>
        <v>P.1 (2)</v>
      </c>
      <c r="U92" s="16" t="str">
        <f t="shared" ref="U92:U97" ca="1" si="283">IF(D92="Pendiente","-",INDEX($CS$6:$CS$53,MATCH($AF92,$BD$6:$BD$53,0)))</f>
        <v>-</v>
      </c>
      <c r="V92" s="17"/>
      <c r="W92" s="627" t="s">
        <v>247</v>
      </c>
      <c r="X92" s="24">
        <f ca="1">Horarios!C92</f>
        <v>46190.916666666664</v>
      </c>
      <c r="Y92" s="25">
        <f ca="1">Horarios!C92</f>
        <v>46190.916666666664</v>
      </c>
      <c r="Z92" s="26" t="str">
        <f>$Z$4</f>
        <v>J1</v>
      </c>
      <c r="AA92" s="27" t="str">
        <f ca="1">A93</f>
        <v>Inglaterra</v>
      </c>
      <c r="AB92" s="49" t="e" cm="1" vm="45">
        <f t="array" aca="1" ref="AB92" ca="1">Ver_flag_local</f>
        <v>#VALUE!</v>
      </c>
      <c r="AC92" s="50">
        <v>4</v>
      </c>
      <c r="AD92" s="51">
        <v>2</v>
      </c>
      <c r="AE92" s="574" t="e" cm="1" vm="46">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P.1 (2)</v>
      </c>
      <c r="F93" s="16" t="str">
        <f t="shared" ca="1" si="273"/>
        <v>-</v>
      </c>
      <c r="G93" s="16"/>
      <c r="H93" s="16" t="str">
        <f t="shared" ca="1" si="274"/>
        <v>P.1 (2)</v>
      </c>
      <c r="I93" s="16" t="str">
        <f t="shared" ca="1" si="275"/>
        <v>-</v>
      </c>
      <c r="J93" s="16"/>
      <c r="K93" s="16" t="str">
        <f t="shared" ca="1" si="276"/>
        <v>P.1 (2)</v>
      </c>
      <c r="L93" s="16" t="str">
        <f t="shared" ca="1" si="277"/>
        <v>-</v>
      </c>
      <c r="M93" s="16"/>
      <c r="N93" s="16" t="str">
        <f t="shared" ca="1" si="278"/>
        <v>P.1 (2)</v>
      </c>
      <c r="O93" s="16" t="str">
        <f t="shared" ca="1" si="279"/>
        <v>-</v>
      </c>
      <c r="P93" s="16"/>
      <c r="Q93" s="16" t="str">
        <f t="shared" ca="1" si="280"/>
        <v>P.1 (2)</v>
      </c>
      <c r="R93" s="16" t="str">
        <f t="shared" ca="1" si="281"/>
        <v>-</v>
      </c>
      <c r="S93" s="16"/>
      <c r="T93" s="16" t="str">
        <f t="shared" ca="1" si="282"/>
        <v>P.1 (2)</v>
      </c>
      <c r="U93" s="16" t="str">
        <f t="shared" ca="1" si="283"/>
        <v>-</v>
      </c>
      <c r="V93" s="17"/>
      <c r="W93" s="627"/>
      <c r="X93" s="24">
        <f ca="1">Horarios!C93</f>
        <v>46191.041666666664</v>
      </c>
      <c r="Y93" s="25">
        <f ca="1">Horarios!C93</f>
        <v>46191.041666666664</v>
      </c>
      <c r="Z93" s="26" t="str">
        <f>$Z$4</f>
        <v>J1</v>
      </c>
      <c r="AA93" s="27" t="str">
        <f ca="1">A95</f>
        <v>Ghana</v>
      </c>
      <c r="AB93" s="49" t="e" cm="1" vm="47">
        <f t="array" aca="1" ref="AB93" ca="1">Ver_flag_local</f>
        <v>#VALUE!</v>
      </c>
      <c r="AC93" s="50">
        <v>1</v>
      </c>
      <c r="AD93" s="51">
        <v>0</v>
      </c>
      <c r="AE93" s="574" t="e" cm="1" vm="48">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P.1 (2)</v>
      </c>
      <c r="F94" s="16" t="str">
        <f t="shared" ca="1" si="273"/>
        <v>P.1 (2)</v>
      </c>
      <c r="G94" s="16"/>
      <c r="H94" s="16" t="str">
        <f t="shared" ca="1" si="274"/>
        <v>P.1 (2)</v>
      </c>
      <c r="I94" s="16" t="str">
        <f t="shared" ca="1" si="275"/>
        <v>P.1 (2)</v>
      </c>
      <c r="J94" s="16"/>
      <c r="K94" s="16" t="str">
        <f t="shared" ca="1" si="276"/>
        <v>P.1 (2)</v>
      </c>
      <c r="L94" s="16" t="str">
        <f t="shared" ca="1" si="277"/>
        <v>P.1 (2)</v>
      </c>
      <c r="M94" s="16"/>
      <c r="N94" s="16" t="str">
        <f t="shared" ca="1" si="278"/>
        <v>P.1 (2)</v>
      </c>
      <c r="O94" s="16" t="str">
        <f t="shared" ca="1" si="279"/>
        <v>P.1 (2)</v>
      </c>
      <c r="P94" s="16"/>
      <c r="Q94" s="16" t="str">
        <f t="shared" ca="1" si="280"/>
        <v>P.1 (2)</v>
      </c>
      <c r="R94" s="16" t="str">
        <f t="shared" ca="1" si="281"/>
        <v>P.1 (2)</v>
      </c>
      <c r="S94" s="16"/>
      <c r="T94" s="16" t="str">
        <f t="shared" ca="1" si="282"/>
        <v>P.1 (2)</v>
      </c>
      <c r="U94" s="16" t="str">
        <f t="shared" ca="1" si="283"/>
        <v>P.1 (2)</v>
      </c>
      <c r="V94" s="17"/>
      <c r="W94" s="627"/>
      <c r="X94" s="24">
        <f ca="1">Horarios!C94</f>
        <v>46196.916666666664</v>
      </c>
      <c r="Y94" s="25">
        <f ca="1">Horarios!C94</f>
        <v>46196.916666666664</v>
      </c>
      <c r="Z94" s="26" t="str">
        <f>$Z$6</f>
        <v>J2</v>
      </c>
      <c r="AA94" s="27" t="str">
        <f ca="1">A93</f>
        <v>Inglaterra</v>
      </c>
      <c r="AB94" s="49" t="e" cm="1" vm="45">
        <f t="array" aca="1" ref="AB94" ca="1">Ver_flag_local</f>
        <v>#VALUE!</v>
      </c>
      <c r="AC94" s="50">
        <v>0</v>
      </c>
      <c r="AD94" s="51">
        <v>0</v>
      </c>
      <c r="AE94" s="574" t="e" cm="1" vm="47">
        <f t="array" aca="1" ref="AE94" ca="1">Ver_flag_visit</f>
        <v>#VALUE!</v>
      </c>
      <c r="AF94" s="32" t="str">
        <f ca="1">A95</f>
        <v>Ghana</v>
      </c>
      <c r="AG94" s="309">
        <f t="shared" si="284"/>
        <v>1</v>
      </c>
      <c r="AH94" s="187">
        <v>45</v>
      </c>
      <c r="AI94" s="173" t="str">
        <f>AJ94&amp;$B$92</f>
        <v>1L</v>
      </c>
      <c r="AJ94" s="40">
        <v>1</v>
      </c>
      <c r="AK94" s="580" t="e" cm="1" vm="45">
        <f t="array" aca="1" ref="AK94" ca="1">Ver_flag_visit</f>
        <v>#VALUE!</v>
      </c>
      <c r="AL94" s="34" t="str">
        <f ca="1">IFERROR(INDEX($BD$6:$BD$53,MATCH(AI94,$BN$6:$BN$53,0)),"")</f>
        <v>Inglaterra</v>
      </c>
      <c r="AM94" s="35">
        <f t="shared" ref="AM94:AT97" ca="1" si="287">INDEX($BE$6:$BN$53,MATCH($AL94,$BD$6:$BD$53,0),MATCH(AM$5,$BE$5:$BN$5,0))</f>
        <v>4</v>
      </c>
      <c r="AN94" s="36">
        <f t="shared" ca="1" si="287"/>
        <v>2</v>
      </c>
      <c r="AO94" s="36">
        <f t="shared" ca="1" si="287"/>
        <v>1</v>
      </c>
      <c r="AP94" s="36">
        <f t="shared" ca="1" si="287"/>
        <v>1</v>
      </c>
      <c r="AQ94" s="36">
        <f t="shared" ca="1" si="287"/>
        <v>0</v>
      </c>
      <c r="AR94" s="36">
        <f t="shared" ca="1" si="287"/>
        <v>4</v>
      </c>
      <c r="AS94" s="36">
        <f t="shared" ca="1" si="287"/>
        <v>2</v>
      </c>
      <c r="AT94" s="41">
        <f t="shared" ca="1" si="287"/>
        <v>2</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27"/>
      <c r="X95" s="24">
        <f ca="1">Horarios!C95</f>
        <v>46197.041666666664</v>
      </c>
      <c r="Y95" s="25">
        <f ca="1">Horarios!C95</f>
        <v>46197.041666666664</v>
      </c>
      <c r="Z95" s="26" t="str">
        <f>$Z$6</f>
        <v>J2</v>
      </c>
      <c r="AA95" s="27" t="str">
        <f ca="1">A96</f>
        <v>Panamá</v>
      </c>
      <c r="AB95" s="49" t="e" cm="1" vm="48">
        <f t="array" aca="1" ref="AB95" ca="1">Ver_flag_local</f>
        <v>#VALUE!</v>
      </c>
      <c r="AC95" s="50">
        <v>0</v>
      </c>
      <c r="AD95" s="51">
        <v>1</v>
      </c>
      <c r="AE95" s="574" t="e" cm="1" vm="46">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Ghana</v>
      </c>
      <c r="AM95" s="38">
        <f t="shared" ca="1" si="287"/>
        <v>4</v>
      </c>
      <c r="AN95" s="39">
        <f t="shared" ca="1" si="287"/>
        <v>2</v>
      </c>
      <c r="AO95" s="39">
        <f t="shared" ca="1" si="287"/>
        <v>1</v>
      </c>
      <c r="AP95" s="39">
        <f t="shared" ca="1" si="287"/>
        <v>1</v>
      </c>
      <c r="AQ95" s="39">
        <f t="shared" ca="1" si="287"/>
        <v>0</v>
      </c>
      <c r="AR95" s="39">
        <f t="shared" ca="1" si="287"/>
        <v>1</v>
      </c>
      <c r="AS95" s="39">
        <f t="shared" ca="1" si="287"/>
        <v>0</v>
      </c>
      <c r="AT95" s="43">
        <f t="shared" ca="1" si="287"/>
        <v>1</v>
      </c>
      <c r="AU95" s="316">
        <f ca="1">INDEX($DL$6:$DL$53,MATCH(AI95,$DP$6:$DP$53,0))</f>
        <v>1</v>
      </c>
      <c r="AV95" s="174" t="str">
        <f ca="1">INDEX($BD$6:$BD$53,MATCH(AI95,$BM$6:$BM$53,0))</f>
        <v>Ghana</v>
      </c>
      <c r="AW95" s="202"/>
      <c r="AX95" s="163"/>
      <c r="AY95" s="195" t="str">
        <f ca="1">+A94</f>
        <v>Croacia</v>
      </c>
      <c r="AZ95" s="196"/>
      <c r="BA95" s="168"/>
    </row>
    <row r="96" spans="1:118" ht="16" customHeight="1">
      <c r="A96" s="16" t="str">
        <f ca="1">+Equipos!B49</f>
        <v>Panamá</v>
      </c>
      <c r="B96" s="16"/>
      <c r="C96" s="16"/>
      <c r="D96" s="16" t="str">
        <f t="shared" si="271"/>
        <v>Pendiente</v>
      </c>
      <c r="E96" s="16" t="str">
        <f t="shared" si="272"/>
        <v>-</v>
      </c>
      <c r="F96" s="16" t="str">
        <f t="shared" si="273"/>
        <v>-</v>
      </c>
      <c r="G96" s="16"/>
      <c r="H96" s="16" t="str">
        <f t="shared" si="274"/>
        <v>-</v>
      </c>
      <c r="I96" s="16" t="str">
        <f t="shared" si="275"/>
        <v>-</v>
      </c>
      <c r="J96" s="16"/>
      <c r="K96" s="16" t="str">
        <f t="shared" si="276"/>
        <v>-</v>
      </c>
      <c r="L96" s="16" t="str">
        <f t="shared" si="277"/>
        <v>-</v>
      </c>
      <c r="M96" s="16"/>
      <c r="N96" s="16" t="str">
        <f t="shared" si="278"/>
        <v>-</v>
      </c>
      <c r="O96" s="16" t="str">
        <f t="shared" si="279"/>
        <v>-</v>
      </c>
      <c r="P96" s="16"/>
      <c r="Q96" s="16" t="str">
        <f t="shared" si="280"/>
        <v>-</v>
      </c>
      <c r="R96" s="16" t="str">
        <f t="shared" si="281"/>
        <v>-</v>
      </c>
      <c r="S96" s="16"/>
      <c r="T96" s="16" t="str">
        <f t="shared" si="282"/>
        <v>-</v>
      </c>
      <c r="U96" s="16" t="str">
        <f t="shared" si="283"/>
        <v>-</v>
      </c>
      <c r="V96" s="17"/>
      <c r="W96" s="627"/>
      <c r="X96" s="24">
        <f ca="1">Horarios!C96</f>
        <v>46200.958333333336</v>
      </c>
      <c r="Y96" s="25">
        <f ca="1">Horarios!C96</f>
        <v>46200.958333333336</v>
      </c>
      <c r="Z96" s="26" t="str">
        <f>$Z$8</f>
        <v>J3</v>
      </c>
      <c r="AA96" s="27" t="str">
        <f ca="1">A96</f>
        <v>Panamá</v>
      </c>
      <c r="AB96" s="49" t="e" cm="1" vm="48">
        <f t="array" aca="1" ref="AB96" ca="1">Ver_flag_local</f>
        <v>#VALUE!</v>
      </c>
      <c r="AC96" s="50"/>
      <c r="AD96" s="51"/>
      <c r="AE96" s="574" t="e" cm="1" vm="45">
        <f t="array" aca="1" ref="AE96" ca="1">Ver_flag_visit</f>
        <v>#VALUE!</v>
      </c>
      <c r="AF96" s="32" t="str">
        <f ca="1">A93</f>
        <v>Inglaterra</v>
      </c>
      <c r="AG96" s="309">
        <f t="shared" si="284"/>
        <v>0</v>
      </c>
      <c r="AH96" s="187">
        <v>67</v>
      </c>
      <c r="AI96" s="173" t="str">
        <f t="shared" si="288"/>
        <v>3L</v>
      </c>
      <c r="AJ96" s="42">
        <v>3</v>
      </c>
      <c r="AK96" s="581" t="e" cm="1" vm="46">
        <f t="array" aca="1" ref="AK96" ca="1">Ver_flag_visit</f>
        <v>#VALUE!</v>
      </c>
      <c r="AL96" s="37" t="str">
        <f ca="1">IFERROR(INDEX($BD$6:$BD$53,MATCH(AI96,$BN$6:$BN$53,0)),"")</f>
        <v>Croacia</v>
      </c>
      <c r="AM96" s="38">
        <f t="shared" ca="1" si="287"/>
        <v>3</v>
      </c>
      <c r="AN96" s="39">
        <f t="shared" ca="1" si="287"/>
        <v>2</v>
      </c>
      <c r="AO96" s="39">
        <f t="shared" ca="1" si="287"/>
        <v>1</v>
      </c>
      <c r="AP96" s="39">
        <f t="shared" ca="1" si="287"/>
        <v>0</v>
      </c>
      <c r="AQ96" s="39">
        <f t="shared" ca="1" si="287"/>
        <v>1</v>
      </c>
      <c r="AR96" s="39">
        <f t="shared" ca="1" si="287"/>
        <v>3</v>
      </c>
      <c r="AS96" s="39">
        <f t="shared" ca="1" si="287"/>
        <v>4</v>
      </c>
      <c r="AT96" s="43">
        <f t="shared" ca="1" si="287"/>
        <v>-1</v>
      </c>
      <c r="AU96" s="316">
        <f ca="1">INDEX($DL$6:$DL$53,MATCH(AI96,$DP$6:$DP$53,0))</f>
        <v>1</v>
      </c>
      <c r="AV96" s="174" t="str">
        <f ca="1">INDEX($BD$6:$BD$53,MATCH(AI96,$BM$6:$BM$53,0))</f>
        <v>Croacia</v>
      </c>
      <c r="AW96" s="202"/>
      <c r="AX96" s="163"/>
      <c r="AY96" s="193" t="str">
        <f ca="1">+A95</f>
        <v>Ghana</v>
      </c>
      <c r="AZ96" s="194"/>
      <c r="BA96" s="168"/>
    </row>
    <row r="97" spans="1:62" ht="16" customHeight="1" thickBot="1">
      <c r="A97" s="16"/>
      <c r="B97" s="16"/>
      <c r="C97" s="16"/>
      <c r="D97" s="16" t="str">
        <f t="shared" si="271"/>
        <v>Pendiente</v>
      </c>
      <c r="E97" s="16" t="str">
        <f t="shared" si="272"/>
        <v>-</v>
      </c>
      <c r="F97" s="16" t="str">
        <f t="shared" si="273"/>
        <v>-</v>
      </c>
      <c r="G97" s="16"/>
      <c r="H97" s="16" t="str">
        <f t="shared" si="274"/>
        <v>-</v>
      </c>
      <c r="I97" s="16" t="str">
        <f t="shared" si="275"/>
        <v>-</v>
      </c>
      <c r="J97" s="16"/>
      <c r="K97" s="16" t="str">
        <f t="shared" si="276"/>
        <v>-</v>
      </c>
      <c r="L97" s="16" t="str">
        <f t="shared" si="277"/>
        <v>-</v>
      </c>
      <c r="M97" s="16"/>
      <c r="N97" s="16" t="str">
        <f t="shared" si="278"/>
        <v>-</v>
      </c>
      <c r="O97" s="16" t="str">
        <f t="shared" si="279"/>
        <v>-</v>
      </c>
      <c r="P97" s="16"/>
      <c r="Q97" s="16" t="str">
        <f t="shared" si="280"/>
        <v>-</v>
      </c>
      <c r="R97" s="16" t="str">
        <f t="shared" si="281"/>
        <v>-</v>
      </c>
      <c r="S97" s="16"/>
      <c r="T97" s="16" t="str">
        <f t="shared" si="282"/>
        <v>-</v>
      </c>
      <c r="U97" s="16" t="str">
        <f t="shared" si="283"/>
        <v>-</v>
      </c>
      <c r="V97" s="17"/>
      <c r="W97" s="628"/>
      <c r="X97" s="28">
        <f ca="1">Horarios!C97</f>
        <v>46200.958333333336</v>
      </c>
      <c r="Y97" s="29">
        <f ca="1">Horarios!C97</f>
        <v>46200.958333333336</v>
      </c>
      <c r="Z97" s="30" t="str">
        <f>$Z$8</f>
        <v>J3</v>
      </c>
      <c r="AA97" s="31" t="str">
        <f ca="1">A94</f>
        <v>Croacia</v>
      </c>
      <c r="AB97" s="52" t="e" cm="1" vm="46">
        <f t="array" aca="1" ref="AB97" ca="1">Ver_flag_local</f>
        <v>#VALUE!</v>
      </c>
      <c r="AC97" s="50"/>
      <c r="AD97" s="51"/>
      <c r="AE97" s="575" t="e" cm="1" vm="47">
        <f t="array" aca="1" ref="AE97" ca="1">Ver_flag_visit</f>
        <v>#VALUE!</v>
      </c>
      <c r="AF97" s="33" t="str">
        <f ca="1">A95</f>
        <v>Ghana</v>
      </c>
      <c r="AG97" s="309">
        <f t="shared" si="284"/>
        <v>0</v>
      </c>
      <c r="AH97" s="187">
        <v>68</v>
      </c>
      <c r="AI97" s="173" t="str">
        <f t="shared" si="288"/>
        <v>4L</v>
      </c>
      <c r="AJ97" s="44">
        <v>4</v>
      </c>
      <c r="AK97" s="583" t="e" cm="1" vm="48">
        <f t="array" aca="1" ref="AK97" ca="1">Ver_flag_visit</f>
        <v>#VALUE!</v>
      </c>
      <c r="AL97" s="45" t="str">
        <f ca="1">IFERROR(INDEX($BD$6:$BD$53,MATCH(AI97,$BN$6:$BN$53,0)),"")</f>
        <v>Panamá</v>
      </c>
      <c r="AM97" s="46">
        <f t="shared" ca="1" si="287"/>
        <v>0</v>
      </c>
      <c r="AN97" s="47">
        <f t="shared" ca="1" si="287"/>
        <v>2</v>
      </c>
      <c r="AO97" s="47">
        <f t="shared" ca="1" si="287"/>
        <v>0</v>
      </c>
      <c r="AP97" s="47">
        <f t="shared" ca="1" si="287"/>
        <v>0</v>
      </c>
      <c r="AQ97" s="47">
        <f t="shared" ca="1" si="287"/>
        <v>2</v>
      </c>
      <c r="AR97" s="47">
        <f t="shared" ca="1" si="287"/>
        <v>0</v>
      </c>
      <c r="AS97" s="47">
        <f t="shared" ca="1" si="287"/>
        <v>2</v>
      </c>
      <c r="AT97" s="48">
        <f t="shared" ca="1" si="287"/>
        <v>-2</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
      </c>
      <c r="AW100" s="143"/>
      <c r="AX100" s="143"/>
      <c r="AY100" s="146"/>
      <c r="AZ100" s="147"/>
      <c r="BA100" s="168"/>
    </row>
    <row r="101" spans="1:62" ht="16" customHeight="1" thickBot="1">
      <c r="A101" s="16" t="s">
        <v>658</v>
      </c>
      <c r="B101" s="16" t="s">
        <v>661</v>
      </c>
      <c r="C101" s="16"/>
      <c r="D101" s="16" t="str">
        <f t="shared" ref="D101:D116" si="289">IF(AND(OR(AC101="",AD101="")),"W"&amp;AH101,IF(AC101&gt;AD101,AA101,IF(AC101&lt;AD101,AF101,IF(AND(AC101=AD101,AB101=AE101),"W"&amp;AH101,IF(AND(AC101=AD101,OR(AB101="",AE101="")),"W"&amp;AH101,IF(AND(AC101=AD101,AB101&gt;AE101),AA101,AF101))))))</f>
        <v>W73</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3" t="s">
        <v>493</v>
      </c>
      <c r="X101" s="24">
        <f ca="1">Horarios!C101</f>
        <v>46201.875</v>
      </c>
      <c r="Y101" s="25">
        <f ca="1">Horarios!C101</f>
        <v>46201.875</v>
      </c>
      <c r="Z101" s="266">
        <f>AH101</f>
        <v>73</v>
      </c>
      <c r="AA101" s="86" t="str">
        <f t="shared" ref="AA101:AA116" ca="1" si="292">+INDEX($M$101:$M$147,MATCH(AH101,$J$101:$J$147,0))</f>
        <v>Sudáfrica</v>
      </c>
      <c r="AB101" s="87"/>
      <c r="AC101" s="50"/>
      <c r="AD101" s="51"/>
      <c r="AE101" s="88"/>
      <c r="AF101" s="89" t="str">
        <f t="shared" ref="AF101:AF116" ca="1" si="293">+INDEX($N$101:$N$147,MATCH(AH101,$J$101:$J$147,0))</f>
        <v>Canadá</v>
      </c>
      <c r="AG101" s="313">
        <f t="shared" ref="AG101:AG116" si="294">IF(D101="W"&amp;AH101,0,1)</f>
        <v>0</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0</v>
      </c>
      <c r="AV101" s="180"/>
      <c r="AW101" s="206"/>
      <c r="AX101" s="206"/>
      <c r="AY101" s="321" t="str">
        <f ca="1">+IF(OR($H$113&gt;=48,$AJ$99=144),Idiomas!D68,"")</f>
        <v xml:space="preserve">Grupos mejores 3ºs: </v>
      </c>
      <c r="AZ101" s="322" t="str">
        <f ca="1">+IF(OR($H$113&gt;=48,$AJ$99=144),BI112,"")</f>
        <v>ABDEFGIL</v>
      </c>
      <c r="BA101" s="168"/>
    </row>
    <row r="102" spans="1:62" ht="16" customHeight="1">
      <c r="A102" s="16" t="s">
        <v>673</v>
      </c>
      <c r="B102" s="16" t="s">
        <v>734</v>
      </c>
      <c r="C102" s="16"/>
      <c r="D102" s="16" t="str">
        <f t="shared" si="289"/>
        <v>W76</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33"/>
      <c r="X102" s="24">
        <f ca="1">Horarios!C102</f>
        <v>46202.791666666664</v>
      </c>
      <c r="Y102" s="25">
        <f ca="1">Horarios!C102</f>
        <v>46202.791666666664</v>
      </c>
      <c r="Z102" s="266">
        <f t="shared" ref="Z102:Z116" si="296">AH102</f>
        <v>76</v>
      </c>
      <c r="AA102" s="86" t="str">
        <f t="shared" ca="1" si="292"/>
        <v>Brasil</v>
      </c>
      <c r="AB102" s="87"/>
      <c r="AC102" s="50"/>
      <c r="AD102" s="51"/>
      <c r="AE102" s="87"/>
      <c r="AF102" s="89" t="str">
        <f t="shared" ca="1" si="293"/>
        <v>Japón</v>
      </c>
      <c r="AG102" s="313">
        <f t="shared" si="294"/>
        <v>0</v>
      </c>
      <c r="AH102" s="187">
        <v>76</v>
      </c>
      <c r="AI102" s="174">
        <v>1</v>
      </c>
      <c r="AJ102" s="78">
        <v>1</v>
      </c>
      <c r="AK102" s="584" t="e" cm="1" vm="23">
        <f t="array" aca="1" ref="AK102" ca="1">Ver_flag_visit</f>
        <v>#VALUE!</v>
      </c>
      <c r="AL102" s="79" t="str">
        <f t="shared" ref="AL102:AL113" ca="1" si="297">+IF($H$113&gt;=48,INDEX($BD$58:$BD$69,MATCH(AI102,$BN$58:$BN$69,0)),BB58)</f>
        <v>Suecia</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7</v>
      </c>
      <c r="AS102" s="81">
        <f t="shared" ca="1" si="298"/>
        <v>7</v>
      </c>
      <c r="AT102" s="82">
        <f t="shared" ca="1" si="298"/>
        <v>0</v>
      </c>
      <c r="AU102" s="316" t="str">
        <f t="shared" ref="AU102:AU113" ca="1" si="299">IF($H$113=144,INDEX($DL$58:$DL$69,MATCH(AI102,$DP$58:$DP$69,0)),"")</f>
        <v/>
      </c>
      <c r="AV102" s="174" t="str">
        <f t="shared" ref="AV102:AV113" ca="1" si="300">INDEX($BD$58:$BD$69,MATCH(AI102,$BM$58:$BM$69,0))</f>
        <v>Suecia</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3"/>
      <c r="X103" s="24">
        <f ca="1">Horarios!C103</f>
        <v>46202.9375</v>
      </c>
      <c r="Y103" s="25">
        <f ca="1">Horarios!C103</f>
        <v>46202.9375</v>
      </c>
      <c r="Z103" s="266">
        <f t="shared" si="296"/>
        <v>74</v>
      </c>
      <c r="AA103" s="86" t="str">
        <f t="shared" ca="1" si="292"/>
        <v>Alemania</v>
      </c>
      <c r="AB103" s="87"/>
      <c r="AC103" s="50"/>
      <c r="AD103" s="51"/>
      <c r="AE103" s="87"/>
      <c r="AF103" s="89" t="str">
        <f t="shared" ca="1" si="293"/>
        <v>3ABCDF</v>
      </c>
      <c r="AG103" s="313">
        <f t="shared" si="294"/>
        <v>0</v>
      </c>
      <c r="AH103" s="187">
        <v>74</v>
      </c>
      <c r="AI103" s="174">
        <v>2</v>
      </c>
      <c r="AJ103" s="42">
        <v>2</v>
      </c>
      <c r="AK103" s="581" t="e" cm="1" vm="20">
        <f t="array" aca="1" ref="AK103" ca="1">Ver_flag_visit</f>
        <v>#VALUE!</v>
      </c>
      <c r="AL103" s="83" t="str">
        <f t="shared" ca="1" si="297"/>
        <v>Ecuador</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2</v>
      </c>
      <c r="AS103" s="84">
        <f t="shared" ca="1" si="302"/>
        <v>2</v>
      </c>
      <c r="AT103" s="85">
        <f t="shared" ca="1" si="302"/>
        <v>0</v>
      </c>
      <c r="AU103" s="316" t="str">
        <f t="shared" ca="1" si="299"/>
        <v/>
      </c>
      <c r="AV103" s="174" t="str">
        <f t="shared" ca="1" si="300"/>
        <v>Ecuador</v>
      </c>
      <c r="AW103" s="207"/>
      <c r="AX103" s="162"/>
      <c r="AY103" s="263"/>
      <c r="AZ103" s="265" t="str">
        <f t="shared" ref="AZ103:AZ110" ca="1" si="303">+IF(OR($H$113&gt;=48,$AJ$99=144),BF117&amp;" - "&amp;BG117,"")</f>
        <v>1A - 3E</v>
      </c>
      <c r="BA103" s="168"/>
      <c r="BF103" t="str">
        <f t="shared" ref="BF103:BF110" ca="1" si="304">IFERROR(INDEX($BC$6:$BC$53,MATCH(AL102,$BD$6:$BD$53,0)),"")</f>
        <v>F</v>
      </c>
      <c r="BG103">
        <f t="shared" ref="BG103:BG110" ca="1" si="305">COUNTIF($BF$103:$BF$110,"&lt;="&amp;BF103)</f>
        <v>5</v>
      </c>
      <c r="BI103">
        <v>1</v>
      </c>
      <c r="BJ103" t="str">
        <f t="shared" ref="BJ103:BJ110" ca="1" si="306">IFERROR(INDEX($BF$103:$BF$110,MATCH(BI103,$BG$103:$BG$110,0)),"Grupo")</f>
        <v>A</v>
      </c>
    </row>
    <row r="104" spans="1:62" ht="16" customHeight="1">
      <c r="A104" s="16" t="s">
        <v>663</v>
      </c>
      <c r="B104" s="16" t="s">
        <v>677</v>
      </c>
      <c r="C104" s="16"/>
      <c r="D104" s="16" t="str">
        <f t="shared" si="289"/>
        <v>W75</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3"/>
      <c r="X104" s="24">
        <f ca="1">Horarios!C104</f>
        <v>46203.125</v>
      </c>
      <c r="Y104" s="25">
        <f ca="1">Horarios!C104</f>
        <v>46203.125</v>
      </c>
      <c r="Z104" s="266">
        <f t="shared" si="296"/>
        <v>75</v>
      </c>
      <c r="AA104" s="86" t="str">
        <f t="shared" ca="1" si="292"/>
        <v>Países Bajos</v>
      </c>
      <c r="AB104" s="87"/>
      <c r="AC104" s="50"/>
      <c r="AD104" s="51"/>
      <c r="AE104" s="87"/>
      <c r="AF104" s="89" t="str">
        <f t="shared" ca="1" si="293"/>
        <v>Marruecos</v>
      </c>
      <c r="AG104" s="313">
        <f t="shared" si="294"/>
        <v>0</v>
      </c>
      <c r="AH104" s="187">
        <v>75</v>
      </c>
      <c r="AI104" s="174">
        <v>3</v>
      </c>
      <c r="AJ104" s="42">
        <v>3</v>
      </c>
      <c r="AK104" s="581" t="e" cm="1" vm="6">
        <f t="array" aca="1" ref="AK104" ca="1">Ver_flag_visit</f>
        <v>#VALUE!</v>
      </c>
      <c r="AL104" s="83" t="str">
        <f t="shared" ca="1" si="297"/>
        <v>Bosnia y Herzegovina</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5</v>
      </c>
      <c r="AS104" s="84">
        <f t="shared" ca="1" si="307"/>
        <v>6</v>
      </c>
      <c r="AT104" s="85">
        <f t="shared" ca="1" si="307"/>
        <v>-1</v>
      </c>
      <c r="AU104" s="316" t="str">
        <f t="shared" ca="1" si="299"/>
        <v/>
      </c>
      <c r="AV104" s="174" t="str">
        <f t="shared" ca="1" si="300"/>
        <v>Bosnia y Herzegovina</v>
      </c>
      <c r="AW104" s="207"/>
      <c r="AX104" s="162"/>
      <c r="AY104" s="263"/>
      <c r="AZ104" s="265" t="str">
        <f t="shared" ca="1" si="303"/>
        <v>1B - 3G</v>
      </c>
      <c r="BA104" s="168"/>
      <c r="BF104" t="str">
        <f t="shared" ca="1" si="304"/>
        <v>E</v>
      </c>
      <c r="BG104">
        <f t="shared" ca="1" si="305"/>
        <v>4</v>
      </c>
      <c r="BI104">
        <v>2</v>
      </c>
      <c r="BJ104" t="str">
        <f t="shared" ca="1" si="306"/>
        <v>B</v>
      </c>
    </row>
    <row r="105" spans="1:62" ht="16" customHeight="1">
      <c r="A105" s="16" t="s">
        <v>685</v>
      </c>
      <c r="B105" s="16" t="s">
        <v>735</v>
      </c>
      <c r="C105" s="16"/>
      <c r="D105" s="16" t="str">
        <f t="shared" si="289"/>
        <v>W78</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33"/>
      <c r="X105" s="24">
        <f ca="1">Horarios!C105</f>
        <v>46203.791666666664</v>
      </c>
      <c r="Y105" s="25">
        <f ca="1">Horarios!C105</f>
        <v>46203.791666666664</v>
      </c>
      <c r="Z105" s="266">
        <f t="shared" si="296"/>
        <v>78</v>
      </c>
      <c r="AA105" s="86" t="str">
        <f t="shared" ca="1" si="292"/>
        <v>Costa de Marfil</v>
      </c>
      <c r="AB105" s="87"/>
      <c r="AC105" s="50"/>
      <c r="AD105" s="51"/>
      <c r="AE105" s="87"/>
      <c r="AF105" s="89" t="str">
        <f t="shared" ca="1" si="293"/>
        <v>Noruega</v>
      </c>
      <c r="AG105" s="313">
        <f t="shared" si="294"/>
        <v>0</v>
      </c>
      <c r="AH105" s="187">
        <v>78</v>
      </c>
      <c r="AI105" s="174">
        <v>4</v>
      </c>
      <c r="AJ105" s="42">
        <v>4</v>
      </c>
      <c r="AK105" s="581" t="e" cm="1" vm="14">
        <f t="array" aca="1" ref="AK105" ca="1">Ver_flag_visit</f>
        <v>#VALUE!</v>
      </c>
      <c r="AL105" s="83" t="str">
        <f t="shared" ca="1" si="297"/>
        <v>Paraguay</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2</v>
      </c>
      <c r="AS105" s="84">
        <f t="shared" ca="1" si="308"/>
        <v>4</v>
      </c>
      <c r="AT105" s="85">
        <f t="shared" ca="1" si="308"/>
        <v>-2</v>
      </c>
      <c r="AU105" s="316" t="str">
        <f t="shared" ca="1" si="299"/>
        <v/>
      </c>
      <c r="AV105" s="174" t="str">
        <f t="shared" ca="1" si="300"/>
        <v>Paraguay</v>
      </c>
      <c r="AW105" s="207"/>
      <c r="AX105" s="162"/>
      <c r="AY105" s="263"/>
      <c r="AZ105" s="265" t="str">
        <f t="shared" ca="1" si="303"/>
        <v>1D - 3B</v>
      </c>
      <c r="BA105" s="168"/>
      <c r="BF105" t="str">
        <f t="shared" ca="1" si="304"/>
        <v>B</v>
      </c>
      <c r="BG105">
        <f t="shared" ca="1" si="305"/>
        <v>2</v>
      </c>
      <c r="BI105">
        <v>3</v>
      </c>
      <c r="BJ105" t="str">
        <f t="shared" ca="1" si="306"/>
        <v>D</v>
      </c>
    </row>
    <row r="106" spans="1:62" ht="16" customHeight="1">
      <c r="A106" s="16" t="s">
        <v>674</v>
      </c>
      <c r="B106" s="16" t="s">
        <v>686</v>
      </c>
      <c r="C106" s="16"/>
      <c r="D106" s="16" t="str">
        <f t="shared" si="289"/>
        <v>W77</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3"/>
      <c r="X106" s="24">
        <f ca="1">Horarios!C106</f>
        <v>46203.958333333336</v>
      </c>
      <c r="Y106" s="25">
        <f ca="1">Horarios!C106</f>
        <v>46203.958333333336</v>
      </c>
      <c r="Z106" s="266">
        <f t="shared" si="296"/>
        <v>77</v>
      </c>
      <c r="AA106" s="86" t="str">
        <f t="shared" ca="1" si="292"/>
        <v>Francia</v>
      </c>
      <c r="AB106" s="87"/>
      <c r="AC106" s="50"/>
      <c r="AD106" s="51"/>
      <c r="AE106" s="87"/>
      <c r="AF106" s="89" t="str">
        <f t="shared" ca="1" si="293"/>
        <v>3CDFGH</v>
      </c>
      <c r="AG106" s="313">
        <f t="shared" si="294"/>
        <v>0</v>
      </c>
      <c r="AH106" s="187">
        <v>77</v>
      </c>
      <c r="AI106" s="174">
        <v>5</v>
      </c>
      <c r="AJ106" s="42">
        <v>5</v>
      </c>
      <c r="AK106" s="581" t="e" cm="1" vm="34">
        <f t="array" aca="1" ref="AK106" ca="1">Ver_flag_visit</f>
        <v>#VALUE!</v>
      </c>
      <c r="AL106" s="83" t="str">
        <f t="shared" ca="1" si="297"/>
        <v>Senegal</v>
      </c>
      <c r="AM106" s="568">
        <f t="shared" ca="1" si="301"/>
        <v>3</v>
      </c>
      <c r="AN106" s="84">
        <f t="shared" ref="AN106:AT106" ca="1" si="309">+IF($H$113&gt;=48,INDEX($BE$58:$BN$69,MATCH($AL106,$BD$58:$BD$69,0),MATCH(AN$5,$BE$57:$BN$57,0)),$BB62)</f>
        <v>3</v>
      </c>
      <c r="AO106" s="84">
        <f t="shared" ca="1" si="309"/>
        <v>1</v>
      </c>
      <c r="AP106" s="84">
        <f t="shared" ca="1" si="309"/>
        <v>0</v>
      </c>
      <c r="AQ106" s="84">
        <f t="shared" ca="1" si="309"/>
        <v>2</v>
      </c>
      <c r="AR106" s="84">
        <f t="shared" ca="1" si="309"/>
        <v>8</v>
      </c>
      <c r="AS106" s="84">
        <f t="shared" ca="1" si="309"/>
        <v>6</v>
      </c>
      <c r="AT106" s="85">
        <f t="shared" ca="1" si="309"/>
        <v>2</v>
      </c>
      <c r="AU106" s="316" t="str">
        <f t="shared" ca="1" si="299"/>
        <v/>
      </c>
      <c r="AV106" s="174" t="str">
        <f t="shared" ca="1" si="300"/>
        <v>Senegal</v>
      </c>
      <c r="AW106" s="207"/>
      <c r="AX106" s="162"/>
      <c r="AY106" s="263"/>
      <c r="AZ106" s="265" t="str">
        <f t="shared" ca="1" si="303"/>
        <v>1E - 3D</v>
      </c>
      <c r="BA106" s="168"/>
      <c r="BF106" t="str">
        <f t="shared" ca="1" si="304"/>
        <v>D</v>
      </c>
      <c r="BG106">
        <f t="shared" ca="1" si="305"/>
        <v>3</v>
      </c>
      <c r="BI106">
        <v>4</v>
      </c>
      <c r="BJ106" t="str">
        <f t="shared" ca="1" si="306"/>
        <v>E</v>
      </c>
    </row>
    <row r="107" spans="1:62" ht="16" customHeight="1">
      <c r="A107" s="16" t="s">
        <v>657</v>
      </c>
      <c r="B107" s="16" t="s">
        <v>736</v>
      </c>
      <c r="C107" s="16"/>
      <c r="D107" s="16" t="str">
        <f t="shared" si="289"/>
        <v>W79</v>
      </c>
      <c r="E107" s="16" t="s">
        <v>0</v>
      </c>
      <c r="F107" s="16" t="s">
        <v>733</v>
      </c>
      <c r="G107" s="16" t="s">
        <v>6</v>
      </c>
      <c r="H107" s="16">
        <f t="shared" ca="1" si="290"/>
        <v>12</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33"/>
      <c r="X107" s="24">
        <f ca="1">Horarios!C107</f>
        <v>46204.125</v>
      </c>
      <c r="Y107" s="25">
        <f ca="1">Horarios!C107</f>
        <v>46204.125</v>
      </c>
      <c r="Z107" s="266">
        <f t="shared" si="296"/>
        <v>79</v>
      </c>
      <c r="AA107" s="86" t="str">
        <f t="shared" ca="1" si="292"/>
        <v>México</v>
      </c>
      <c r="AB107" s="87"/>
      <c r="AC107" s="50"/>
      <c r="AD107" s="51"/>
      <c r="AE107" s="87"/>
      <c r="AF107" s="89" t="str">
        <f t="shared" ca="1" si="293"/>
        <v>3CEFHI</v>
      </c>
      <c r="AG107" s="313">
        <f t="shared" si="294"/>
        <v>0</v>
      </c>
      <c r="AH107" s="187">
        <v>79</v>
      </c>
      <c r="AI107" s="174">
        <v>6</v>
      </c>
      <c r="AJ107" s="42">
        <v>6</v>
      </c>
      <c r="AK107" s="581" t="e" cm="1" vm="27">
        <f t="array" aca="1" ref="AK107" ca="1">Ver_flag_visit</f>
        <v>#VALUE!</v>
      </c>
      <c r="AL107" s="83" t="str">
        <f t="shared" ca="1" si="297"/>
        <v>Irán</v>
      </c>
      <c r="AM107" s="568">
        <f t="shared" ca="1" si="301"/>
        <v>3</v>
      </c>
      <c r="AN107" s="84">
        <f t="shared" ref="AN107:AT107" ca="1" si="310">+IF($H$113&gt;=48,INDEX($BE$58:$BN$69,MATCH($AL107,$BD$58:$BD$69,0),MATCH(AN$5,$BE$57:$BN$57,0)),$BB63)</f>
        <v>3</v>
      </c>
      <c r="AO107" s="84">
        <f t="shared" ca="1" si="310"/>
        <v>0</v>
      </c>
      <c r="AP107" s="84">
        <f t="shared" ca="1" si="310"/>
        <v>3</v>
      </c>
      <c r="AQ107" s="84">
        <f t="shared" ca="1" si="310"/>
        <v>0</v>
      </c>
      <c r="AR107" s="84">
        <f t="shared" ca="1" si="310"/>
        <v>3</v>
      </c>
      <c r="AS107" s="84">
        <f t="shared" ca="1" si="310"/>
        <v>3</v>
      </c>
      <c r="AT107" s="85">
        <f t="shared" ca="1" si="310"/>
        <v>0</v>
      </c>
      <c r="AU107" s="316" t="str">
        <f t="shared" ca="1" si="299"/>
        <v/>
      </c>
      <c r="AV107" s="174" t="str">
        <f ca="1">INDEX($BD$58:$BD$69,MATCH(AI107,$BM$58:$BM$69,0))</f>
        <v>Irán</v>
      </c>
      <c r="AW107" s="207"/>
      <c r="AX107" s="162"/>
      <c r="AY107" s="263"/>
      <c r="AZ107" s="265" t="str">
        <f t="shared" ca="1" si="303"/>
        <v>1G - 3A</v>
      </c>
      <c r="BA107" s="168"/>
      <c r="BF107" t="str">
        <f t="shared" ca="1" si="304"/>
        <v>I</v>
      </c>
      <c r="BG107">
        <f t="shared" ca="1" si="305"/>
        <v>7</v>
      </c>
      <c r="BI107">
        <v>5</v>
      </c>
      <c r="BJ107" t="str">
        <f t="shared" ca="1" si="306"/>
        <v>F</v>
      </c>
    </row>
    <row r="108" spans="1:62" ht="16" customHeight="1">
      <c r="A108" s="16" t="s">
        <v>694</v>
      </c>
      <c r="B108" s="16" t="s">
        <v>737</v>
      </c>
      <c r="C108" s="16"/>
      <c r="D108" s="16" t="str">
        <f t="shared" si="289"/>
        <v>W80</v>
      </c>
      <c r="E108" s="16" t="s">
        <v>247</v>
      </c>
      <c r="F108" s="16" t="s">
        <v>733</v>
      </c>
      <c r="G108" s="16" t="s">
        <v>447</v>
      </c>
      <c r="H108" s="16">
        <f t="shared" ca="1" si="290"/>
        <v>12</v>
      </c>
      <c r="I108" s="16"/>
      <c r="J108" s="16">
        <v>80</v>
      </c>
      <c r="K108" s="16">
        <v>46204.75</v>
      </c>
      <c r="L108" s="16" t="s">
        <v>704</v>
      </c>
      <c r="M108" s="16" t="str">
        <f t="shared" ca="1" si="291"/>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33"/>
      <c r="X108" s="24">
        <f ca="1">Horarios!C108</f>
        <v>46204.75</v>
      </c>
      <c r="Y108" s="25">
        <f ca="1">Horarios!C108</f>
        <v>46204.75</v>
      </c>
      <c r="Z108" s="266">
        <f t="shared" si="296"/>
        <v>80</v>
      </c>
      <c r="AA108" s="86" t="str">
        <f t="shared" ca="1" si="292"/>
        <v>1L</v>
      </c>
      <c r="AB108" s="87"/>
      <c r="AC108" s="50"/>
      <c r="AD108" s="51"/>
      <c r="AE108" s="87"/>
      <c r="AF108" s="89" t="str">
        <f t="shared" ca="1" si="293"/>
        <v>3EHIJK</v>
      </c>
      <c r="AG108" s="313">
        <f t="shared" si="294"/>
        <v>0</v>
      </c>
      <c r="AH108" s="187">
        <v>80</v>
      </c>
      <c r="AI108" s="174">
        <v>7</v>
      </c>
      <c r="AJ108" s="42">
        <v>7</v>
      </c>
      <c r="AK108" s="581" t="e" cm="1" vm="46">
        <f t="array" aca="1" ref="AK108" ca="1">Ver_flag_visit</f>
        <v>#VALUE!</v>
      </c>
      <c r="AL108" s="83" t="str">
        <f t="shared" ca="1" si="297"/>
        <v>Croacia</v>
      </c>
      <c r="AM108" s="568">
        <f t="shared" ca="1" si="301"/>
        <v>3</v>
      </c>
      <c r="AN108" s="84">
        <f t="shared" ref="AN108:AT108" ca="1" si="311">+IF($H$113&gt;=48,INDEX($BE$58:$BN$69,MATCH($AL108,$BD$58:$BD$69,0),MATCH(AN$5,$BE$57:$BN$57,0)),$BB64)</f>
        <v>2</v>
      </c>
      <c r="AO108" s="84">
        <f t="shared" ca="1" si="311"/>
        <v>1</v>
      </c>
      <c r="AP108" s="84">
        <f t="shared" ca="1" si="311"/>
        <v>0</v>
      </c>
      <c r="AQ108" s="84">
        <f t="shared" ca="1" si="311"/>
        <v>1</v>
      </c>
      <c r="AR108" s="84">
        <f t="shared" ca="1" si="311"/>
        <v>3</v>
      </c>
      <c r="AS108" s="84">
        <f t="shared" ca="1" si="311"/>
        <v>4</v>
      </c>
      <c r="AT108" s="85">
        <f t="shared" ca="1" si="311"/>
        <v>-1</v>
      </c>
      <c r="AU108" s="316" t="str">
        <f t="shared" ca="1" si="299"/>
        <v/>
      </c>
      <c r="AV108" s="174" t="str">
        <f t="shared" ca="1" si="300"/>
        <v>Croacia</v>
      </c>
      <c r="AW108" s="207"/>
      <c r="AX108" s="162"/>
      <c r="AY108" s="263"/>
      <c r="AZ108" s="265" t="str">
        <f t="shared" ca="1" si="303"/>
        <v>1I - 3F</v>
      </c>
      <c r="BA108" s="168"/>
      <c r="BF108" t="str">
        <f t="shared" ca="1" si="304"/>
        <v>G</v>
      </c>
      <c r="BG108">
        <f t="shared" ca="1" si="305"/>
        <v>6</v>
      </c>
      <c r="BI108">
        <v>6</v>
      </c>
      <c r="BJ108" t="str">
        <f t="shared" ca="1" si="306"/>
        <v>G</v>
      </c>
    </row>
    <row r="109" spans="1:62" ht="16" customHeight="1">
      <c r="A109" s="16" t="s">
        <v>670</v>
      </c>
      <c r="B109" s="16" t="s">
        <v>738</v>
      </c>
      <c r="C109" s="16"/>
      <c r="D109" s="16" t="str">
        <f t="shared" si="289"/>
        <v>W82</v>
      </c>
      <c r="E109" s="16" t="s">
        <v>74</v>
      </c>
      <c r="F109" s="16" t="s">
        <v>733</v>
      </c>
      <c r="G109" s="16" t="s">
        <v>448</v>
      </c>
      <c r="H109" s="16">
        <f t="shared" ca="1" si="290"/>
        <v>12</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33"/>
      <c r="X109" s="24">
        <f ca="1">Horarios!C109</f>
        <v>46204.916666666664</v>
      </c>
      <c r="Y109" s="25">
        <f ca="1">Horarios!C109</f>
        <v>46204.916666666664</v>
      </c>
      <c r="Z109" s="266">
        <f t="shared" si="296"/>
        <v>82</v>
      </c>
      <c r="AA109" s="86" t="str">
        <f t="shared" ca="1" si="292"/>
        <v>Bélgica</v>
      </c>
      <c r="AB109" s="87"/>
      <c r="AC109" s="50"/>
      <c r="AD109" s="51"/>
      <c r="AE109" s="87"/>
      <c r="AF109" s="89" t="str">
        <f t="shared" ca="1" si="293"/>
        <v>3AEHIJ</v>
      </c>
      <c r="AG109" s="313">
        <f t="shared" si="294"/>
        <v>0</v>
      </c>
      <c r="AH109" s="187">
        <v>82</v>
      </c>
      <c r="AI109" s="174">
        <v>8</v>
      </c>
      <c r="AJ109" s="42">
        <v>8</v>
      </c>
      <c r="AK109" s="581" t="e" cm="1" vm="3">
        <f t="array" aca="1" ref="AK109" ca="1">Ver_flag_visit</f>
        <v>#VALUE!</v>
      </c>
      <c r="AL109" s="83" t="str">
        <f t="shared" ca="1" si="297"/>
        <v>Corea del Sur</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2</v>
      </c>
      <c r="AS109" s="84">
        <f t="shared" ca="1" si="312"/>
        <v>3</v>
      </c>
      <c r="AT109" s="85">
        <f t="shared" ca="1" si="312"/>
        <v>-1</v>
      </c>
      <c r="AU109" s="316" t="str">
        <f t="shared" ca="1" si="299"/>
        <v/>
      </c>
      <c r="AV109" s="174" t="str">
        <f t="shared" ca="1" si="300"/>
        <v>Corea del Sur</v>
      </c>
      <c r="AW109" s="207"/>
      <c r="AX109" s="162"/>
      <c r="AY109" s="263"/>
      <c r="AZ109" s="265" t="str">
        <f t="shared" ca="1" si="303"/>
        <v>1K - 3L</v>
      </c>
      <c r="BA109" s="168"/>
      <c r="BF109" t="str">
        <f t="shared" ca="1" si="304"/>
        <v>L</v>
      </c>
      <c r="BG109">
        <f t="shared" ca="1" si="305"/>
        <v>8</v>
      </c>
      <c r="BI109">
        <v>7</v>
      </c>
      <c r="BJ109" t="str">
        <f t="shared" ca="1" si="306"/>
        <v>I</v>
      </c>
    </row>
    <row r="110" spans="1:62" ht="16" customHeight="1">
      <c r="A110" s="16" t="s">
        <v>679</v>
      </c>
      <c r="B110" s="16" t="s">
        <v>739</v>
      </c>
      <c r="C110" s="16"/>
      <c r="D110" s="16" t="str">
        <f t="shared" si="289"/>
        <v>W81</v>
      </c>
      <c r="E110" s="16" t="s">
        <v>6</v>
      </c>
      <c r="F110" s="16" t="s">
        <v>733</v>
      </c>
      <c r="G110" s="16" t="s">
        <v>5</v>
      </c>
      <c r="H110" s="16">
        <f t="shared" ca="1" si="290"/>
        <v>8</v>
      </c>
      <c r="I110" s="16"/>
      <c r="J110" s="16">
        <v>82</v>
      </c>
      <c r="K110" s="16">
        <v>46204.75</v>
      </c>
      <c r="L110" s="16" t="s">
        <v>706</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33"/>
      <c r="X110" s="24">
        <f ca="1">Horarios!C110</f>
        <v>46205.083333333336</v>
      </c>
      <c r="Y110" s="25">
        <f ca="1">Horarios!C110</f>
        <v>46205.083333333336</v>
      </c>
      <c r="Z110" s="266">
        <f t="shared" si="296"/>
        <v>81</v>
      </c>
      <c r="AA110" s="86" t="str">
        <f t="shared" ca="1" si="292"/>
        <v>Estados Unidos</v>
      </c>
      <c r="AB110" s="87"/>
      <c r="AC110" s="50"/>
      <c r="AD110" s="51"/>
      <c r="AE110" s="87"/>
      <c r="AF110" s="89" t="str">
        <f t="shared" ca="1" si="293"/>
        <v>3BEFIJ</v>
      </c>
      <c r="AG110" s="313">
        <f t="shared" si="294"/>
        <v>0</v>
      </c>
      <c r="AH110" s="187">
        <v>81</v>
      </c>
      <c r="AI110" s="174">
        <v>9</v>
      </c>
      <c r="AJ110" s="42">
        <v>9</v>
      </c>
      <c r="AK110" s="581" t="e" cm="1" vm="38">
        <f t="array" aca="1" ref="AK110" ca="1">Ver_flag_visit</f>
        <v>#VALUE!</v>
      </c>
      <c r="AL110" s="83" t="str">
        <f t="shared" ca="1" si="297"/>
        <v>Argelia</v>
      </c>
      <c r="AM110" s="568">
        <f t="shared" ca="1" si="301"/>
        <v>3</v>
      </c>
      <c r="AN110" s="84">
        <f t="shared" ref="AN110:AT110" ca="1" si="313">+IF($H$113&gt;=48,INDEX($BE$58:$BN$69,MATCH($AL110,$BD$58:$BD$69,0),MATCH(AN$5,$BE$57:$BN$57,0)),$BB66)</f>
        <v>2</v>
      </c>
      <c r="AO110" s="84">
        <f t="shared" ca="1" si="313"/>
        <v>1</v>
      </c>
      <c r="AP110" s="84">
        <f t="shared" ca="1" si="313"/>
        <v>0</v>
      </c>
      <c r="AQ110" s="84">
        <f t="shared" ca="1" si="313"/>
        <v>1</v>
      </c>
      <c r="AR110" s="84">
        <f t="shared" ca="1" si="313"/>
        <v>2</v>
      </c>
      <c r="AS110" s="84">
        <f t="shared" ca="1" si="313"/>
        <v>4</v>
      </c>
      <c r="AT110" s="85">
        <f t="shared" ca="1" si="313"/>
        <v>-2</v>
      </c>
      <c r="AU110" s="316" t="str">
        <f t="shared" ca="1" si="299"/>
        <v/>
      </c>
      <c r="AV110" s="174" t="str">
        <f t="shared" ca="1" si="300"/>
        <v>Argelia</v>
      </c>
      <c r="AW110" s="207"/>
      <c r="AX110" s="162"/>
      <c r="AY110" s="263"/>
      <c r="AZ110" s="265" t="str">
        <f t="shared" ca="1" si="303"/>
        <v>1L - 3I</v>
      </c>
      <c r="BA110" s="168"/>
      <c r="BF110" t="str">
        <f t="shared" ca="1" si="304"/>
        <v>A</v>
      </c>
      <c r="BG110">
        <f t="shared" ca="1" si="305"/>
        <v>1</v>
      </c>
      <c r="BI110">
        <v>8</v>
      </c>
      <c r="BJ110" t="str">
        <f t="shared" ca="1" si="306"/>
        <v>L</v>
      </c>
    </row>
    <row r="111" spans="1:62" ht="16" customHeight="1">
      <c r="A111" s="16" t="s">
        <v>692</v>
      </c>
      <c r="B111" s="16" t="s">
        <v>695</v>
      </c>
      <c r="C111" s="16"/>
      <c r="D111" s="16" t="str">
        <f t="shared" si="289"/>
        <v>W84</v>
      </c>
      <c r="E111" s="16" t="s">
        <v>449</v>
      </c>
      <c r="F111" s="16" t="s">
        <v>247</v>
      </c>
      <c r="G111" s="16" t="s">
        <v>449</v>
      </c>
      <c r="H111" s="16">
        <f t="shared" ca="1" si="290"/>
        <v>8</v>
      </c>
      <c r="I111" s="16"/>
      <c r="J111" s="16">
        <v>83</v>
      </c>
      <c r="K111" s="16">
        <v>46205.75</v>
      </c>
      <c r="L111" s="16" t="s">
        <v>707</v>
      </c>
      <c r="M111" s="16" t="str">
        <f t="shared" ca="1" si="291"/>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33"/>
      <c r="X111" s="24">
        <f ca="1">Horarios!C111</f>
        <v>46205.875</v>
      </c>
      <c r="Y111" s="25">
        <f ca="1">Horarios!C111</f>
        <v>46205.875</v>
      </c>
      <c r="Z111" s="266">
        <f t="shared" si="296"/>
        <v>84</v>
      </c>
      <c r="AA111" s="86" t="str">
        <f t="shared" ca="1" si="292"/>
        <v>España</v>
      </c>
      <c r="AB111" s="87"/>
      <c r="AC111" s="50"/>
      <c r="AD111" s="51"/>
      <c r="AE111" s="87"/>
      <c r="AF111" s="89" t="str">
        <f t="shared" ca="1" si="293"/>
        <v>2J</v>
      </c>
      <c r="AG111" s="313">
        <f t="shared" si="294"/>
        <v>0</v>
      </c>
      <c r="AH111" s="187">
        <v>84</v>
      </c>
      <c r="AI111" s="174">
        <v>10</v>
      </c>
      <c r="AJ111" s="42">
        <v>10</v>
      </c>
      <c r="AK111" s="581" t="e" cm="1" vm="12">
        <f t="array" aca="1" ref="AK111" ca="1">Ver_flag_visit</f>
        <v>#VALUE!</v>
      </c>
      <c r="AL111" s="83" t="str">
        <f t="shared" ca="1" si="297"/>
        <v>Escocia</v>
      </c>
      <c r="AM111" s="568">
        <f t="shared" ca="1" si="301"/>
        <v>3</v>
      </c>
      <c r="AN111" s="84">
        <f t="shared" ref="AN111:AT111" ca="1" si="314">+IF($H$113&gt;=48,INDEX($BE$58:$BN$69,MATCH($AL111,$BD$58:$BD$69,0),MATCH(AN$5,$BE$57:$BN$57,0)),$BB67)</f>
        <v>3</v>
      </c>
      <c r="AO111" s="84">
        <f t="shared" ca="1" si="314"/>
        <v>1</v>
      </c>
      <c r="AP111" s="84">
        <f t="shared" ca="1" si="314"/>
        <v>0</v>
      </c>
      <c r="AQ111" s="84">
        <f t="shared" ca="1" si="314"/>
        <v>2</v>
      </c>
      <c r="AR111" s="84">
        <f t="shared" ca="1" si="314"/>
        <v>1</v>
      </c>
      <c r="AS111" s="84">
        <f t="shared" ca="1" si="314"/>
        <v>4</v>
      </c>
      <c r="AT111" s="85">
        <f t="shared" ca="1" si="314"/>
        <v>-3</v>
      </c>
      <c r="AU111" s="316" t="str">
        <f t="shared" ca="1" si="299"/>
        <v/>
      </c>
      <c r="AV111" s="174" t="str">
        <f t="shared" ca="1" si="300"/>
        <v>Escocia</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8</v>
      </c>
      <c r="I112" s="16"/>
      <c r="J112" s="16">
        <v>84</v>
      </c>
      <c r="K112" s="16">
        <v>46205.75</v>
      </c>
      <c r="L112" s="16" t="s">
        <v>708</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33"/>
      <c r="X112" s="24">
        <f ca="1">Horarios!C112</f>
        <v>46206.041666666664</v>
      </c>
      <c r="Y112" s="25">
        <f ca="1">Horarios!C112</f>
        <v>46206.041666666664</v>
      </c>
      <c r="Z112" s="266">
        <f t="shared" si="296"/>
        <v>83</v>
      </c>
      <c r="AA112" s="86" t="str">
        <f t="shared" ca="1" si="292"/>
        <v>2K</v>
      </c>
      <c r="AB112" s="87"/>
      <c r="AC112" s="50"/>
      <c r="AD112" s="51"/>
      <c r="AE112" s="87"/>
      <c r="AF112" s="89" t="str">
        <f t="shared" ca="1" si="293"/>
        <v>2L</v>
      </c>
      <c r="AG112" s="313">
        <f t="shared" si="294"/>
        <v>0</v>
      </c>
      <c r="AH112" s="187">
        <v>83</v>
      </c>
      <c r="AI112" s="174">
        <v>11</v>
      </c>
      <c r="AJ112" s="42">
        <v>11</v>
      </c>
      <c r="AK112" s="581" t="e" cm="1" vm="32">
        <f t="array" aca="1" ref="AK112" ca="1">Ver_flag_visit</f>
        <v>#VALUE!</v>
      </c>
      <c r="AL112" s="83" t="str">
        <f t="shared" ca="1" si="297"/>
        <v>Uruguay</v>
      </c>
      <c r="AM112" s="568">
        <f t="shared" ca="1" si="301"/>
        <v>2</v>
      </c>
      <c r="AN112" s="84">
        <f t="shared" ref="AN112:AT112" ca="1" si="315">+IF($H$113&gt;=48,INDEX($BE$58:$BN$69,MATCH($AL112,$BD$58:$BD$69,0),MATCH(AN$5,$BE$57:$BN$57,0)),$BB68)</f>
        <v>3</v>
      </c>
      <c r="AO112" s="84">
        <f t="shared" ca="1" si="315"/>
        <v>0</v>
      </c>
      <c r="AP112" s="84">
        <f t="shared" ca="1" si="315"/>
        <v>2</v>
      </c>
      <c r="AQ112" s="84">
        <f t="shared" ca="1" si="315"/>
        <v>1</v>
      </c>
      <c r="AR112" s="84">
        <f t="shared" ca="1" si="315"/>
        <v>3</v>
      </c>
      <c r="AS112" s="84">
        <f t="shared" ca="1" si="315"/>
        <v>4</v>
      </c>
      <c r="AT112" s="85">
        <f t="shared" ca="1" si="315"/>
        <v>-1</v>
      </c>
      <c r="AU112" s="316" t="str">
        <f t="shared" ca="1" si="299"/>
        <v/>
      </c>
      <c r="AV112" s="174" t="str">
        <f t="shared" ca="1" si="300"/>
        <v>Uruguay</v>
      </c>
      <c r="AW112" s="207"/>
      <c r="AX112" s="162"/>
      <c r="AY112" s="262"/>
      <c r="AZ112" s="262"/>
      <c r="BA112" s="168"/>
      <c r="BI112" t="str">
        <f ca="1">IFERROR(CONCATENATE(BJ103,BJ104,BJ105,BJ106,BJ107,BJ108,BJ109,BJ110),"¿A/B/C/D/E/F/G/H/I/J/K/L?")</f>
        <v>ABDEFGIL</v>
      </c>
    </row>
    <row r="113" spans="1:59" ht="16" customHeight="1" thickBot="1">
      <c r="A113" s="16" t="s">
        <v>660</v>
      </c>
      <c r="B113" s="16" t="s">
        <v>740</v>
      </c>
      <c r="C113" s="16"/>
      <c r="D113" s="16" t="str">
        <f t="shared" si="289"/>
        <v>W85</v>
      </c>
      <c r="E113" s="16" t="s">
        <v>1</v>
      </c>
      <c r="F113" s="16" t="s">
        <v>733</v>
      </c>
      <c r="G113" s="16" t="s">
        <v>733</v>
      </c>
      <c r="H113" s="16">
        <f ca="1">+IF($AJ$99&lt;&gt;144,SUM(H101:H112),$AJ$99)</f>
        <v>132</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33"/>
      <c r="X113" s="24">
        <f ca="1">Horarios!C113</f>
        <v>46206.208333333336</v>
      </c>
      <c r="Y113" s="25">
        <f ca="1">Horarios!C113</f>
        <v>46206.208333333336</v>
      </c>
      <c r="Z113" s="266">
        <f t="shared" si="296"/>
        <v>85</v>
      </c>
      <c r="AA113" s="86" t="str">
        <f t="shared" ca="1" si="292"/>
        <v>Suiza</v>
      </c>
      <c r="AB113" s="87"/>
      <c r="AC113" s="50"/>
      <c r="AD113" s="51"/>
      <c r="AE113" s="88"/>
      <c r="AF113" s="89" t="str">
        <f t="shared" ca="1" si="293"/>
        <v>3EFGIJ</v>
      </c>
      <c r="AG113" s="313">
        <f t="shared" si="294"/>
        <v>0</v>
      </c>
      <c r="AH113" s="187">
        <v>85</v>
      </c>
      <c r="AI113" s="174">
        <v>12</v>
      </c>
      <c r="AJ113" s="44">
        <v>12</v>
      </c>
      <c r="AK113" s="583" t="e" cm="1" vm="42">
        <f t="array" aca="1" ref="AK113" ca="1">Ver_flag_visit</f>
        <v>#VALUE!</v>
      </c>
      <c r="AL113" s="45" t="str">
        <f t="shared" ca="1" si="297"/>
        <v>RD Congo</v>
      </c>
      <c r="AM113" s="569">
        <f t="shared" ca="1" si="301"/>
        <v>1</v>
      </c>
      <c r="AN113" s="47">
        <f t="shared" ref="AN113:AT113" ca="1" si="316">+IF($H$113&gt;=48,INDEX($BE$58:$BN$69,MATCH($AL113,$BD$58:$BD$69,0),MATCH(AN$5,$BE$57:$BN$57,0)),$BB69)</f>
        <v>2</v>
      </c>
      <c r="AO113" s="47">
        <f t="shared" ca="1" si="316"/>
        <v>0</v>
      </c>
      <c r="AP113" s="47">
        <f t="shared" ca="1" si="316"/>
        <v>1</v>
      </c>
      <c r="AQ113" s="47">
        <f t="shared" ca="1" si="316"/>
        <v>1</v>
      </c>
      <c r="AR113" s="47">
        <f t="shared" ca="1" si="316"/>
        <v>1</v>
      </c>
      <c r="AS113" s="47">
        <f t="shared" ca="1" si="316"/>
        <v>2</v>
      </c>
      <c r="AT113" s="48">
        <f t="shared" ca="1" si="316"/>
        <v>-1</v>
      </c>
      <c r="AU113" s="316" t="str">
        <f t="shared" ca="1" si="299"/>
        <v/>
      </c>
      <c r="AV113" s="174" t="str">
        <f t="shared" ca="1" si="300"/>
        <v>RD Congo</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33"/>
      <c r="X114" s="24">
        <f ca="1">Horarios!C114</f>
        <v>46206.833333333336</v>
      </c>
      <c r="Y114" s="25">
        <f ca="1">Horarios!C114</f>
        <v>46206.833333333336</v>
      </c>
      <c r="Z114" s="266">
        <f t="shared" si="296"/>
        <v>88</v>
      </c>
      <c r="AA114" s="86" t="str">
        <f t="shared" ca="1" si="292"/>
        <v>Australia</v>
      </c>
      <c r="AB114" s="87"/>
      <c r="AC114" s="50"/>
      <c r="AD114" s="51"/>
      <c r="AE114" s="87"/>
      <c r="AF114" s="89" t="str">
        <f t="shared" ca="1" si="293"/>
        <v>Egipto</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33"/>
      <c r="X115" s="24">
        <f ca="1">Horarios!C115</f>
        <v>46207</v>
      </c>
      <c r="Y115" s="25">
        <f ca="1">Horarios!C115</f>
        <v>46207</v>
      </c>
      <c r="Z115" s="266">
        <f t="shared" si="296"/>
        <v>86</v>
      </c>
      <c r="AA115" s="86" t="str">
        <f t="shared" ca="1" si="292"/>
        <v>1J</v>
      </c>
      <c r="AB115" s="87"/>
      <c r="AC115" s="50"/>
      <c r="AD115" s="51"/>
      <c r="AE115" s="87"/>
      <c r="AF115" s="89" t="str">
        <f t="shared" ca="1" si="293"/>
        <v>Cabo Verde</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4"/>
      <c r="X116" s="28">
        <f ca="1">Horarios!C116</f>
        <v>46207.145833333336</v>
      </c>
      <c r="Y116" s="29">
        <f ca="1">Horarios!C116</f>
        <v>46207.145833333336</v>
      </c>
      <c r="Z116" s="267">
        <f t="shared" si="296"/>
        <v>87</v>
      </c>
      <c r="AA116" s="90" t="str">
        <f t="shared" ca="1" si="292"/>
        <v>1K</v>
      </c>
      <c r="AB116" s="91"/>
      <c r="AC116" s="50"/>
      <c r="AD116" s="51"/>
      <c r="AE116" s="91"/>
      <c r="AF116" s="92" t="str">
        <f t="shared" ca="1" si="293"/>
        <v>3DEIJL</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3G</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35" t="s">
        <v>89</v>
      </c>
      <c r="X120" s="24">
        <f ca="1">Horarios!C120</f>
        <v>46207.791666666664</v>
      </c>
      <c r="Y120" s="25">
        <f ca="1">Horarios!C120</f>
        <v>46207.791666666664</v>
      </c>
      <c r="Z120" s="266">
        <f t="shared" ref="Z120:Z127" si="319">AH120</f>
        <v>90</v>
      </c>
      <c r="AA120" s="86" t="str">
        <f t="shared" ref="AA120:AA127" si="320">+INDEX($M$101:$M$147,MATCH(AH120,$J$101:$J$147,0))</f>
        <v>W73</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si="318"/>
        <v>W73</v>
      </c>
      <c r="N121" s="16" t="str">
        <f t="shared" si="318"/>
        <v>W75</v>
      </c>
      <c r="O121" s="16"/>
      <c r="P121" s="16"/>
      <c r="Q121" s="16"/>
      <c r="R121" s="16"/>
      <c r="S121" s="16"/>
      <c r="T121" s="16"/>
      <c r="U121" s="16"/>
      <c r="V121" s="17"/>
      <c r="W121" s="635"/>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3A</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35"/>
      <c r="X122" s="24">
        <f ca="1">Horarios!C122</f>
        <v>46208.916666666664</v>
      </c>
      <c r="Y122" s="25">
        <f ca="1">Horarios!C122</f>
        <v>46208.916666666664</v>
      </c>
      <c r="Z122" s="266">
        <f t="shared" si="319"/>
        <v>91</v>
      </c>
      <c r="AA122" s="86" t="str">
        <f t="shared" si="320"/>
        <v>W76</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35"/>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35"/>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3I</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35"/>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35"/>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36"/>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37"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37"/>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37"/>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38"/>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39"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40"/>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48" t="str">
        <f>IF(SUM(COUNTIF(AG4:AG97,0),COUNTIF(AG101:AG156,0)&gt;0),AL148,AL149)</f>
        <v>PORRA INCOMPLETA:</v>
      </c>
      <c r="AK151" s="649"/>
      <c r="AL151" s="649"/>
      <c r="AM151" s="649"/>
      <c r="AN151" s="649"/>
      <c r="AO151" s="649"/>
      <c r="AP151" s="649"/>
      <c r="AQ151" s="649"/>
      <c r="AR151" s="649"/>
      <c r="AS151" s="649"/>
      <c r="AT151" s="649"/>
      <c r="AU151" s="650"/>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51"/>
      <c r="AK152" s="652"/>
      <c r="AL152" s="652"/>
      <c r="AM152" s="652"/>
      <c r="AN152" s="652"/>
      <c r="AO152" s="652"/>
      <c r="AP152" s="652"/>
      <c r="AQ152" s="652"/>
      <c r="AR152" s="652"/>
      <c r="AS152" s="652"/>
      <c r="AT152" s="652"/>
      <c r="AU152" s="653"/>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51"/>
      <c r="AK153" s="652"/>
      <c r="AL153" s="652"/>
      <c r="AM153" s="652"/>
      <c r="AN153" s="652"/>
      <c r="AO153" s="652"/>
      <c r="AP153" s="652"/>
      <c r="AQ153" s="652"/>
      <c r="AR153" s="652"/>
      <c r="AS153" s="652"/>
      <c r="AT153" s="652"/>
      <c r="AU153" s="653"/>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51"/>
      <c r="AK154" s="652"/>
      <c r="AL154" s="652"/>
      <c r="AM154" s="652"/>
      <c r="AN154" s="652"/>
      <c r="AO154" s="652"/>
      <c r="AP154" s="652"/>
      <c r="AQ154" s="652"/>
      <c r="AR154" s="652"/>
      <c r="AS154" s="652"/>
      <c r="AT154" s="652"/>
      <c r="AU154" s="653"/>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15" t="str">
        <f>IF(SUM(COUNTIF(AG4:AG97,0),COUNTIF(AG101:AG156,0)&gt;0),AM148,AM149)</f>
        <v>Aún falta alguna apuesta</v>
      </c>
      <c r="AK155" s="616"/>
      <c r="AL155" s="616"/>
      <c r="AM155" s="616"/>
      <c r="AN155" s="616"/>
      <c r="AO155" s="616"/>
      <c r="AP155" s="616"/>
      <c r="AQ155" s="616"/>
      <c r="AR155" s="616"/>
      <c r="AS155" s="616"/>
      <c r="AT155" s="616"/>
      <c r="AU155" s="617"/>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15"/>
      <c r="AK156" s="616"/>
      <c r="AL156" s="616"/>
      <c r="AM156" s="616"/>
      <c r="AN156" s="616"/>
      <c r="AO156" s="616"/>
      <c r="AP156" s="616"/>
      <c r="AQ156" s="616"/>
      <c r="AR156" s="616"/>
      <c r="AS156" s="616"/>
      <c r="AT156" s="616"/>
      <c r="AU156" s="617"/>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18"/>
      <c r="AK157" s="619"/>
      <c r="AL157" s="619"/>
      <c r="AM157" s="619"/>
      <c r="AN157" s="619"/>
      <c r="AO157" s="619"/>
      <c r="AP157" s="619"/>
      <c r="AQ157" s="619"/>
      <c r="AR157" s="619"/>
      <c r="AS157" s="619"/>
      <c r="AT157" s="619"/>
      <c r="AU157" s="620"/>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zoomScale="55" workbookViewId="0">
      <selection activeCell="D17" sqref="D17"/>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1</v>
      </c>
      <c r="E42" s="7">
        <f>WORLDCUP!AD56</f>
        <v>1</v>
      </c>
      <c r="H42" s="7">
        <f>IF(AND(NOT(ISBLANK(WORLDCUP!AC56)),NOT(ISBLANK(WORLDCUP!AD56))),1,0)</f>
        <v>1</v>
      </c>
      <c r="J42" s="613">
        <f ca="1">WORLDCUP!X56</f>
        <v>46200.208333333336</v>
      </c>
      <c r="K42" s="614">
        <f ca="1">WORLDCUP!Y56</f>
        <v>46200.208333333336</v>
      </c>
    </row>
    <row r="43" spans="1:11">
      <c r="A43" s="7">
        <v>42</v>
      </c>
      <c r="B43" s="611" t="str">
        <f ca="1">WORLDCUP!AA57</f>
        <v>Nueva Zelanda</v>
      </c>
      <c r="C43" t="str">
        <f ca="1">WORLDCUP!AF57</f>
        <v>Bélgica</v>
      </c>
      <c r="D43" s="7">
        <f>WORLDCUP!AC57</f>
        <v>1</v>
      </c>
      <c r="E43" s="7">
        <f>WORLDCUP!AD57</f>
        <v>5</v>
      </c>
      <c r="H43" s="7">
        <f>IF(AND(NOT(ISBLANK(WORLDCUP!AC57)),NOT(ISBLANK(WORLDCUP!AD57))),1,0)</f>
        <v>1</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1</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1</v>
      </c>
      <c r="H49" s="7">
        <f>IF(AND(NOT(ISBLANK(WORLDCUP!AC65)),NOT(ISBLANK(WORLDCUP!AD65))),1,0)</f>
        <v>1</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1</v>
      </c>
      <c r="E54" s="7">
        <f>WORLDCUP!AD72</f>
        <v>4</v>
      </c>
      <c r="H54" s="7">
        <f>IF(AND(NOT(ISBLANK(WORLDCUP!AC72)),NOT(ISBLANK(WORLDCUP!AD72))),1,0)</f>
        <v>1</v>
      </c>
      <c r="J54" s="613">
        <f ca="1">WORLDCUP!X72</f>
        <v>46199.875</v>
      </c>
      <c r="K54" s="614">
        <f ca="1">WORLDCUP!Y72</f>
        <v>46199.875</v>
      </c>
    </row>
    <row r="55" spans="1:11">
      <c r="A55" s="7">
        <v>54</v>
      </c>
      <c r="B55" s="611" t="str">
        <f ca="1">WORLDCUP!AA73</f>
        <v>Senegal</v>
      </c>
      <c r="C55" t="str">
        <f ca="1">WORLDCUP!AF73</f>
        <v>Irak</v>
      </c>
      <c r="D55" s="7">
        <f>WORLDCUP!AC73</f>
        <v>5</v>
      </c>
      <c r="E55" s="7">
        <f>WORLDCUP!AD73</f>
        <v>0</v>
      </c>
      <c r="H55" s="7">
        <f>IF(AND(NOT(ISBLANK(WORLDCUP!AC73)),NOT(ISBLANK(WORLDCUP!AD73))),1,0)</f>
        <v>1</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0</v>
      </c>
      <c r="E60" s="7">
        <f>WORLDCUP!AD80</f>
        <v>0</v>
      </c>
      <c r="H60" s="7">
        <f>IF(AND(NOT(ISBLANK(WORLDCUP!AC80)),NOT(ISBLANK(WORLDCUP!AD80))),1,0)</f>
        <v>0</v>
      </c>
      <c r="J60" s="613">
        <f ca="1">WORLDCUP!X80</f>
        <v>46201.166666666664</v>
      </c>
      <c r="K60" s="614">
        <f ca="1">WORLDCUP!Y80</f>
        <v>46201.166666666664</v>
      </c>
    </row>
    <row r="61" spans="1:11">
      <c r="A61" s="7">
        <v>60</v>
      </c>
      <c r="B61" s="611" t="str">
        <f ca="1">WORLDCUP!AA81</f>
        <v>Jordania</v>
      </c>
      <c r="C61" t="str">
        <f ca="1">WORLDCUP!AF81</f>
        <v>Argentina</v>
      </c>
      <c r="D61" s="7">
        <f>WORLDCUP!AC81</f>
        <v>0</v>
      </c>
      <c r="E61" s="7">
        <f>WORLDCUP!AD81</f>
        <v>0</v>
      </c>
      <c r="H61" s="7">
        <f>IF(AND(NOT(ISBLANK(WORLDCUP!AC81)),NOT(ISBLANK(WORLDCUP!AD81))),1,0)</f>
        <v>0</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0</v>
      </c>
      <c r="J66" s="613">
        <f ca="1">WORLDCUP!X88</f>
        <v>46201.0625</v>
      </c>
      <c r="K66" s="614">
        <f ca="1">WORLDCUP!Y88</f>
        <v>46201.0625</v>
      </c>
    </row>
    <row r="67" spans="1:11">
      <c r="A67" s="7">
        <v>66</v>
      </c>
      <c r="B67" s="611" t="str">
        <f ca="1">WORLDCUP!AA89</f>
        <v>RD Congo</v>
      </c>
      <c r="C67" t="str">
        <f ca="1">WORLDCUP!AF89</f>
        <v>Uzbekistán</v>
      </c>
      <c r="D67" s="7">
        <f>WORLDCUP!AC89</f>
        <v>0</v>
      </c>
      <c r="E67" s="7">
        <f>WORLDCUP!AD89</f>
        <v>0</v>
      </c>
      <c r="H67" s="7">
        <f>IF(AND(NOT(ISBLANK(WORLDCUP!AC89)),NOT(ISBLANK(WORLDCUP!AD89))),1,0)</f>
        <v>0</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0</v>
      </c>
      <c r="H72" s="7">
        <f>IF(AND(NOT(ISBLANK(WORLDCUP!AC96)),NOT(ISBLANK(WORLDCUP!AD96))),1,0)</f>
        <v>0</v>
      </c>
      <c r="J72" s="613">
        <f ca="1">WORLDCUP!X96</f>
        <v>46200.958333333336</v>
      </c>
      <c r="K72" s="614">
        <f ca="1">WORLDCUP!Y96</f>
        <v>46200.958333333336</v>
      </c>
    </row>
    <row r="73" spans="1:11">
      <c r="A73" s="7">
        <v>72</v>
      </c>
      <c r="B73" s="611" t="str">
        <f ca="1">WORLDCUP!AA97</f>
        <v>Croacia</v>
      </c>
      <c r="C73" t="str">
        <f ca="1">WORLDCUP!AF97</f>
        <v>Ghana</v>
      </c>
      <c r="D73" s="7">
        <f>WORLDCUP!AC97</f>
        <v>0</v>
      </c>
      <c r="E73" s="7">
        <f>WORLDCUP!AD97</f>
        <v>0</v>
      </c>
      <c r="H73" s="7">
        <f>IF(AND(NOT(ISBLANK(WORLDCUP!AC97)),NOT(ISBLANK(WORLDCUP!AD97))),1,0)</f>
        <v>0</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0</v>
      </c>
      <c r="H74" s="7">
        <f>IF(AND(NOT(ISBLANK(WORLDCUP!AC101)),NOT(ISBLANK(WORLDCUP!AD101))),1,0)</f>
        <v>0</v>
      </c>
      <c r="J74" s="613">
        <f ca="1">WORLDCUP!X101</f>
        <v>46201.875</v>
      </c>
      <c r="K74" s="614">
        <f ca="1">WORLDCUP!Y101</f>
        <v>46201.875</v>
      </c>
    </row>
    <row r="75" spans="1:11">
      <c r="A75" s="7">
        <v>74</v>
      </c>
      <c r="B75" s="611" t="str">
        <f ca="1">WORLDCUP!AA102</f>
        <v>Brasil</v>
      </c>
      <c r="C75" t="str">
        <f ca="1">WORLDCUP!AF102</f>
        <v>Japón</v>
      </c>
      <c r="D75" s="7">
        <f>WORLDCUP!AC102</f>
        <v>0</v>
      </c>
      <c r="E75" s="7">
        <f>WORLDCUP!AD102</f>
        <v>0</v>
      </c>
      <c r="H75" s="7">
        <f>IF(AND(NOT(ISBLANK(WORLDCUP!AC102)),NOT(ISBLANK(WORLDCUP!AD102))),1,0)</f>
        <v>0</v>
      </c>
      <c r="J75" s="613">
        <f ca="1">WORLDCUP!X102</f>
        <v>46202.791666666664</v>
      </c>
      <c r="K75" s="614">
        <f ca="1">WORLDCUP!Y102</f>
        <v>46202.791666666664</v>
      </c>
    </row>
    <row r="76" spans="1:11">
      <c r="A76" s="7">
        <v>75</v>
      </c>
      <c r="B76" s="611" t="str">
        <f ca="1">WORLDCUP!AA103</f>
        <v>Alemania</v>
      </c>
      <c r="C76" t="str">
        <f ca="1">WORLDCUP!AF103</f>
        <v>3ABCDF</v>
      </c>
      <c r="D76" s="7">
        <f>WORLDCUP!AC103</f>
        <v>0</v>
      </c>
      <c r="E76" s="7">
        <f>WORLDCUP!AD103</f>
        <v>0</v>
      </c>
      <c r="H76" s="7">
        <f>IF(AND(NOT(ISBLANK(WORLDCUP!AC103)),NOT(ISBLANK(WORLDCUP!AD103))),1,0)</f>
        <v>0</v>
      </c>
      <c r="J76" s="613">
        <f ca="1">WORLDCUP!X103</f>
        <v>46202.9375</v>
      </c>
      <c r="K76" s="614">
        <f ca="1">WORLDCUP!Y103</f>
        <v>46202.9375</v>
      </c>
    </row>
    <row r="77" spans="1:11">
      <c r="A77" s="7">
        <v>76</v>
      </c>
      <c r="B77" s="611" t="str">
        <f ca="1">WORLDCUP!AA104</f>
        <v>Países Bajos</v>
      </c>
      <c r="C77" t="str">
        <f ca="1">WORLDCUP!AF104</f>
        <v>Marruecos</v>
      </c>
      <c r="D77" s="7">
        <f>WORLDCUP!AC104</f>
        <v>0</v>
      </c>
      <c r="E77" s="7">
        <f>WORLDCUP!AD104</f>
        <v>0</v>
      </c>
      <c r="H77" s="7">
        <f>IF(AND(NOT(ISBLANK(WORLDCUP!AC104)),NOT(ISBLANK(WORLDCUP!AD104))),1,0)</f>
        <v>0</v>
      </c>
      <c r="J77" s="613">
        <f ca="1">WORLDCUP!X104</f>
        <v>46203.125</v>
      </c>
      <c r="K77" s="614">
        <f ca="1">WORLDCUP!Y104</f>
        <v>46203.125</v>
      </c>
    </row>
    <row r="78" spans="1:11">
      <c r="A78" s="7">
        <v>77</v>
      </c>
      <c r="B78" s="611" t="str">
        <f ca="1">WORLDCUP!AA105</f>
        <v>Costa de Marfil</v>
      </c>
      <c r="C78" t="str">
        <f ca="1">WORLDCUP!AF105</f>
        <v>Noruega</v>
      </c>
      <c r="D78" s="7">
        <f>WORLDCUP!AC105</f>
        <v>0</v>
      </c>
      <c r="E78" s="7">
        <f>WORLDCUP!AD105</f>
        <v>0</v>
      </c>
      <c r="H78" s="7">
        <f>IF(AND(NOT(ISBLANK(WORLDCUP!AC105)),NOT(ISBLANK(WORLDCUP!AD105))),1,0)</f>
        <v>0</v>
      </c>
      <c r="J78" s="613">
        <f ca="1">WORLDCUP!X105</f>
        <v>46203.791666666664</v>
      </c>
      <c r="K78" s="614">
        <f ca="1">WORLDCUP!Y105</f>
        <v>46203.791666666664</v>
      </c>
    </row>
    <row r="79" spans="1:11">
      <c r="A79" s="7">
        <v>78</v>
      </c>
      <c r="B79" s="611" t="str">
        <f ca="1">WORLDCUP!AA106</f>
        <v>Francia</v>
      </c>
      <c r="C79" t="str">
        <f ca="1">WORLDCUP!AF106</f>
        <v>3CDFGH</v>
      </c>
      <c r="D79" s="7">
        <f>WORLDCUP!AC106</f>
        <v>0</v>
      </c>
      <c r="E79" s="7">
        <f>WORLDCUP!AD106</f>
        <v>0</v>
      </c>
      <c r="H79" s="7">
        <f>IF(AND(NOT(ISBLANK(WORLDCUP!AC106)),NOT(ISBLANK(WORLDCUP!AD106))),1,0)</f>
        <v>0</v>
      </c>
      <c r="J79" s="613">
        <f ca="1">WORLDCUP!X106</f>
        <v>46203.958333333336</v>
      </c>
      <c r="K79" s="614">
        <f ca="1">WORLDCUP!Y106</f>
        <v>46203.958333333336</v>
      </c>
    </row>
    <row r="80" spans="1:11">
      <c r="A80" s="7">
        <v>79</v>
      </c>
      <c r="B80" s="611" t="str">
        <f ca="1">WORLDCUP!AA107</f>
        <v>México</v>
      </c>
      <c r="C80" t="str">
        <f ca="1">WORLDCUP!AF107</f>
        <v>3CEFHI</v>
      </c>
      <c r="D80" s="7">
        <f>WORLDCUP!AC107</f>
        <v>0</v>
      </c>
      <c r="E80" s="7">
        <f>WORLDCUP!AD107</f>
        <v>0</v>
      </c>
      <c r="H80" s="7">
        <f>IF(AND(NOT(ISBLANK(WORLDCUP!AC106)),NOT(ISBLANK(WORLDCUP!AD106))),1,0)</f>
        <v>0</v>
      </c>
      <c r="J80" s="613">
        <f ca="1">WORLDCUP!X107</f>
        <v>46204.125</v>
      </c>
      <c r="K80" s="614">
        <f ca="1">WORLDCUP!Y107</f>
        <v>46204.125</v>
      </c>
    </row>
    <row r="81" spans="1:11">
      <c r="A81" s="7">
        <v>80</v>
      </c>
      <c r="B81" s="611" t="str">
        <f ca="1">WORLDCUP!AA108</f>
        <v>1L</v>
      </c>
      <c r="C81" t="str">
        <f ca="1">WORLDCUP!AF108</f>
        <v>3EHIJK</v>
      </c>
      <c r="D81" s="7">
        <f>WORLDCUP!AC108</f>
        <v>0</v>
      </c>
      <c r="E81" s="7">
        <f>WORLDCUP!AD108</f>
        <v>0</v>
      </c>
      <c r="H81" s="7">
        <f>IF(AND(NOT(ISBLANK(WORLDCUP!AC107)),NOT(ISBLANK(WORLDCUP!AD107))),1,0)</f>
        <v>0</v>
      </c>
      <c r="J81" s="613">
        <f ca="1">WORLDCUP!X108</f>
        <v>46204.75</v>
      </c>
      <c r="K81" s="614">
        <f ca="1">WORLDCUP!Y108</f>
        <v>46204.75</v>
      </c>
    </row>
    <row r="82" spans="1:11">
      <c r="A82" s="7">
        <v>81</v>
      </c>
      <c r="B82" s="611" t="str">
        <f ca="1">WORLDCUP!AA109</f>
        <v>Bélgica</v>
      </c>
      <c r="C82" t="str">
        <f ca="1">WORLDCUP!AF109</f>
        <v>3AEHIJ</v>
      </c>
      <c r="D82" s="7">
        <f>WORLDCUP!AC109</f>
        <v>0</v>
      </c>
      <c r="E82" s="7">
        <f>WORLDCUP!AD109</f>
        <v>0</v>
      </c>
      <c r="H82" s="7">
        <f>IF(AND(NOT(ISBLANK(WORLDCUP!AC108)),NOT(ISBLANK(WORLDCUP!AD108))),1,0)</f>
        <v>0</v>
      </c>
      <c r="J82" s="613">
        <f ca="1">WORLDCUP!X109</f>
        <v>46204.916666666664</v>
      </c>
      <c r="K82" s="614">
        <f ca="1">WORLDCUP!Y109</f>
        <v>46204.916666666664</v>
      </c>
    </row>
    <row r="83" spans="1:11">
      <c r="A83" s="7">
        <v>82</v>
      </c>
      <c r="B83" s="611" t="str">
        <f ca="1">WORLDCUP!AA110</f>
        <v>Estados Unidos</v>
      </c>
      <c r="C83" t="str">
        <f ca="1">WORLDCUP!AF110</f>
        <v>3BEFIJ</v>
      </c>
      <c r="D83" s="7">
        <f>WORLDCUP!AC110</f>
        <v>0</v>
      </c>
      <c r="E83" s="7">
        <f>WORLDCUP!AD110</f>
        <v>0</v>
      </c>
      <c r="H83" s="7">
        <f>IF(AND(NOT(ISBLANK(WORLDCUP!AC109)),NOT(ISBLANK(WORLDCUP!AD109))),1,0)</f>
        <v>0</v>
      </c>
      <c r="J83" s="613">
        <f ca="1">WORLDCUP!X110</f>
        <v>46205.083333333336</v>
      </c>
      <c r="K83" s="614">
        <f ca="1">WORLDCUP!Y110</f>
        <v>46205.083333333336</v>
      </c>
    </row>
    <row r="84" spans="1:11">
      <c r="A84" s="7">
        <v>83</v>
      </c>
      <c r="B84" s="611" t="str">
        <f ca="1">WORLDCUP!AA111</f>
        <v>España</v>
      </c>
      <c r="C84" t="str">
        <f ca="1">WORLDCUP!AF111</f>
        <v>2J</v>
      </c>
      <c r="D84" s="7">
        <f>WORLDCUP!AC111</f>
        <v>0</v>
      </c>
      <c r="E84" s="7">
        <f>WORLDCUP!AD111</f>
        <v>0</v>
      </c>
      <c r="H84" s="7">
        <f>IF(AND(NOT(ISBLANK(WORLDCUP!AC110)),NOT(ISBLANK(WORLDCUP!AD110))),1,0)</f>
        <v>0</v>
      </c>
      <c r="J84" s="613">
        <f ca="1">WORLDCUP!X111</f>
        <v>46205.875</v>
      </c>
      <c r="K84" s="614">
        <f ca="1">WORLDCUP!Y111</f>
        <v>46205.875</v>
      </c>
    </row>
    <row r="85" spans="1:11">
      <c r="A85" s="7">
        <v>84</v>
      </c>
      <c r="B85" s="611" t="str">
        <f ca="1">WORLDCUP!AA112</f>
        <v>2K</v>
      </c>
      <c r="C85" t="str">
        <f ca="1">WORLDCUP!AF112</f>
        <v>2L</v>
      </c>
      <c r="D85" s="7">
        <f>WORLDCUP!AC112</f>
        <v>0</v>
      </c>
      <c r="E85" s="7">
        <f>WORLDCUP!AD112</f>
        <v>0</v>
      </c>
      <c r="H85" s="7">
        <f>IF(AND(NOT(ISBLANK(WORLDCUP!AC112)),NOT(ISBLANK(WORLDCUP!AD112))),1,0)</f>
        <v>0</v>
      </c>
      <c r="J85" s="613">
        <f ca="1">WORLDCUP!X112</f>
        <v>46206.041666666664</v>
      </c>
      <c r="K85" s="614">
        <f ca="1">WORLDCUP!Y112</f>
        <v>46206.041666666664</v>
      </c>
    </row>
    <row r="86" spans="1:11">
      <c r="A86" s="7">
        <v>85</v>
      </c>
      <c r="B86" s="611" t="str">
        <f ca="1">WORLDCUP!AA113</f>
        <v>Suiza</v>
      </c>
      <c r="C86" t="str">
        <f ca="1">WORLDCUP!AF113</f>
        <v>3EFGIJ</v>
      </c>
      <c r="D86" s="7">
        <f>WORLDCUP!AC113</f>
        <v>0</v>
      </c>
      <c r="E86" s="7">
        <f>WORLDCUP!AD113</f>
        <v>0</v>
      </c>
      <c r="H86" s="7">
        <f>IF(AND(NOT(ISBLANK(WORLDCUP!AC113)),NOT(ISBLANK(WORLDCUP!AD113))),1,0)</f>
        <v>0</v>
      </c>
      <c r="J86" s="613">
        <f ca="1">WORLDCUP!X113</f>
        <v>46206.208333333336</v>
      </c>
      <c r="K86" s="614">
        <f ca="1">WORLDCUP!Y113</f>
        <v>46206.208333333336</v>
      </c>
    </row>
    <row r="87" spans="1:11">
      <c r="A87" s="7">
        <v>86</v>
      </c>
      <c r="B87" s="611" t="str">
        <f ca="1">WORLDCUP!AA114</f>
        <v>Australia</v>
      </c>
      <c r="C87" t="str">
        <f ca="1">WORLDCUP!AF114</f>
        <v>Egipto</v>
      </c>
      <c r="D87" s="7">
        <f>WORLDCUP!AC114</f>
        <v>0</v>
      </c>
      <c r="E87" s="7">
        <f>WORLDCUP!AD114</f>
        <v>0</v>
      </c>
      <c r="H87" s="7">
        <f>IF(AND(NOT(ISBLANK(WORLDCUP!AC114)),NOT(ISBLANK(WORLDCUP!AD114))),1,0)</f>
        <v>0</v>
      </c>
      <c r="J87" s="613">
        <f ca="1">WORLDCUP!X114</f>
        <v>46206.833333333336</v>
      </c>
      <c r="K87" s="614">
        <f ca="1">WORLDCUP!Y114</f>
        <v>46206.833333333336</v>
      </c>
    </row>
    <row r="88" spans="1:11">
      <c r="A88" s="7">
        <v>87</v>
      </c>
      <c r="B88" s="611" t="str">
        <f ca="1">WORLDCUP!AA115</f>
        <v>1J</v>
      </c>
      <c r="C88" t="str">
        <f ca="1">WORLDCUP!AF115</f>
        <v>Cabo Verde</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1K</v>
      </c>
      <c r="C89" t="str">
        <f ca="1">WORLDCUP!AF116</f>
        <v>3DEIJL</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WORLDCUP!AA120</f>
        <v>W73</v>
      </c>
      <c r="C90" t="str">
        <f>WORLDCUP!AF120</f>
        <v>W75</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WORLDCUP!AA121</f>
        <v>W74</v>
      </c>
      <c r="C91" t="str">
        <f>WORLDCUP!AF121</f>
        <v>W77</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WORLDCUP!AA122</f>
        <v>W76</v>
      </c>
      <c r="C92" t="str">
        <f>WORLDCUP!AF122</f>
        <v>W78</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WORLDCUP!AA123</f>
        <v>W79</v>
      </c>
      <c r="C93" t="str">
        <f>WORLDCUP!AF123</f>
        <v>W80</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WORLDCUP!AA124</f>
        <v>W83</v>
      </c>
      <c r="C94" t="str">
        <f>WORLDCUP!AF124</f>
        <v>W84</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WORLDCUP!AA125</f>
        <v>W81</v>
      </c>
      <c r="C95" t="str">
        <f>WORLDCUP!AF125</f>
        <v>W82</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WORLDCUP!AF126</f>
        <v>W88</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WORLDCUP!AA127</f>
        <v>W85</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Bélgica</v>
      </c>
      <c r="J138" s="613"/>
    </row>
    <row r="139" spans="1:10">
      <c r="A139" s="7">
        <v>1025</v>
      </c>
      <c r="B139" t="s">
        <v>1527</v>
      </c>
      <c r="C139" s="7">
        <v>2</v>
      </c>
      <c r="D139" t="str">
        <f ca="1">WORLDCUP!AL55</f>
        <v>Egipto</v>
      </c>
      <c r="J139" s="613"/>
    </row>
    <row r="140" spans="1:10">
      <c r="A140" s="7">
        <v>1026</v>
      </c>
      <c r="B140" t="s">
        <v>1527</v>
      </c>
      <c r="C140" s="7">
        <v>3</v>
      </c>
      <c r="D140" t="str">
        <f ca="1">WORLDCUP!AL56</f>
        <v>Irán</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Cabo Verde</v>
      </c>
      <c r="J143" s="613"/>
    </row>
    <row r="144" spans="1:10">
      <c r="A144" s="7">
        <v>1030</v>
      </c>
      <c r="B144" t="s">
        <v>1528</v>
      </c>
      <c r="C144" s="7">
        <v>3</v>
      </c>
      <c r="D144" t="str">
        <f ca="1">WORLDCUP!AL64</f>
        <v>Uruguay</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Ghana</v>
      </c>
      <c r="J159" s="613"/>
    </row>
    <row r="160" spans="1:10">
      <c r="A160" s="7">
        <v>1046</v>
      </c>
      <c r="B160" t="s">
        <v>1532</v>
      </c>
      <c r="C160" s="7">
        <v>3</v>
      </c>
      <c r="D160" t="str">
        <f ca="1">WORLDCUP!AL96</f>
        <v>Croacia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4" t="str">
        <f>Idiomas!D106</f>
        <v>EL ADMINISTRADOR DE LA PORRA SEGUIRÁ LAS INSTRUCCIONES DE AQUÍ ABAJO</v>
      </c>
      <c r="F1" s="684"/>
      <c r="G1" s="684"/>
      <c r="H1" s="684"/>
      <c r="I1" s="684"/>
      <c r="J1" s="684"/>
      <c r="K1" s="684"/>
      <c r="L1" s="684"/>
      <c r="M1" s="684"/>
      <c r="N1" s="684"/>
    </row>
    <row r="2" spans="1:14" ht="20" customHeight="1" thickBot="1">
      <c r="A2" s="276"/>
      <c r="B2" s="277"/>
      <c r="C2" s="277"/>
      <c r="D2" s="354"/>
      <c r="E2" s="684"/>
      <c r="F2" s="684"/>
      <c r="G2" s="684"/>
      <c r="H2" s="684"/>
      <c r="I2" s="684"/>
      <c r="J2" s="684"/>
      <c r="K2" s="684"/>
      <c r="L2" s="684"/>
      <c r="M2" s="684"/>
      <c r="N2" s="684"/>
    </row>
    <row r="3" spans="1:14" ht="35" customHeight="1" thickBot="1">
      <c r="A3" s="276"/>
      <c r="B3" s="280" t="str">
        <f>HYPERLINK(Idiomas!D10,Idiomas!D9)</f>
        <v>▼ Descargar Excel Administrador Porra ▼</v>
      </c>
      <c r="C3" s="277"/>
      <c r="D3" s="354"/>
      <c r="E3" s="687" t="str">
        <f>Idiomas!D107</f>
        <v>·Si haceis todo el Mundial de golpe, incluido el predictor, copiar de la C5 a la C258 y pegar valores en la plantilla de Administrador.</v>
      </c>
      <c r="F3" s="687"/>
      <c r="G3" s="687"/>
      <c r="H3" s="687"/>
      <c r="I3" s="687"/>
      <c r="J3" s="687"/>
      <c r="K3" s="687"/>
      <c r="L3" s="687"/>
      <c r="M3" s="687"/>
      <c r="N3" s="688"/>
    </row>
    <row r="4" spans="1:14" ht="45" customHeight="1">
      <c r="A4" s="276"/>
      <c r="B4" s="277"/>
      <c r="C4" s="559" t="str">
        <f>Idiomas!D105</f>
        <v>¡No tocar nada, se rellena solo!</v>
      </c>
      <c r="D4" s="354"/>
      <c r="E4" s="68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6"/>
      <c r="G4" s="686"/>
      <c r="H4" s="686"/>
      <c r="I4" s="686"/>
      <c r="J4" s="686"/>
      <c r="K4" s="686"/>
      <c r="L4" s="686"/>
      <c r="M4" s="686"/>
      <c r="N4" s="363"/>
    </row>
    <row r="5" spans="1:14" ht="19" customHeight="1">
      <c r="A5" s="339"/>
      <c r="B5" s="340" t="str">
        <f>Idiomas!D125</f>
        <v>FASE DE GRUPOS</v>
      </c>
      <c r="C5" s="332" t="str">
        <f>Home!C10</f>
        <v>Nombre</v>
      </c>
      <c r="E5" s="689" t="str">
        <f>Idiomas!D109</f>
        <v>·Si haceis jornada a jornada seguir las instrucciones de cada jornada</v>
      </c>
      <c r="F5" s="689"/>
      <c r="G5" s="689"/>
      <c r="H5" s="689"/>
      <c r="I5" s="689"/>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80" t="str">
        <f>Idiomas!D122</f>
        <v>J1</v>
      </c>
      <c r="E6" s="685" t="str">
        <f>Idiomas!D110</f>
        <v>·Para la primera jornada copiar de la C5 a la C29 y pega valores en la plantilla de administrador. ¡OJO! COPIAR TAMBIÉN de la C253 a la C258.</v>
      </c>
      <c r="F6" s="685"/>
      <c r="G6" s="685"/>
      <c r="H6" s="685"/>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80"/>
      <c r="E7" s="669"/>
      <c r="F7" s="669"/>
      <c r="G7" s="669"/>
      <c r="H7" s="669"/>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80"/>
      <c r="E8" s="669"/>
      <c r="F8" s="669"/>
      <c r="G8" s="669"/>
      <c r="H8" s="669"/>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80"/>
      <c r="E9" s="669"/>
      <c r="F9" s="669"/>
      <c r="G9" s="669"/>
      <c r="H9" s="669"/>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80"/>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80"/>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80"/>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80"/>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80"/>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80"/>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80"/>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80"/>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80"/>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80"/>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80"/>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80"/>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80"/>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80"/>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80"/>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80"/>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80"/>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80"/>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80"/>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81"/>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82" t="str">
        <f>Idiomas!D123</f>
        <v>J2</v>
      </c>
      <c r="E30" s="685" t="str">
        <f>Idiomas!D111</f>
        <v>·Para la segunda jornada copiar de la C30 a la C53 y pega valores en la plantilla de administrador.</v>
      </c>
      <c r="F30" s="685"/>
      <c r="G30" s="685"/>
      <c r="H30" s="685"/>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82"/>
      <c r="E31" s="669"/>
      <c r="F31" s="669"/>
      <c r="G31" s="669"/>
      <c r="H31" s="669"/>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82"/>
      <c r="E32" s="669"/>
      <c r="F32" s="669"/>
      <c r="G32" s="669"/>
      <c r="H32" s="669"/>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82"/>
      <c r="E33" s="669"/>
      <c r="F33" s="669"/>
      <c r="G33" s="669"/>
      <c r="H33" s="669"/>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82"/>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82"/>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82"/>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82"/>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82"/>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82"/>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82"/>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82"/>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82"/>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82"/>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82"/>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82"/>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82"/>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82"/>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82"/>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82"/>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82"/>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82"/>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82"/>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83"/>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76" t="str">
        <f>Idiomas!D124</f>
        <v>J3</v>
      </c>
      <c r="E54" s="685" t="str">
        <f>Idiomas!D112</f>
        <v>·Para la tercera jornada copiar de la C54 a la C161 y pega valores en la plantilla de administrador.</v>
      </c>
      <c r="F54" s="685"/>
      <c r="G54" s="685"/>
      <c r="H54" s="685"/>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76"/>
      <c r="E55" s="669"/>
      <c r="F55" s="669"/>
      <c r="G55" s="669"/>
      <c r="H55" s="669"/>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76"/>
      <c r="E56" s="669"/>
      <c r="F56" s="669"/>
      <c r="G56" s="669"/>
      <c r="H56" s="669"/>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76"/>
      <c r="E57" s="669"/>
      <c r="F57" s="669"/>
      <c r="G57" s="669"/>
      <c r="H57" s="669"/>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76"/>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76"/>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76"/>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76"/>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76"/>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76"/>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76"/>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76"/>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X|1-1</v>
      </c>
      <c r="D66" s="676"/>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2|1-5</v>
      </c>
      <c r="D67" s="676"/>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X|0-0</v>
      </c>
      <c r="D68" s="676"/>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2|0-1</v>
      </c>
      <c r="D69" s="676"/>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2|1-4</v>
      </c>
      <c r="D70" s="676"/>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1|5-0</v>
      </c>
      <c r="D71" s="676"/>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0|-</v>
      </c>
      <c r="D72" s="676"/>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0|-</v>
      </c>
      <c r="D73" s="676"/>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0|-</v>
      </c>
      <c r="D74" s="676"/>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0|-</v>
      </c>
      <c r="D75" s="676"/>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0|-</v>
      </c>
      <c r="D76" s="676"/>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0|-</v>
      </c>
      <c r="D77" s="676"/>
      <c r="E77" s="356"/>
      <c r="F77" s="356"/>
      <c r="G77" s="356"/>
      <c r="H77" s="356"/>
      <c r="I77" s="367"/>
      <c r="J77" s="356"/>
      <c r="K77" s="356"/>
      <c r="L77" s="356"/>
      <c r="M77" s="365"/>
      <c r="N77" s="363"/>
    </row>
    <row r="78" spans="1:14" ht="15" customHeight="1">
      <c r="A78" s="339"/>
      <c r="B78" s="339"/>
      <c r="C78" s="336"/>
      <c r="D78" s="676"/>
      <c r="E78" s="356"/>
      <c r="F78" s="356"/>
      <c r="G78" s="356"/>
      <c r="H78" s="356"/>
      <c r="I78" s="367"/>
      <c r="J78" s="356"/>
      <c r="K78" s="356"/>
      <c r="L78" s="356"/>
      <c r="M78" s="365"/>
      <c r="N78" s="363"/>
    </row>
    <row r="79" spans="1:14" ht="19" customHeight="1">
      <c r="A79" s="339"/>
      <c r="B79" s="344" t="str">
        <f>Idiomas!D126</f>
        <v>POSICIÓN GRUPOS</v>
      </c>
      <c r="C79" s="336"/>
      <c r="D79" s="676"/>
      <c r="E79" s="356"/>
      <c r="F79" s="356"/>
      <c r="G79" s="356"/>
      <c r="H79" s="356"/>
      <c r="I79" s="367"/>
      <c r="J79" s="356"/>
      <c r="K79" s="356"/>
      <c r="L79" s="356"/>
      <c r="M79" s="365"/>
      <c r="N79" s="363"/>
    </row>
    <row r="80" spans="1:14" ht="15" customHeight="1">
      <c r="A80" s="679" t="s">
        <v>0</v>
      </c>
      <c r="B80" s="345" t="str">
        <f>Idiomas!D140</f>
        <v>1º GRUPO A</v>
      </c>
      <c r="C80" s="335" t="str">
        <f ca="1">IF(OR(SUM(WORLDCUP!$AN$6:$AN$9)=12,WORLDCUP!$AJ$99=144),WORLDCUP!AL6,B80)</f>
        <v>México</v>
      </c>
      <c r="D80" s="676"/>
      <c r="E80" s="356"/>
      <c r="F80" s="356"/>
      <c r="G80" s="356"/>
      <c r="H80" s="356"/>
      <c r="I80" s="367"/>
      <c r="J80" s="356"/>
      <c r="K80" s="356"/>
      <c r="L80" s="356"/>
      <c r="M80" s="365"/>
      <c r="N80" s="363"/>
    </row>
    <row r="81" spans="1:14" ht="15" customHeight="1">
      <c r="A81" s="679"/>
      <c r="B81" s="345" t="str">
        <f>Idiomas!D141</f>
        <v>2º GRUPO A</v>
      </c>
      <c r="C81" s="335" t="str">
        <f ca="1">IF(OR(SUM(WORLDCUP!$AN$6:$AN$9)=12,WORLDCUP!$AJ$99=144),WORLDCUP!AL7,B81)</f>
        <v>Sudáfrica</v>
      </c>
      <c r="D81" s="676"/>
      <c r="E81" s="356"/>
      <c r="F81" s="356"/>
      <c r="G81" s="356"/>
      <c r="H81" s="356"/>
      <c r="I81" s="367"/>
      <c r="J81" s="356"/>
      <c r="K81" s="356"/>
      <c r="L81" s="356"/>
      <c r="M81" s="365"/>
      <c r="N81" s="363"/>
    </row>
    <row r="82" spans="1:14" ht="15" customHeight="1">
      <c r="A82" s="679"/>
      <c r="B82" s="345" t="str">
        <f>Idiomas!D142</f>
        <v>3º GRUPO A</v>
      </c>
      <c r="C82" s="335" t="str">
        <f ca="1">IF(OR(SUM(WORLDCUP!$AN$6:$AN$9)=12,WORLDCUP!$AJ$99=144),WORLDCUP!AL8,B82)</f>
        <v>Corea del Sur</v>
      </c>
      <c r="D82" s="676"/>
      <c r="E82" s="356"/>
      <c r="F82" s="356"/>
      <c r="G82" s="356"/>
      <c r="H82" s="356"/>
      <c r="I82" s="367"/>
      <c r="J82" s="356"/>
      <c r="K82" s="356"/>
      <c r="L82" s="356"/>
      <c r="M82" s="365"/>
      <c r="N82" s="363"/>
    </row>
    <row r="83" spans="1:14" ht="15" customHeight="1">
      <c r="A83" s="679"/>
      <c r="B83" s="345" t="str">
        <f>Idiomas!D143</f>
        <v>4º GRUPO A</v>
      </c>
      <c r="C83" s="335" t="str">
        <f ca="1">IF(OR(SUM(WORLDCUP!$AN$6:$AN$9)=12,WORLDCUP!$AJ$99=144),WORLDCUP!AL9,B83)</f>
        <v>República Checa</v>
      </c>
      <c r="D83" s="676"/>
      <c r="E83" s="356"/>
      <c r="F83" s="356"/>
      <c r="G83" s="356"/>
      <c r="H83" s="356"/>
      <c r="I83" s="367"/>
      <c r="J83" s="356"/>
      <c r="K83" s="356"/>
      <c r="L83" s="356"/>
      <c r="M83" s="365"/>
      <c r="N83" s="363"/>
    </row>
    <row r="84" spans="1:14" ht="15" customHeight="1">
      <c r="A84" s="678" t="s">
        <v>1</v>
      </c>
      <c r="B84" s="343" t="str">
        <f>Idiomas!D144</f>
        <v>1º GRUPO B</v>
      </c>
      <c r="C84" s="335" t="str">
        <f ca="1">IF(OR(SUM(WORLDCUP!$AN$14:$AN$17)=12,WORLDCUP!$AJ$99=144),WORLDCUP!AL14,B84)</f>
        <v>Suiza</v>
      </c>
      <c r="D84" s="676"/>
      <c r="E84" s="356"/>
      <c r="F84" s="356"/>
      <c r="G84" s="356"/>
      <c r="H84" s="356"/>
      <c r="I84" s="367"/>
      <c r="J84" s="356"/>
      <c r="K84" s="356"/>
      <c r="L84" s="356"/>
      <c r="M84" s="365"/>
      <c r="N84" s="363"/>
    </row>
    <row r="85" spans="1:14" ht="15" customHeight="1">
      <c r="A85" s="678"/>
      <c r="B85" s="343" t="str">
        <f>Idiomas!D145</f>
        <v>2º GRUPO B</v>
      </c>
      <c r="C85" s="335" t="str">
        <f ca="1">IF(OR(SUM(WORLDCUP!$AN$14:$AN$17)=12,WORLDCUP!$AJ$99=144),WORLDCUP!AL15,B85)</f>
        <v>Canadá</v>
      </c>
      <c r="D85" s="676"/>
      <c r="E85" s="356"/>
      <c r="F85" s="356"/>
      <c r="G85" s="356"/>
      <c r="H85" s="356"/>
      <c r="I85" s="367"/>
      <c r="J85" s="356"/>
      <c r="K85" s="356"/>
      <c r="L85" s="356"/>
      <c r="M85" s="365"/>
      <c r="N85" s="363"/>
    </row>
    <row r="86" spans="1:14" ht="15" customHeight="1">
      <c r="A86" s="678"/>
      <c r="B86" s="343" t="str">
        <f>Idiomas!D146</f>
        <v>3º GRUPO B</v>
      </c>
      <c r="C86" s="335" t="str">
        <f ca="1">IF(OR(SUM(WORLDCUP!$AN$14:$AN$17)=12,WORLDCUP!$AJ$99=144),WORLDCUP!AL16,B86)</f>
        <v>Bosnia y Herzegovina</v>
      </c>
      <c r="D86" s="676"/>
      <c r="E86" s="356"/>
      <c r="F86" s="356"/>
      <c r="G86" s="356"/>
      <c r="H86" s="356"/>
      <c r="I86" s="367"/>
      <c r="J86" s="356"/>
      <c r="K86" s="356"/>
      <c r="L86" s="356"/>
      <c r="M86" s="365"/>
      <c r="N86" s="363"/>
    </row>
    <row r="87" spans="1:14" ht="15" customHeight="1">
      <c r="A87" s="678"/>
      <c r="B87" s="343" t="str">
        <f>Idiomas!D147</f>
        <v>4º GRUPO B</v>
      </c>
      <c r="C87" s="335" t="str">
        <f ca="1">IF(OR(SUM(WORLDCUP!$AN$14:$AN$17)=12,WORLDCUP!$AJ$99=144),WORLDCUP!AL17,B87)</f>
        <v>Catar</v>
      </c>
      <c r="D87" s="676"/>
      <c r="E87" s="356"/>
      <c r="F87" s="356"/>
      <c r="G87" s="356"/>
      <c r="H87" s="356"/>
      <c r="I87" s="367"/>
      <c r="J87" s="356"/>
      <c r="K87" s="356"/>
      <c r="L87" s="356"/>
      <c r="M87" s="365"/>
      <c r="N87" s="363"/>
    </row>
    <row r="88" spans="1:14" ht="15" customHeight="1">
      <c r="A88" s="679" t="s">
        <v>2</v>
      </c>
      <c r="B88" s="345" t="str">
        <f>Idiomas!D148</f>
        <v>1º GRUPO C</v>
      </c>
      <c r="C88" s="335" t="str">
        <f ca="1">IF(OR(SUM(WORLDCUP!$AN$22:$AN$25)=12,WORLDCUP!$AJ$99=144),WORLDCUP!AL22,B88)</f>
        <v>Brasil</v>
      </c>
      <c r="D88" s="676"/>
      <c r="E88" s="356"/>
      <c r="F88" s="356"/>
      <c r="G88" s="356"/>
      <c r="H88" s="356"/>
      <c r="I88" s="367"/>
      <c r="J88" s="356"/>
      <c r="K88" s="356"/>
      <c r="L88" s="356"/>
      <c r="M88" s="365"/>
      <c r="N88" s="363"/>
    </row>
    <row r="89" spans="1:14" ht="15" customHeight="1">
      <c r="A89" s="679"/>
      <c r="B89" s="345" t="str">
        <f>Idiomas!D149</f>
        <v>2º GRUPO C</v>
      </c>
      <c r="C89" s="335" t="str">
        <f ca="1">IF(OR(SUM(WORLDCUP!$AN$22:$AN$25)=12,WORLDCUP!$AJ$99=144),WORLDCUP!AL23,B89)</f>
        <v>Marruecos</v>
      </c>
      <c r="D89" s="676"/>
      <c r="E89" s="356"/>
      <c r="F89" s="356"/>
      <c r="G89" s="356"/>
      <c r="H89" s="356"/>
      <c r="I89" s="367"/>
      <c r="J89" s="356"/>
      <c r="K89" s="356"/>
      <c r="L89" s="356"/>
      <c r="M89" s="365"/>
      <c r="N89" s="363"/>
    </row>
    <row r="90" spans="1:14" ht="15" customHeight="1">
      <c r="A90" s="679"/>
      <c r="B90" s="345" t="str">
        <f>Idiomas!D150</f>
        <v>3º GRUPO C</v>
      </c>
      <c r="C90" s="335" t="str">
        <f ca="1">IF(OR(SUM(WORLDCUP!$AN$22:$AN$25)=12,WORLDCUP!$AJ$99=144),WORLDCUP!AL24,B90)</f>
        <v>Escocia</v>
      </c>
      <c r="D90" s="676"/>
      <c r="E90" s="356"/>
      <c r="F90" s="356"/>
      <c r="G90" s="356"/>
      <c r="H90" s="356"/>
      <c r="I90" s="367"/>
      <c r="J90" s="356"/>
      <c r="K90" s="356"/>
      <c r="L90" s="356"/>
      <c r="M90" s="365"/>
      <c r="N90" s="363"/>
    </row>
    <row r="91" spans="1:14" ht="15" customHeight="1">
      <c r="A91" s="679"/>
      <c r="B91" s="345" t="str">
        <f>Idiomas!D151</f>
        <v>4º GRUPO C</v>
      </c>
      <c r="C91" s="335" t="str">
        <f ca="1">IF(OR(SUM(WORLDCUP!$AN$22:$AN$25)=12,WORLDCUP!$AJ$99=144),WORLDCUP!AL25,B91)</f>
        <v>Haití</v>
      </c>
      <c r="D91" s="676"/>
      <c r="E91" s="356"/>
      <c r="F91" s="356"/>
      <c r="G91" s="356"/>
      <c r="H91" s="356"/>
      <c r="I91" s="367"/>
      <c r="J91" s="356"/>
      <c r="K91" s="356"/>
      <c r="L91" s="356"/>
      <c r="M91" s="365"/>
      <c r="N91" s="363"/>
    </row>
    <row r="92" spans="1:14" ht="15" customHeight="1">
      <c r="A92" s="678" t="s">
        <v>74</v>
      </c>
      <c r="B92" s="343" t="str">
        <f>Idiomas!D152</f>
        <v>1º GRUPO D</v>
      </c>
      <c r="C92" s="335" t="str">
        <f ca="1">IF(OR(SUM(WORLDCUP!$AN$30:$AN$33)=12,WORLDCUP!$AJ$99=144),WORLDCUP!AL30,B92)</f>
        <v>Estados Unidos</v>
      </c>
      <c r="D92" s="676"/>
      <c r="E92" s="356"/>
      <c r="F92" s="356"/>
      <c r="G92" s="356"/>
      <c r="H92" s="356"/>
      <c r="I92" s="367"/>
      <c r="J92" s="356"/>
      <c r="K92" s="356"/>
      <c r="L92" s="356"/>
      <c r="M92" s="365"/>
      <c r="N92" s="363"/>
    </row>
    <row r="93" spans="1:14" ht="15" customHeight="1">
      <c r="A93" s="678"/>
      <c r="B93" s="343" t="str">
        <f>Idiomas!D153</f>
        <v>2º GRUPO D</v>
      </c>
      <c r="C93" s="335" t="str">
        <f ca="1">IF(OR(SUM(WORLDCUP!$AN$30:$AN$33)=12,WORLDCUP!$AJ$99=144),WORLDCUP!AL31,B93)</f>
        <v>Australia</v>
      </c>
      <c r="D93" s="676"/>
      <c r="E93" s="356"/>
      <c r="F93" s="356"/>
      <c r="G93" s="356"/>
      <c r="H93" s="356"/>
      <c r="I93" s="367"/>
      <c r="J93" s="356"/>
      <c r="K93" s="356"/>
      <c r="L93" s="356"/>
      <c r="M93" s="365"/>
      <c r="N93" s="363"/>
    </row>
    <row r="94" spans="1:14" ht="15" customHeight="1">
      <c r="A94" s="678"/>
      <c r="B94" s="343" t="str">
        <f>Idiomas!D154</f>
        <v>3º GRUPO D</v>
      </c>
      <c r="C94" s="335" t="str">
        <f ca="1">IF(OR(SUM(WORLDCUP!$AN$30:$AN$33)=12,WORLDCUP!$AJ$99=144),WORLDCUP!AL32,B94)</f>
        <v>Paraguay</v>
      </c>
      <c r="D94" s="676"/>
      <c r="E94" s="356"/>
      <c r="F94" s="356"/>
      <c r="G94" s="356"/>
      <c r="H94" s="356"/>
      <c r="I94" s="367"/>
      <c r="J94" s="356"/>
      <c r="K94" s="356"/>
      <c r="L94" s="356"/>
      <c r="M94" s="365"/>
      <c r="N94" s="363"/>
    </row>
    <row r="95" spans="1:14" ht="15" customHeight="1">
      <c r="A95" s="678"/>
      <c r="B95" s="343" t="str">
        <f>Idiomas!D155</f>
        <v>4º GRUPO D</v>
      </c>
      <c r="C95" s="335" t="str">
        <f ca="1">IF(OR(SUM(WORLDCUP!$AN$30:$AN$33)=12,WORLDCUP!$AJ$99=144),WORLDCUP!AL33,B95)</f>
        <v>Turquía</v>
      </c>
      <c r="D95" s="676"/>
      <c r="E95" s="356"/>
      <c r="F95" s="356"/>
      <c r="G95" s="356"/>
      <c r="H95" s="356"/>
      <c r="I95" s="367"/>
      <c r="J95" s="356"/>
      <c r="K95" s="356"/>
      <c r="L95" s="356"/>
      <c r="M95" s="365"/>
      <c r="N95" s="363"/>
    </row>
    <row r="96" spans="1:14" ht="15" customHeight="1">
      <c r="A96" s="679" t="s">
        <v>3</v>
      </c>
      <c r="B96" s="345" t="str">
        <f>Idiomas!D156</f>
        <v>1º GRUPO E</v>
      </c>
      <c r="C96" s="335" t="str">
        <f ca="1">IF(OR(SUM(WORLDCUP!$AN$38:$AN$41)=12,WORLDCUP!$AJ$99=144),WORLDCUP!AL38,B96)</f>
        <v>Alemania</v>
      </c>
      <c r="D96" s="676"/>
      <c r="E96" s="356"/>
      <c r="F96" s="356"/>
      <c r="G96" s="356"/>
      <c r="H96" s="356"/>
      <c r="I96" s="367"/>
      <c r="J96" s="356"/>
      <c r="K96" s="356"/>
      <c r="L96" s="356"/>
      <c r="M96" s="365"/>
      <c r="N96" s="363"/>
    </row>
    <row r="97" spans="1:14" ht="15" customHeight="1">
      <c r="A97" s="679"/>
      <c r="B97" s="345" t="str">
        <f>Idiomas!D157</f>
        <v>2º GRUPO E</v>
      </c>
      <c r="C97" s="335" t="str">
        <f ca="1">IF(OR(SUM(WORLDCUP!$AN$38:$AN$41)=12,WORLDCUP!$AJ$99=144),WORLDCUP!AL39,B97)</f>
        <v>Costa de Marfil</v>
      </c>
      <c r="D97" s="676"/>
      <c r="E97" s="356"/>
      <c r="F97" s="356"/>
      <c r="G97" s="356"/>
      <c r="H97" s="356"/>
      <c r="I97" s="367"/>
      <c r="J97" s="356"/>
      <c r="K97" s="356"/>
      <c r="L97" s="356"/>
      <c r="M97" s="365"/>
      <c r="N97" s="363"/>
    </row>
    <row r="98" spans="1:14" ht="15" customHeight="1">
      <c r="A98" s="679"/>
      <c r="B98" s="345" t="str">
        <f>Idiomas!D158</f>
        <v>3º GRUPO E</v>
      </c>
      <c r="C98" s="335" t="str">
        <f ca="1">IF(OR(SUM(WORLDCUP!$AN$38:$AN$41)=12,WORLDCUP!$AJ$99=144),WORLDCUP!AL40,B98)</f>
        <v>Ecuador</v>
      </c>
      <c r="D98" s="676"/>
      <c r="E98" s="356"/>
      <c r="F98" s="356"/>
      <c r="G98" s="356"/>
      <c r="H98" s="356"/>
      <c r="I98" s="367"/>
      <c r="J98" s="356"/>
      <c r="K98" s="356"/>
      <c r="L98" s="356"/>
      <c r="M98" s="365"/>
      <c r="N98" s="363"/>
    </row>
    <row r="99" spans="1:14" ht="15" customHeight="1">
      <c r="A99" s="679"/>
      <c r="B99" s="345" t="str">
        <f>Idiomas!D159</f>
        <v>4º GRUPO E</v>
      </c>
      <c r="C99" s="335" t="str">
        <f ca="1">IF(OR(SUM(WORLDCUP!$AN$38:$AN$41)=12,WORLDCUP!$AJ$99=144),WORLDCUP!AL41,B99)</f>
        <v>Curazao</v>
      </c>
      <c r="D99" s="676"/>
      <c r="E99" s="356"/>
      <c r="F99" s="356"/>
      <c r="G99" s="356"/>
      <c r="H99" s="356"/>
      <c r="I99" s="367"/>
      <c r="J99" s="356"/>
      <c r="K99" s="356"/>
      <c r="L99" s="356"/>
      <c r="M99" s="365"/>
      <c r="N99" s="363"/>
    </row>
    <row r="100" spans="1:14" ht="15" customHeight="1">
      <c r="A100" s="678" t="s">
        <v>4</v>
      </c>
      <c r="B100" s="343" t="str">
        <f>Idiomas!D160</f>
        <v>1º GRUPO F</v>
      </c>
      <c r="C100" s="335" t="str">
        <f ca="1">IF(OR(SUM(WORLDCUP!$AN$46:$AN$49)=12,WORLDCUP!$AJ$99=144),WORLDCUP!AL46,B100)</f>
        <v>Países Bajos</v>
      </c>
      <c r="D100" s="676"/>
      <c r="E100" s="356"/>
      <c r="F100" s="356"/>
      <c r="G100" s="356"/>
      <c r="H100" s="356"/>
      <c r="I100" s="367"/>
      <c r="J100" s="356"/>
      <c r="K100" s="356"/>
      <c r="L100" s="356"/>
      <c r="M100" s="365"/>
      <c r="N100" s="363"/>
    </row>
    <row r="101" spans="1:14" ht="15" customHeight="1">
      <c r="A101" s="678"/>
      <c r="B101" s="343" t="str">
        <f>Idiomas!D161</f>
        <v>2º GRUPO F</v>
      </c>
      <c r="C101" s="335" t="str">
        <f ca="1">IF(OR(SUM(WORLDCUP!$AN$46:$AN$49)=12,WORLDCUP!$AJ$99=144),WORLDCUP!AL47,B101)</f>
        <v>Japón</v>
      </c>
      <c r="D101" s="676"/>
      <c r="E101" s="356"/>
      <c r="F101" s="356"/>
      <c r="G101" s="356"/>
      <c r="H101" s="356"/>
      <c r="I101" s="367"/>
      <c r="J101" s="356"/>
      <c r="K101" s="356"/>
      <c r="L101" s="356"/>
      <c r="M101" s="365"/>
      <c r="N101" s="363"/>
    </row>
    <row r="102" spans="1:14" ht="15" customHeight="1">
      <c r="A102" s="678"/>
      <c r="B102" s="343" t="str">
        <f>Idiomas!D162</f>
        <v>3º GRUPO F</v>
      </c>
      <c r="C102" s="335" t="str">
        <f ca="1">IF(OR(SUM(WORLDCUP!$AN$46:$AN$49)=12,WORLDCUP!$AJ$99=144),WORLDCUP!AL48,B102)</f>
        <v>Suecia</v>
      </c>
      <c r="D102" s="676"/>
      <c r="E102" s="356"/>
      <c r="F102" s="356"/>
      <c r="G102" s="356"/>
      <c r="H102" s="356"/>
      <c r="I102" s="367"/>
      <c r="J102" s="356"/>
      <c r="K102" s="356"/>
      <c r="L102" s="356"/>
      <c r="M102" s="365"/>
      <c r="N102" s="363"/>
    </row>
    <row r="103" spans="1:14" ht="15" customHeight="1">
      <c r="A103" s="678"/>
      <c r="B103" s="343" t="str">
        <f>Idiomas!D163</f>
        <v>4º GRUPO F</v>
      </c>
      <c r="C103" s="335" t="str">
        <f ca="1">IF(OR(SUM(WORLDCUP!$AN$46:$AN$49)=12,WORLDCUP!$AJ$99=144),WORLDCUP!AL49,B103)</f>
        <v>Túnez</v>
      </c>
      <c r="D103" s="676"/>
      <c r="E103" s="356"/>
      <c r="F103" s="356"/>
      <c r="G103" s="356"/>
      <c r="H103" s="356"/>
      <c r="I103" s="367"/>
      <c r="J103" s="356"/>
      <c r="K103" s="356"/>
      <c r="L103" s="356"/>
      <c r="M103" s="365"/>
      <c r="N103" s="363"/>
    </row>
    <row r="104" spans="1:14" ht="15" customHeight="1">
      <c r="A104" s="679" t="s">
        <v>6</v>
      </c>
      <c r="B104" s="345" t="str">
        <f>Idiomas!D164</f>
        <v>1º GRUPO G</v>
      </c>
      <c r="C104" s="335" t="str">
        <f ca="1">IF(OR(SUM(WORLDCUP!$AN$54:$AN$57)=12,WORLDCUP!$AJ$99=144),WORLDCUP!AL54,B104)</f>
        <v>Bélgica</v>
      </c>
      <c r="D104" s="676"/>
      <c r="E104" s="356"/>
      <c r="F104" s="356"/>
      <c r="G104" s="356"/>
      <c r="H104" s="356"/>
      <c r="I104" s="367"/>
      <c r="J104" s="356"/>
      <c r="K104" s="356"/>
      <c r="L104" s="356"/>
      <c r="M104" s="365"/>
      <c r="N104" s="363"/>
    </row>
    <row r="105" spans="1:14" ht="15" customHeight="1">
      <c r="A105" s="679"/>
      <c r="B105" s="345" t="str">
        <f>Idiomas!D165</f>
        <v>2º GRUPO G</v>
      </c>
      <c r="C105" s="335" t="str">
        <f ca="1">IF(OR(SUM(WORLDCUP!$AN$54:$AN$57)=12,WORLDCUP!$AJ$99=144),WORLDCUP!AL55,B105)</f>
        <v>Egipto</v>
      </c>
      <c r="D105" s="676"/>
      <c r="E105" s="356"/>
      <c r="F105" s="356"/>
      <c r="G105" s="356"/>
      <c r="H105" s="356"/>
      <c r="I105" s="367"/>
      <c r="J105" s="356"/>
      <c r="K105" s="356"/>
      <c r="L105" s="356"/>
      <c r="M105" s="365"/>
      <c r="N105" s="363"/>
    </row>
    <row r="106" spans="1:14" ht="15" customHeight="1">
      <c r="A106" s="679"/>
      <c r="B106" s="345" t="str">
        <f>Idiomas!D166</f>
        <v>3º GRUPO G</v>
      </c>
      <c r="C106" s="335" t="str">
        <f ca="1">IF(OR(SUM(WORLDCUP!$AN$54:$AN$57)=12,WORLDCUP!$AJ$99=144),WORLDCUP!AL56,B106)</f>
        <v>Irán</v>
      </c>
      <c r="D106" s="676"/>
      <c r="E106" s="356"/>
      <c r="F106" s="356"/>
      <c r="G106" s="356"/>
      <c r="H106" s="356"/>
      <c r="I106" s="367"/>
      <c r="J106" s="356"/>
      <c r="K106" s="356"/>
      <c r="L106" s="356"/>
      <c r="M106" s="365"/>
      <c r="N106" s="363"/>
    </row>
    <row r="107" spans="1:14" ht="15" customHeight="1">
      <c r="A107" s="679"/>
      <c r="B107" s="345" t="str">
        <f>Idiomas!D167</f>
        <v>4º GRUPO G</v>
      </c>
      <c r="C107" s="335" t="str">
        <f ca="1">IF(OR(SUM(WORLDCUP!$AN$54:$AN$57)=12,WORLDCUP!$AJ$99=144),WORLDCUP!AL57,B107)</f>
        <v>Nueva Zelanda</v>
      </c>
      <c r="D107" s="676"/>
      <c r="E107" s="356"/>
      <c r="F107" s="356"/>
      <c r="G107" s="356"/>
      <c r="H107" s="356"/>
      <c r="I107" s="367"/>
      <c r="J107" s="356"/>
      <c r="K107" s="356"/>
      <c r="L107" s="356"/>
      <c r="M107" s="365"/>
      <c r="N107" s="363"/>
    </row>
    <row r="108" spans="1:14" ht="15" customHeight="1">
      <c r="A108" s="678" t="s">
        <v>447</v>
      </c>
      <c r="B108" s="343" t="str">
        <f>Idiomas!D168</f>
        <v>1º GRUPO H</v>
      </c>
      <c r="C108" s="335" t="str">
        <f ca="1">IF(OR(SUM(WORLDCUP!$AN$62:$AN$65)=12,WORLDCUP!$AJ$99=144),WORLDCUP!AL62,B108)</f>
        <v>España</v>
      </c>
      <c r="D108" s="676"/>
      <c r="E108" s="356"/>
      <c r="F108" s="356"/>
      <c r="G108" s="356"/>
      <c r="H108" s="356"/>
      <c r="I108" s="367"/>
      <c r="J108" s="356"/>
      <c r="K108" s="356"/>
      <c r="L108" s="356"/>
      <c r="M108" s="365"/>
      <c r="N108" s="363"/>
    </row>
    <row r="109" spans="1:14" ht="15" customHeight="1">
      <c r="A109" s="678"/>
      <c r="B109" s="343" t="str">
        <f>Idiomas!D169</f>
        <v>2º GRUPO H</v>
      </c>
      <c r="C109" s="335" t="str">
        <f ca="1">IF(OR(SUM(WORLDCUP!$AN$62:$AN$65)=12,WORLDCUP!$AJ$99=144),WORLDCUP!AL63,B109)</f>
        <v>Cabo Verde</v>
      </c>
      <c r="D109" s="676"/>
      <c r="E109" s="356"/>
      <c r="F109" s="356"/>
      <c r="G109" s="356"/>
      <c r="H109" s="356"/>
      <c r="I109" s="367"/>
      <c r="J109" s="356"/>
      <c r="K109" s="356"/>
      <c r="L109" s="356"/>
      <c r="M109" s="365"/>
      <c r="N109" s="363"/>
    </row>
    <row r="110" spans="1:14" ht="15" customHeight="1">
      <c r="A110" s="678"/>
      <c r="B110" s="343" t="str">
        <f>Idiomas!D170</f>
        <v>3º GRUPO H</v>
      </c>
      <c r="C110" s="335" t="str">
        <f ca="1">IF(OR(SUM(WORLDCUP!$AN$62:$AN$65)=12,WORLDCUP!$AJ$99=144),WORLDCUP!AL64,B110)</f>
        <v>Uruguay</v>
      </c>
      <c r="D110" s="676"/>
      <c r="E110" s="356"/>
      <c r="F110" s="356"/>
      <c r="G110" s="356"/>
      <c r="H110" s="356"/>
      <c r="I110" s="367"/>
      <c r="J110" s="356"/>
      <c r="K110" s="356"/>
      <c r="L110" s="356"/>
      <c r="M110" s="365"/>
      <c r="N110" s="363"/>
    </row>
    <row r="111" spans="1:14" ht="15" customHeight="1">
      <c r="A111" s="678"/>
      <c r="B111" s="343" t="str">
        <f>Idiomas!D171</f>
        <v>4º GRUPO H</v>
      </c>
      <c r="C111" s="335" t="str">
        <f ca="1">IF(OR(SUM(WORLDCUP!$AN$62:$AN$65)=12,WORLDCUP!$AJ$99=144),WORLDCUP!AL65,B111)</f>
        <v>Arabia Saudita</v>
      </c>
      <c r="D111" s="676"/>
      <c r="E111" s="356"/>
      <c r="F111" s="356"/>
      <c r="G111" s="356"/>
      <c r="H111" s="356"/>
      <c r="I111" s="367"/>
      <c r="J111" s="356"/>
      <c r="K111" s="356"/>
      <c r="L111" s="356"/>
      <c r="M111" s="365"/>
      <c r="N111" s="363"/>
    </row>
    <row r="112" spans="1:14" ht="15" customHeight="1">
      <c r="A112" s="679" t="s">
        <v>448</v>
      </c>
      <c r="B112" s="345" t="str">
        <f>Idiomas!D172</f>
        <v>1º GRUPO I</v>
      </c>
      <c r="C112" s="335" t="str">
        <f ca="1">IF(OR(SUM(WORLDCUP!$AN$70:$AN$73)=12,WORLDCUP!$AJ$99=144),WORLDCUP!AL70,B112)</f>
        <v>Francia</v>
      </c>
      <c r="D112" s="676"/>
      <c r="E112" s="356"/>
      <c r="F112" s="356"/>
      <c r="G112" s="356"/>
      <c r="H112" s="356"/>
      <c r="I112" s="367"/>
      <c r="J112" s="356"/>
      <c r="K112" s="356"/>
      <c r="L112" s="356"/>
      <c r="M112" s="365"/>
      <c r="N112" s="363"/>
    </row>
    <row r="113" spans="1:14" ht="15" customHeight="1">
      <c r="A113" s="679"/>
      <c r="B113" s="345" t="str">
        <f>Idiomas!D173</f>
        <v>2º GRUPO I</v>
      </c>
      <c r="C113" s="335" t="str">
        <f ca="1">IF(OR(SUM(WORLDCUP!$AN$70:$AN$73)=12,WORLDCUP!$AJ$99=144),WORLDCUP!AL71,B113)</f>
        <v>Noruega</v>
      </c>
      <c r="D113" s="676"/>
      <c r="E113" s="356"/>
      <c r="F113" s="356"/>
      <c r="G113" s="356"/>
      <c r="H113" s="356"/>
      <c r="I113" s="367"/>
      <c r="J113" s="356"/>
      <c r="K113" s="356"/>
      <c r="L113" s="356"/>
      <c r="M113" s="365"/>
      <c r="N113" s="363"/>
    </row>
    <row r="114" spans="1:14" ht="15" customHeight="1">
      <c r="A114" s="679"/>
      <c r="B114" s="345" t="str">
        <f>Idiomas!D174</f>
        <v>3º GRUPO I</v>
      </c>
      <c r="C114" s="335" t="str">
        <f ca="1">IF(OR(SUM(WORLDCUP!$AN$70:$AN$73)=12,WORLDCUP!$AJ$99=144),WORLDCUP!AL72,B114)</f>
        <v>Senegal</v>
      </c>
      <c r="D114" s="676"/>
      <c r="E114" s="356"/>
      <c r="F114" s="356"/>
      <c r="G114" s="356"/>
      <c r="H114" s="356"/>
      <c r="I114" s="367"/>
      <c r="J114" s="356"/>
      <c r="K114" s="356"/>
      <c r="L114" s="356"/>
      <c r="M114" s="365"/>
      <c r="N114" s="363"/>
    </row>
    <row r="115" spans="1:14" ht="15" customHeight="1">
      <c r="A115" s="679"/>
      <c r="B115" s="345" t="str">
        <f>Idiomas!D175</f>
        <v>4º GRUPO I</v>
      </c>
      <c r="C115" s="335" t="str">
        <f ca="1">IF(OR(SUM(WORLDCUP!$AN$70:$AN$73)=12,WORLDCUP!$AJ$99=144),WORLDCUP!AL73,B115)</f>
        <v>Irak</v>
      </c>
      <c r="D115" s="676"/>
      <c r="E115" s="356"/>
      <c r="F115" s="356"/>
      <c r="G115" s="356"/>
      <c r="H115" s="356"/>
      <c r="I115" s="367"/>
      <c r="J115" s="356"/>
      <c r="K115" s="356"/>
      <c r="L115" s="356"/>
      <c r="M115" s="365"/>
      <c r="N115" s="363"/>
    </row>
    <row r="116" spans="1:14" ht="15" customHeight="1">
      <c r="A116" s="678" t="s">
        <v>5</v>
      </c>
      <c r="B116" s="343" t="str">
        <f>Idiomas!D176</f>
        <v>1º GRUPO J</v>
      </c>
      <c r="C116" s="335" t="str">
        <f ca="1">IF(OR(SUM(WORLDCUP!$AN$78:$AN$81)=12,WORLDCUP!$AJ$99=144),WORLDCUP!AL78,B116)</f>
        <v>1º GRUPO J</v>
      </c>
      <c r="D116" s="676"/>
      <c r="E116" s="356"/>
      <c r="F116" s="356"/>
      <c r="G116" s="356"/>
      <c r="H116" s="356"/>
      <c r="I116" s="367"/>
      <c r="J116" s="356"/>
      <c r="K116" s="356"/>
      <c r="L116" s="356"/>
      <c r="M116" s="365"/>
      <c r="N116" s="363"/>
    </row>
    <row r="117" spans="1:14" ht="15" customHeight="1">
      <c r="A117" s="678"/>
      <c r="B117" s="343" t="str">
        <f>Idiomas!D177</f>
        <v>2º GRUPO J</v>
      </c>
      <c r="C117" s="335" t="str">
        <f ca="1">IF(OR(SUM(WORLDCUP!$AN$78:$AN$81)=12,WORLDCUP!$AJ$99=144),WORLDCUP!AL79,B117)</f>
        <v>2º GRUPO J</v>
      </c>
      <c r="D117" s="676"/>
      <c r="E117" s="356"/>
      <c r="F117" s="356"/>
      <c r="G117" s="356"/>
      <c r="H117" s="356"/>
      <c r="I117" s="367"/>
      <c r="J117" s="356"/>
      <c r="K117" s="356"/>
      <c r="L117" s="356"/>
      <c r="M117" s="365"/>
      <c r="N117" s="363"/>
    </row>
    <row r="118" spans="1:14" ht="15" customHeight="1">
      <c r="A118" s="678"/>
      <c r="B118" s="343" t="str">
        <f>Idiomas!D178</f>
        <v>3º GRUPO J</v>
      </c>
      <c r="C118" s="335" t="str">
        <f ca="1">IF(OR(SUM(WORLDCUP!$AN$78:$AN$81)=12,WORLDCUP!$AJ$99=144),WORLDCUP!AL80,B118)</f>
        <v>3º GRUPO J</v>
      </c>
      <c r="D118" s="676"/>
      <c r="E118" s="356"/>
      <c r="F118" s="356"/>
      <c r="G118" s="356"/>
      <c r="H118" s="356"/>
      <c r="I118" s="367"/>
      <c r="J118" s="356"/>
      <c r="K118" s="356"/>
      <c r="L118" s="356"/>
      <c r="M118" s="365"/>
      <c r="N118" s="363"/>
    </row>
    <row r="119" spans="1:14" ht="15" customHeight="1">
      <c r="A119" s="678"/>
      <c r="B119" s="343" t="str">
        <f>Idiomas!D179</f>
        <v>4º GRUPO J</v>
      </c>
      <c r="C119" s="335" t="str">
        <f ca="1">IF(OR(SUM(WORLDCUP!$AN$78:$AN$81)=12,WORLDCUP!$AJ$99=144),WORLDCUP!AL81,B119)</f>
        <v>4º GRUPO J</v>
      </c>
      <c r="D119" s="676"/>
      <c r="E119" s="356"/>
      <c r="F119" s="356"/>
      <c r="G119" s="356"/>
      <c r="H119" s="356"/>
      <c r="I119" s="367"/>
      <c r="J119" s="356"/>
      <c r="K119" s="356"/>
      <c r="L119" s="356"/>
      <c r="M119" s="365"/>
      <c r="N119" s="363"/>
    </row>
    <row r="120" spans="1:14" ht="15" customHeight="1">
      <c r="A120" s="679" t="s">
        <v>449</v>
      </c>
      <c r="B120" s="345" t="str">
        <f>Idiomas!D180</f>
        <v>1º GRUPO K</v>
      </c>
      <c r="C120" s="335" t="str">
        <f ca="1">IF(OR(SUM(WORLDCUP!$AN$86:$AN$89)=12,WORLDCUP!$AJ$99=144),WORLDCUP!AL86,B120)</f>
        <v>1º GRUPO K</v>
      </c>
      <c r="D120" s="676"/>
      <c r="E120" s="356"/>
      <c r="F120" s="356"/>
      <c r="G120" s="356"/>
      <c r="H120" s="356"/>
      <c r="I120" s="367"/>
      <c r="J120" s="356"/>
      <c r="K120" s="356"/>
      <c r="L120" s="356"/>
      <c r="M120" s="365"/>
      <c r="N120" s="363"/>
    </row>
    <row r="121" spans="1:14" ht="15" customHeight="1">
      <c r="A121" s="679"/>
      <c r="B121" s="345" t="str">
        <f>Idiomas!D181</f>
        <v>2º GRUPO K</v>
      </c>
      <c r="C121" s="335" t="str">
        <f ca="1">IF(OR(SUM(WORLDCUP!$AN$86:$AN$89)=12,WORLDCUP!$AJ$99=144),WORLDCUP!AL87,B121)</f>
        <v>2º GRUPO K</v>
      </c>
      <c r="D121" s="676"/>
      <c r="E121" s="356"/>
      <c r="F121" s="356"/>
      <c r="G121" s="356"/>
      <c r="H121" s="356"/>
      <c r="I121" s="367"/>
      <c r="J121" s="356"/>
      <c r="K121" s="356"/>
      <c r="L121" s="356"/>
      <c r="M121" s="365"/>
      <c r="N121" s="363"/>
    </row>
    <row r="122" spans="1:14" ht="15" customHeight="1">
      <c r="A122" s="679"/>
      <c r="B122" s="345" t="str">
        <f>Idiomas!D182</f>
        <v>3º GRUPO K</v>
      </c>
      <c r="C122" s="335" t="str">
        <f ca="1">IF(OR(SUM(WORLDCUP!$AN$86:$AN$89)=12,WORLDCUP!$AJ$99=144),WORLDCUP!AL88,B122)</f>
        <v>3º GRUPO K</v>
      </c>
      <c r="D122" s="676"/>
      <c r="E122" s="356"/>
      <c r="F122" s="356"/>
      <c r="G122" s="356"/>
      <c r="H122" s="356"/>
      <c r="I122" s="367"/>
      <c r="J122" s="356"/>
      <c r="K122" s="356"/>
      <c r="L122" s="356"/>
      <c r="M122" s="365"/>
      <c r="N122" s="363"/>
    </row>
    <row r="123" spans="1:14" ht="15" customHeight="1">
      <c r="A123" s="679"/>
      <c r="B123" s="345" t="str">
        <f>Idiomas!D183</f>
        <v>4º GRUPO K</v>
      </c>
      <c r="C123" s="335" t="str">
        <f ca="1">IF(OR(SUM(WORLDCUP!$AN$86:$AN$89)=12,WORLDCUP!$AJ$99=144),WORLDCUP!AL89,B123)</f>
        <v>4º GRUPO K</v>
      </c>
      <c r="D123" s="676"/>
      <c r="E123" s="356"/>
      <c r="F123" s="356"/>
      <c r="G123" s="356"/>
      <c r="H123" s="356"/>
      <c r="I123" s="367"/>
      <c r="J123" s="356"/>
      <c r="K123" s="356"/>
      <c r="L123" s="356"/>
      <c r="M123" s="365"/>
      <c r="N123" s="363"/>
    </row>
    <row r="124" spans="1:14" ht="15" customHeight="1">
      <c r="A124" s="678" t="s">
        <v>247</v>
      </c>
      <c r="B124" s="343" t="str">
        <f>Idiomas!D184</f>
        <v>1º GRUPO L</v>
      </c>
      <c r="C124" s="335" t="str">
        <f ca="1">IF(OR(SUM(WORLDCUP!$AN$94:$AN$97)=12,WORLDCUP!$AJ$99=144),WORLDCUP!AL94,B124)</f>
        <v>1º GRUPO L</v>
      </c>
      <c r="D124" s="676"/>
      <c r="E124" s="356"/>
      <c r="F124" s="356"/>
      <c r="G124" s="356"/>
      <c r="H124" s="356"/>
      <c r="I124" s="367"/>
      <c r="J124" s="356"/>
      <c r="K124" s="356"/>
      <c r="L124" s="356"/>
      <c r="M124" s="365"/>
      <c r="N124" s="363"/>
    </row>
    <row r="125" spans="1:14" ht="15" customHeight="1">
      <c r="A125" s="678"/>
      <c r="B125" s="343" t="str">
        <f>Idiomas!D185</f>
        <v>2º GRUPO L</v>
      </c>
      <c r="C125" s="335" t="str">
        <f ca="1">IF(OR(SUM(WORLDCUP!$AN$94:$AN$97)=12,WORLDCUP!$AJ$99=144),WORLDCUP!AL95,B125)</f>
        <v>2º GRUPO L</v>
      </c>
      <c r="D125" s="676"/>
      <c r="E125" s="356"/>
      <c r="F125" s="356"/>
      <c r="G125" s="356"/>
      <c r="H125" s="356"/>
      <c r="I125" s="367"/>
      <c r="J125" s="356"/>
      <c r="K125" s="356"/>
      <c r="L125" s="356"/>
      <c r="M125" s="365"/>
      <c r="N125" s="363"/>
    </row>
    <row r="126" spans="1:14" ht="15" customHeight="1">
      <c r="A126" s="678"/>
      <c r="B126" s="343" t="str">
        <f>Idiomas!D186</f>
        <v>3º GRUPO L</v>
      </c>
      <c r="C126" s="335" t="str">
        <f ca="1">IF(OR(SUM(WORLDCUP!$AN$94:$AN$97)=12,WORLDCUP!$AJ$99=144),WORLDCUP!AL96,B126)</f>
        <v>3º GRUPO L</v>
      </c>
      <c r="D126" s="676"/>
      <c r="E126" s="356"/>
      <c r="F126" s="356"/>
      <c r="G126" s="356"/>
      <c r="H126" s="356"/>
      <c r="I126" s="367"/>
      <c r="J126" s="356"/>
      <c r="K126" s="356"/>
      <c r="L126" s="356"/>
      <c r="M126" s="365"/>
      <c r="N126" s="363"/>
    </row>
    <row r="127" spans="1:14" ht="15" customHeight="1">
      <c r="A127" s="678"/>
      <c r="B127" s="343" t="str">
        <f>Idiomas!D187</f>
        <v>4º GRUPO L</v>
      </c>
      <c r="C127" s="335" t="str">
        <f ca="1">IF(OR(SUM(WORLDCUP!$AN$94:$AN$97)=12,WORLDCUP!$AJ$99=144),WORLDCUP!AL97,B127)</f>
        <v>4º GRUPO L</v>
      </c>
      <c r="D127" s="676"/>
      <c r="E127" s="356"/>
      <c r="F127" s="356"/>
      <c r="G127" s="356"/>
      <c r="H127" s="356"/>
      <c r="I127" s="367"/>
      <c r="J127" s="356"/>
      <c r="K127" s="356"/>
      <c r="L127" s="356"/>
      <c r="M127" s="365"/>
      <c r="N127" s="363"/>
    </row>
    <row r="128" spans="1:14" ht="15" customHeight="1">
      <c r="A128" s="339"/>
      <c r="B128" s="339"/>
      <c r="C128" s="336"/>
      <c r="D128" s="676"/>
      <c r="E128" s="356"/>
      <c r="F128" s="356"/>
      <c r="G128" s="356"/>
      <c r="H128" s="356"/>
      <c r="I128" s="367"/>
      <c r="J128" s="356"/>
      <c r="K128" s="356"/>
      <c r="L128" s="356"/>
      <c r="M128" s="365"/>
      <c r="N128" s="363"/>
    </row>
    <row r="129" spans="1:14" ht="19" customHeight="1">
      <c r="A129" s="339"/>
      <c r="B129" s="344" t="str">
        <f>Idiomas!D127</f>
        <v>CLASIFICADOS PARA DIECISEISAVOS</v>
      </c>
      <c r="C129" s="336"/>
      <c r="D129" s="676"/>
      <c r="E129" s="356"/>
      <c r="F129" s="356"/>
      <c r="G129" s="356"/>
      <c r="H129" s="356"/>
      <c r="I129" s="367"/>
      <c r="J129" s="356"/>
      <c r="K129" s="356"/>
      <c r="L129" s="356"/>
      <c r="M129" s="365"/>
      <c r="N129" s="363"/>
    </row>
    <row r="130" spans="1:14" ht="15" customHeight="1">
      <c r="A130" s="673" t="s">
        <v>493</v>
      </c>
      <c r="B130" s="346" t="str">
        <f>Idiomas!$D$188</f>
        <v>Dieciseisavofinalista</v>
      </c>
      <c r="C130" s="335" t="str">
        <f ca="1">WORLDCUP!AA101</f>
        <v>Sudáfrica</v>
      </c>
      <c r="D130" s="676"/>
      <c r="E130" s="356"/>
      <c r="F130" s="356"/>
      <c r="G130" s="356"/>
      <c r="H130" s="356"/>
      <c r="I130" s="367"/>
      <c r="J130" s="356"/>
      <c r="K130" s="356"/>
      <c r="L130" s="356"/>
      <c r="M130" s="365"/>
      <c r="N130" s="363"/>
    </row>
    <row r="131" spans="1:14" ht="15" customHeight="1">
      <c r="A131" s="673"/>
      <c r="B131" s="346" t="str">
        <f>B130</f>
        <v>Dieciseisavofinalista</v>
      </c>
      <c r="C131" s="335" t="str">
        <f ca="1">WORLDCUP!AA102</f>
        <v>Brasil</v>
      </c>
      <c r="D131" s="676"/>
      <c r="E131" s="356"/>
      <c r="F131" s="356"/>
      <c r="G131" s="356"/>
      <c r="H131" s="356"/>
      <c r="I131" s="367"/>
      <c r="J131" s="356"/>
      <c r="K131" s="356"/>
      <c r="L131" s="356"/>
      <c r="M131" s="365"/>
      <c r="N131" s="363"/>
    </row>
    <row r="132" spans="1:14" ht="15" customHeight="1">
      <c r="A132" s="673"/>
      <c r="B132" s="346" t="str">
        <f t="shared" ref="B132:B145" si="0">B131</f>
        <v>Dieciseisavofinalista</v>
      </c>
      <c r="C132" s="335" t="str">
        <f ca="1">WORLDCUP!AA103</f>
        <v>Alemania</v>
      </c>
      <c r="D132" s="676"/>
      <c r="E132" s="356"/>
      <c r="F132" s="356"/>
      <c r="G132" s="356"/>
      <c r="H132" s="356"/>
      <c r="I132" s="367"/>
      <c r="J132" s="356"/>
      <c r="K132" s="356"/>
      <c r="L132" s="356"/>
      <c r="M132" s="365"/>
      <c r="N132" s="363"/>
    </row>
    <row r="133" spans="1:14" ht="15" customHeight="1">
      <c r="A133" s="673"/>
      <c r="B133" s="346" t="str">
        <f t="shared" si="0"/>
        <v>Dieciseisavofinalista</v>
      </c>
      <c r="C133" s="335" t="str">
        <f ca="1">WORLDCUP!AA104</f>
        <v>Países Bajos</v>
      </c>
      <c r="D133" s="676"/>
      <c r="E133" s="356"/>
      <c r="F133" s="356"/>
      <c r="G133" s="356"/>
      <c r="H133" s="356"/>
      <c r="I133" s="367"/>
      <c r="J133" s="356"/>
      <c r="K133" s="356"/>
      <c r="L133" s="356"/>
      <c r="M133" s="365"/>
      <c r="N133" s="363"/>
    </row>
    <row r="134" spans="1:14" ht="15" customHeight="1">
      <c r="A134" s="673"/>
      <c r="B134" s="346" t="str">
        <f t="shared" si="0"/>
        <v>Dieciseisavofinalista</v>
      </c>
      <c r="C134" s="335" t="str">
        <f ca="1">WORLDCUP!AA105</f>
        <v>Costa de Marfil</v>
      </c>
      <c r="D134" s="676"/>
      <c r="E134" s="356"/>
      <c r="F134" s="356"/>
      <c r="G134" s="356"/>
      <c r="H134" s="356"/>
      <c r="I134" s="367"/>
      <c r="J134" s="356"/>
      <c r="K134" s="356"/>
      <c r="L134" s="356"/>
      <c r="M134" s="365"/>
      <c r="N134" s="363"/>
    </row>
    <row r="135" spans="1:14" ht="15" customHeight="1">
      <c r="A135" s="673"/>
      <c r="B135" s="346" t="str">
        <f t="shared" si="0"/>
        <v>Dieciseisavofinalista</v>
      </c>
      <c r="C135" s="335" t="str">
        <f ca="1">WORLDCUP!AA106</f>
        <v>Francia</v>
      </c>
      <c r="D135" s="676"/>
      <c r="E135" s="356"/>
      <c r="F135" s="356"/>
      <c r="G135" s="356"/>
      <c r="H135" s="356"/>
      <c r="I135" s="367"/>
      <c r="J135" s="356"/>
      <c r="K135" s="356"/>
      <c r="L135" s="356"/>
      <c r="M135" s="365"/>
      <c r="N135" s="363"/>
    </row>
    <row r="136" spans="1:14" ht="15" customHeight="1">
      <c r="A136" s="673"/>
      <c r="B136" s="346" t="str">
        <f t="shared" si="0"/>
        <v>Dieciseisavofinalista</v>
      </c>
      <c r="C136" s="335" t="str">
        <f ca="1">WORLDCUP!AA107</f>
        <v>México</v>
      </c>
      <c r="D136" s="676"/>
      <c r="E136" s="356"/>
      <c r="F136" s="356"/>
      <c r="G136" s="356"/>
      <c r="H136" s="356"/>
      <c r="I136" s="367"/>
      <c r="J136" s="356"/>
      <c r="K136" s="356"/>
      <c r="L136" s="356"/>
      <c r="M136" s="365"/>
      <c r="N136" s="363"/>
    </row>
    <row r="137" spans="1:14" ht="15" customHeight="1">
      <c r="A137" s="673"/>
      <c r="B137" s="346" t="str">
        <f t="shared" si="0"/>
        <v>Dieciseisavofinalista</v>
      </c>
      <c r="C137" s="335" t="str">
        <f ca="1">WORLDCUP!AA108</f>
        <v>1L</v>
      </c>
      <c r="D137" s="676"/>
      <c r="E137" s="356"/>
      <c r="F137" s="356"/>
      <c r="G137" s="356"/>
      <c r="H137" s="356"/>
      <c r="I137" s="367"/>
      <c r="J137" s="356"/>
      <c r="K137" s="356"/>
      <c r="L137" s="356"/>
      <c r="M137" s="365"/>
      <c r="N137" s="363"/>
    </row>
    <row r="138" spans="1:14" ht="15" customHeight="1">
      <c r="A138" s="673"/>
      <c r="B138" s="346" t="str">
        <f t="shared" si="0"/>
        <v>Dieciseisavofinalista</v>
      </c>
      <c r="C138" s="335" t="str">
        <f ca="1">WORLDCUP!AA109</f>
        <v>Bélgica</v>
      </c>
      <c r="D138" s="676"/>
      <c r="E138" s="356"/>
      <c r="F138" s="356"/>
      <c r="G138" s="356"/>
      <c r="H138" s="356"/>
      <c r="I138" s="367"/>
      <c r="J138" s="356"/>
      <c r="K138" s="356"/>
      <c r="L138" s="356"/>
      <c r="M138" s="365"/>
      <c r="N138" s="363"/>
    </row>
    <row r="139" spans="1:14" ht="15" customHeight="1">
      <c r="A139" s="673"/>
      <c r="B139" s="346" t="str">
        <f t="shared" si="0"/>
        <v>Dieciseisavofinalista</v>
      </c>
      <c r="C139" s="335" t="str">
        <f ca="1">WORLDCUP!AA110</f>
        <v>Estados Unidos</v>
      </c>
      <c r="D139" s="676"/>
      <c r="E139" s="356"/>
      <c r="F139" s="356"/>
      <c r="G139" s="356"/>
      <c r="H139" s="356"/>
      <c r="I139" s="367"/>
      <c r="J139" s="356"/>
      <c r="K139" s="356"/>
      <c r="L139" s="356"/>
      <c r="M139" s="365"/>
      <c r="N139" s="363"/>
    </row>
    <row r="140" spans="1:14" ht="15" customHeight="1">
      <c r="A140" s="673"/>
      <c r="B140" s="346" t="str">
        <f t="shared" si="0"/>
        <v>Dieciseisavofinalista</v>
      </c>
      <c r="C140" s="335" t="str">
        <f ca="1">WORLDCUP!AA111</f>
        <v>España</v>
      </c>
      <c r="D140" s="676"/>
      <c r="E140" s="356"/>
      <c r="F140" s="356"/>
      <c r="G140" s="356"/>
      <c r="H140" s="356"/>
      <c r="I140" s="367"/>
      <c r="J140" s="356"/>
      <c r="K140" s="356"/>
      <c r="L140" s="356"/>
      <c r="M140" s="365"/>
      <c r="N140" s="363"/>
    </row>
    <row r="141" spans="1:14" ht="15" customHeight="1">
      <c r="A141" s="673"/>
      <c r="B141" s="346" t="str">
        <f t="shared" si="0"/>
        <v>Dieciseisavofinalista</v>
      </c>
      <c r="C141" s="335" t="str">
        <f ca="1">WORLDCUP!AA112</f>
        <v>2K</v>
      </c>
      <c r="D141" s="676"/>
      <c r="E141" s="356"/>
      <c r="F141" s="356"/>
      <c r="G141" s="356"/>
      <c r="H141" s="356"/>
      <c r="I141" s="367"/>
      <c r="J141" s="356"/>
      <c r="K141" s="356"/>
      <c r="L141" s="356"/>
      <c r="M141" s="365"/>
      <c r="N141" s="363"/>
    </row>
    <row r="142" spans="1:14" ht="15" customHeight="1">
      <c r="A142" s="673"/>
      <c r="B142" s="346" t="str">
        <f t="shared" si="0"/>
        <v>Dieciseisavofinalista</v>
      </c>
      <c r="C142" s="335" t="str">
        <f ca="1">WORLDCUP!AA113</f>
        <v>Suiza</v>
      </c>
      <c r="D142" s="676"/>
      <c r="E142" s="356"/>
      <c r="F142" s="356"/>
      <c r="G142" s="356"/>
      <c r="H142" s="356"/>
      <c r="I142" s="367"/>
      <c r="J142" s="356"/>
      <c r="K142" s="356"/>
      <c r="L142" s="356"/>
      <c r="M142" s="365"/>
      <c r="N142" s="363"/>
    </row>
    <row r="143" spans="1:14" ht="15" customHeight="1">
      <c r="A143" s="673"/>
      <c r="B143" s="346" t="str">
        <f t="shared" si="0"/>
        <v>Dieciseisavofinalista</v>
      </c>
      <c r="C143" s="335" t="str">
        <f ca="1">WORLDCUP!AA114</f>
        <v>Australia</v>
      </c>
      <c r="D143" s="676"/>
      <c r="E143" s="356"/>
      <c r="F143" s="356"/>
      <c r="G143" s="356"/>
      <c r="H143" s="356"/>
      <c r="I143" s="367"/>
      <c r="J143" s="356"/>
      <c r="K143" s="356"/>
      <c r="L143" s="356"/>
      <c r="M143" s="365"/>
      <c r="N143" s="363"/>
    </row>
    <row r="144" spans="1:14" ht="15" customHeight="1">
      <c r="A144" s="673"/>
      <c r="B144" s="346" t="str">
        <f t="shared" si="0"/>
        <v>Dieciseisavofinalista</v>
      </c>
      <c r="C144" s="335" t="str">
        <f ca="1">WORLDCUP!AA115</f>
        <v>1J</v>
      </c>
      <c r="D144" s="676"/>
      <c r="E144" s="356"/>
      <c r="F144" s="356"/>
      <c r="G144" s="356"/>
      <c r="H144" s="356"/>
      <c r="I144" s="367"/>
      <c r="J144" s="356"/>
      <c r="K144" s="356"/>
      <c r="L144" s="356"/>
      <c r="M144" s="365"/>
      <c r="N144" s="363"/>
    </row>
    <row r="145" spans="1:14" ht="15" customHeight="1">
      <c r="A145" s="673"/>
      <c r="B145" s="346" t="str">
        <f t="shared" si="0"/>
        <v>Dieciseisavofinalista</v>
      </c>
      <c r="C145" s="335" t="str">
        <f ca="1">WORLDCUP!AA116</f>
        <v>1K</v>
      </c>
      <c r="D145" s="676"/>
      <c r="E145" s="356"/>
      <c r="F145" s="356"/>
      <c r="G145" s="356"/>
      <c r="H145" s="356"/>
      <c r="I145" s="367"/>
      <c r="J145" s="356"/>
      <c r="K145" s="356"/>
      <c r="L145" s="356"/>
      <c r="M145" s="365"/>
      <c r="N145" s="363"/>
    </row>
    <row r="146" spans="1:14" ht="15" customHeight="1">
      <c r="A146" s="673"/>
      <c r="B146" s="346" t="str">
        <f>Idiomas!$D$188</f>
        <v>Dieciseisavofinalista</v>
      </c>
      <c r="C146" s="335" t="str">
        <f ca="1">WORLDCUP!AF101</f>
        <v>Canadá</v>
      </c>
      <c r="D146" s="676"/>
      <c r="E146" s="356"/>
      <c r="F146" s="356"/>
      <c r="G146" s="356"/>
      <c r="H146" s="356"/>
      <c r="I146" s="367"/>
      <c r="J146" s="356"/>
      <c r="K146" s="356"/>
      <c r="L146" s="356"/>
      <c r="M146" s="365"/>
      <c r="N146" s="363"/>
    </row>
    <row r="147" spans="1:14" ht="15" customHeight="1">
      <c r="A147" s="673"/>
      <c r="B147" s="346" t="str">
        <f>B146</f>
        <v>Dieciseisavofinalista</v>
      </c>
      <c r="C147" s="335" t="str">
        <f ca="1">WORLDCUP!AF102</f>
        <v>Japón</v>
      </c>
      <c r="D147" s="676"/>
      <c r="E147" s="356"/>
      <c r="F147" s="356"/>
      <c r="G147" s="356"/>
      <c r="H147" s="356"/>
      <c r="I147" s="367"/>
      <c r="J147" s="356"/>
      <c r="K147" s="356"/>
      <c r="L147" s="356"/>
      <c r="M147" s="365"/>
      <c r="N147" s="363"/>
    </row>
    <row r="148" spans="1:14" ht="15" customHeight="1">
      <c r="A148" s="673"/>
      <c r="B148" s="346" t="str">
        <f t="shared" ref="B148:B161" si="1">B147</f>
        <v>Dieciseisavofinalista</v>
      </c>
      <c r="C148" s="335" t="str">
        <f ca="1">WORLDCUP!AF103</f>
        <v>3ABCDF</v>
      </c>
      <c r="D148" s="676"/>
      <c r="E148" s="356"/>
      <c r="F148" s="356"/>
      <c r="G148" s="356"/>
      <c r="H148" s="356"/>
      <c r="I148" s="367"/>
      <c r="J148" s="356"/>
      <c r="K148" s="356"/>
      <c r="L148" s="356"/>
      <c r="M148" s="365"/>
      <c r="N148" s="363"/>
    </row>
    <row r="149" spans="1:14" ht="15" customHeight="1">
      <c r="A149" s="673"/>
      <c r="B149" s="346" t="str">
        <f t="shared" si="1"/>
        <v>Dieciseisavofinalista</v>
      </c>
      <c r="C149" s="335" t="str">
        <f ca="1">WORLDCUP!AF104</f>
        <v>Marruecos</v>
      </c>
      <c r="D149" s="676"/>
      <c r="E149" s="356"/>
      <c r="F149" s="356"/>
      <c r="G149" s="356"/>
      <c r="H149" s="356"/>
      <c r="I149" s="367"/>
      <c r="J149" s="356"/>
      <c r="K149" s="356"/>
      <c r="L149" s="356"/>
      <c r="M149" s="365"/>
      <c r="N149" s="363"/>
    </row>
    <row r="150" spans="1:14" ht="15" customHeight="1">
      <c r="A150" s="673"/>
      <c r="B150" s="346" t="str">
        <f t="shared" si="1"/>
        <v>Dieciseisavofinalista</v>
      </c>
      <c r="C150" s="335" t="str">
        <f ca="1">WORLDCUP!AF105</f>
        <v>Noruega</v>
      </c>
      <c r="D150" s="676"/>
      <c r="E150" s="356"/>
      <c r="F150" s="356"/>
      <c r="G150" s="356"/>
      <c r="H150" s="356"/>
      <c r="I150" s="367"/>
      <c r="J150" s="356"/>
      <c r="K150" s="356"/>
      <c r="L150" s="356"/>
      <c r="M150" s="365"/>
      <c r="N150" s="363"/>
    </row>
    <row r="151" spans="1:14" ht="15" customHeight="1">
      <c r="A151" s="673"/>
      <c r="B151" s="346" t="str">
        <f t="shared" si="1"/>
        <v>Dieciseisavofinalista</v>
      </c>
      <c r="C151" s="335" t="str">
        <f ca="1">WORLDCUP!AF106</f>
        <v>3CDFGH</v>
      </c>
      <c r="D151" s="676"/>
      <c r="E151" s="356"/>
      <c r="F151" s="356"/>
      <c r="G151" s="356"/>
      <c r="H151" s="356"/>
      <c r="I151" s="367"/>
      <c r="J151" s="356"/>
      <c r="K151" s="356"/>
      <c r="L151" s="356"/>
      <c r="M151" s="365"/>
      <c r="N151" s="363"/>
    </row>
    <row r="152" spans="1:14" ht="15" customHeight="1">
      <c r="A152" s="673"/>
      <c r="B152" s="346" t="str">
        <f t="shared" si="1"/>
        <v>Dieciseisavofinalista</v>
      </c>
      <c r="C152" s="335" t="str">
        <f ca="1">WORLDCUP!AF107</f>
        <v>3CEFHI</v>
      </c>
      <c r="D152" s="676"/>
      <c r="E152" s="356"/>
      <c r="F152" s="356"/>
      <c r="G152" s="356"/>
      <c r="H152" s="356"/>
      <c r="I152" s="367"/>
      <c r="J152" s="356"/>
      <c r="K152" s="356"/>
      <c r="L152" s="356"/>
      <c r="M152" s="365"/>
      <c r="N152" s="363"/>
    </row>
    <row r="153" spans="1:14" ht="15" customHeight="1">
      <c r="A153" s="673"/>
      <c r="B153" s="346" t="str">
        <f t="shared" si="1"/>
        <v>Dieciseisavofinalista</v>
      </c>
      <c r="C153" s="335" t="str">
        <f ca="1">WORLDCUP!AF108</f>
        <v>3EHIJK</v>
      </c>
      <c r="D153" s="676"/>
      <c r="E153" s="356"/>
      <c r="F153" s="356"/>
      <c r="G153" s="356"/>
      <c r="H153" s="356"/>
      <c r="I153" s="367"/>
      <c r="J153" s="356"/>
      <c r="K153" s="356"/>
      <c r="L153" s="356"/>
      <c r="M153" s="365"/>
      <c r="N153" s="363"/>
    </row>
    <row r="154" spans="1:14" ht="15" customHeight="1">
      <c r="A154" s="673"/>
      <c r="B154" s="346" t="str">
        <f t="shared" si="1"/>
        <v>Dieciseisavofinalista</v>
      </c>
      <c r="C154" s="335" t="str">
        <f ca="1">WORLDCUP!AF109</f>
        <v>3AEHIJ</v>
      </c>
      <c r="D154" s="676"/>
      <c r="E154" s="356"/>
      <c r="F154" s="356"/>
      <c r="G154" s="356"/>
      <c r="H154" s="356"/>
      <c r="I154" s="367"/>
      <c r="J154" s="356"/>
      <c r="K154" s="356"/>
      <c r="L154" s="356"/>
      <c r="M154" s="365"/>
      <c r="N154" s="363"/>
    </row>
    <row r="155" spans="1:14" ht="15" customHeight="1">
      <c r="A155" s="673"/>
      <c r="B155" s="346" t="str">
        <f t="shared" si="1"/>
        <v>Dieciseisavofinalista</v>
      </c>
      <c r="C155" s="335" t="str">
        <f ca="1">WORLDCUP!AF110</f>
        <v>3BEFIJ</v>
      </c>
      <c r="D155" s="676"/>
      <c r="E155" s="356"/>
      <c r="F155" s="356"/>
      <c r="G155" s="356"/>
      <c r="H155" s="356"/>
      <c r="I155" s="367"/>
      <c r="J155" s="356"/>
      <c r="K155" s="356"/>
      <c r="L155" s="356"/>
      <c r="M155" s="365"/>
      <c r="N155" s="363"/>
    </row>
    <row r="156" spans="1:14" ht="15" customHeight="1">
      <c r="A156" s="673"/>
      <c r="B156" s="346" t="str">
        <f t="shared" si="1"/>
        <v>Dieciseisavofinalista</v>
      </c>
      <c r="C156" s="335" t="str">
        <f ca="1">WORLDCUP!AF111</f>
        <v>2J</v>
      </c>
      <c r="D156" s="676"/>
      <c r="E156" s="356"/>
      <c r="F156" s="356"/>
      <c r="G156" s="356"/>
      <c r="H156" s="356"/>
      <c r="I156" s="367"/>
      <c r="J156" s="356"/>
      <c r="K156" s="356"/>
      <c r="L156" s="356"/>
      <c r="M156" s="365"/>
      <c r="N156" s="363"/>
    </row>
    <row r="157" spans="1:14" ht="15" customHeight="1">
      <c r="A157" s="673"/>
      <c r="B157" s="346" t="str">
        <f t="shared" si="1"/>
        <v>Dieciseisavofinalista</v>
      </c>
      <c r="C157" s="335" t="str">
        <f ca="1">WORLDCUP!AF112</f>
        <v>2L</v>
      </c>
      <c r="D157" s="676"/>
      <c r="E157" s="356"/>
      <c r="F157" s="356"/>
      <c r="G157" s="356"/>
      <c r="H157" s="356"/>
      <c r="I157" s="367"/>
      <c r="J157" s="356"/>
      <c r="K157" s="356"/>
      <c r="L157" s="356"/>
      <c r="M157" s="365"/>
      <c r="N157" s="363"/>
    </row>
    <row r="158" spans="1:14" ht="15" customHeight="1">
      <c r="A158" s="673"/>
      <c r="B158" s="346" t="str">
        <f t="shared" si="1"/>
        <v>Dieciseisavofinalista</v>
      </c>
      <c r="C158" s="335" t="str">
        <f ca="1">WORLDCUP!AF113</f>
        <v>3EFGIJ</v>
      </c>
      <c r="D158" s="676"/>
      <c r="E158" s="356"/>
      <c r="F158" s="356"/>
      <c r="G158" s="356"/>
      <c r="H158" s="356"/>
      <c r="I158" s="367"/>
      <c r="J158" s="356"/>
      <c r="K158" s="356"/>
      <c r="L158" s="356"/>
      <c r="M158" s="365"/>
      <c r="N158" s="363"/>
    </row>
    <row r="159" spans="1:14" ht="15" customHeight="1">
      <c r="A159" s="673"/>
      <c r="B159" s="346" t="str">
        <f t="shared" si="1"/>
        <v>Dieciseisavofinalista</v>
      </c>
      <c r="C159" s="335" t="str">
        <f ca="1">WORLDCUP!AF114</f>
        <v>Egipto</v>
      </c>
      <c r="D159" s="676"/>
      <c r="E159" s="356"/>
      <c r="F159" s="356"/>
      <c r="G159" s="356"/>
      <c r="H159" s="356"/>
      <c r="I159" s="367"/>
      <c r="J159" s="356"/>
      <c r="K159" s="356"/>
      <c r="L159" s="356"/>
      <c r="M159" s="365"/>
      <c r="N159" s="363"/>
    </row>
    <row r="160" spans="1:14" ht="15" customHeight="1">
      <c r="A160" s="673"/>
      <c r="B160" s="346" t="str">
        <f t="shared" si="1"/>
        <v>Dieciseisavofinalista</v>
      </c>
      <c r="C160" s="335" t="str">
        <f ca="1">WORLDCUP!AF115</f>
        <v>Cabo Verde</v>
      </c>
      <c r="D160" s="676"/>
      <c r="E160" s="356"/>
      <c r="F160" s="356"/>
      <c r="G160" s="356"/>
      <c r="H160" s="356"/>
      <c r="I160" s="367"/>
      <c r="J160" s="356"/>
      <c r="K160" s="356"/>
      <c r="L160" s="356"/>
      <c r="M160" s="365"/>
      <c r="N160" s="363"/>
    </row>
    <row r="161" spans="1:14" ht="15" customHeight="1">
      <c r="A161" s="673"/>
      <c r="B161" s="346" t="str">
        <f t="shared" si="1"/>
        <v>Dieciseisavofinalista</v>
      </c>
      <c r="C161" s="335" t="str">
        <f ca="1">WORLDCUP!AF116</f>
        <v>3DEIJL</v>
      </c>
      <c r="D161" s="677"/>
      <c r="E161" s="358"/>
      <c r="F161" s="358"/>
      <c r="G161" s="358"/>
      <c r="H161" s="358"/>
      <c r="I161" s="368"/>
      <c r="J161" s="369"/>
      <c r="K161" s="358"/>
      <c r="L161" s="358"/>
      <c r="M161" s="370"/>
      <c r="N161" s="363"/>
    </row>
    <row r="162" spans="1:14" ht="20" customHeight="1">
      <c r="A162" s="339"/>
      <c r="B162" s="339"/>
      <c r="C162" s="336"/>
      <c r="D162" s="356"/>
      <c r="E162" s="690" t="str">
        <f>Idiomas!D113</f>
        <v>·Si haceis todas las eliminatorias de golpe, copiar de la C164 a la C252 y pegar valores en la plantilla de Administrador.</v>
      </c>
      <c r="F162" s="690"/>
      <c r="G162" s="690"/>
      <c r="H162" s="690"/>
      <c r="I162" s="690"/>
      <c r="J162" s="690"/>
      <c r="K162" s="690"/>
      <c r="L162" s="691"/>
      <c r="M162" s="371"/>
      <c r="N162" s="363"/>
    </row>
    <row r="163" spans="1:14" ht="23" customHeight="1">
      <c r="A163" s="339"/>
      <c r="B163" s="344" t="str">
        <f>Idiomas!D128</f>
        <v>ENFRENTAMIENTOS DIECISEISAVOS</v>
      </c>
      <c r="C163" s="336"/>
      <c r="D163" s="356"/>
      <c r="E163" s="689" t="str">
        <f>Idiomas!D114</f>
        <v>·Si haceis eliminatoria a eliminatoria seguir las instrucciones de cada eliminatoria.</v>
      </c>
      <c r="F163" s="689"/>
      <c r="G163" s="689"/>
      <c r="H163" s="689"/>
      <c r="I163" s="689"/>
      <c r="J163" s="689"/>
      <c r="K163" s="689"/>
      <c r="L163" s="692"/>
      <c r="M163" s="372"/>
      <c r="N163" s="363"/>
    </row>
    <row r="164" spans="1:14" ht="15" customHeight="1">
      <c r="A164" s="673"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Sudáfrica-Canadá·0|-</v>
      </c>
      <c r="D164" s="675" t="s">
        <v>493</v>
      </c>
      <c r="E164" s="693" t="str">
        <f>Idiomas!D115</f>
        <v>·Para los dieciseisavos copiar de la C164 a la C197 y pega valores en la plantilla de administrador.</v>
      </c>
      <c r="F164" s="693"/>
      <c r="G164" s="693"/>
      <c r="H164" s="693"/>
      <c r="I164" s="338"/>
      <c r="J164" s="356"/>
      <c r="K164" s="356"/>
      <c r="L164" s="356"/>
      <c r="M164" s="372"/>
      <c r="N164" s="363"/>
    </row>
    <row r="165" spans="1:14" ht="15" customHeight="1">
      <c r="A165" s="673"/>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Brasil-Japón·0|-</v>
      </c>
      <c r="D165" s="675"/>
      <c r="E165" s="694"/>
      <c r="F165" s="694"/>
      <c r="G165" s="694"/>
      <c r="H165" s="694"/>
      <c r="I165" s="338"/>
      <c r="J165" s="356"/>
      <c r="K165" s="356"/>
      <c r="L165" s="356"/>
      <c r="M165" s="372"/>
      <c r="N165" s="363"/>
    </row>
    <row r="166" spans="1:14" ht="15" customHeight="1">
      <c r="A166" s="673"/>
      <c r="B166" s="346" t="str">
        <f ca="1">CONCATENATE(WORLDCUP!AA103,"-",WORLDCUP!AF103)</f>
        <v>Alemania-3ABCDF</v>
      </c>
      <c r="C166" s="335" t="str">
        <f ca="1">CONCATENATE(WORLDCUP!AA103,"-",WORLDCUP!AF103,"·",IF(WORLDCUP!AC103&gt;WORLDCUP!AD103,1,IF(WORLDCUP!AC103&lt;WORLDCUP!AD103,2,IF(AND(WORLDCUP!AC103=WORLDCUP!AD103,WORLDCUP!AC103&lt;&gt;"",WORLDCUP!AD103&lt;&gt;""),"X",0))),"|",WORLDCUP!AC103,"-",WORLDCUP!AD103)</f>
        <v>Alemania-3ABCDF·0|-</v>
      </c>
      <c r="D166" s="675"/>
      <c r="E166" s="694"/>
      <c r="F166" s="694"/>
      <c r="G166" s="694"/>
      <c r="H166" s="694"/>
      <c r="I166" s="338"/>
      <c r="J166" s="356"/>
      <c r="K166" s="356"/>
      <c r="L166" s="356"/>
      <c r="M166" s="372"/>
      <c r="N166" s="363"/>
    </row>
    <row r="167" spans="1:14" ht="15" customHeight="1">
      <c r="A167" s="673"/>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Bajos-Marruecos·0|-</v>
      </c>
      <c r="D167" s="675"/>
      <c r="E167" s="694"/>
      <c r="F167" s="694"/>
      <c r="G167" s="694"/>
      <c r="H167" s="694"/>
      <c r="I167" s="338"/>
      <c r="J167" s="356"/>
      <c r="K167" s="356"/>
      <c r="L167" s="356"/>
      <c r="M167" s="372"/>
      <c r="N167" s="363"/>
    </row>
    <row r="168" spans="1:14" ht="15" customHeight="1">
      <c r="A168" s="673"/>
      <c r="B168" s="346" t="str">
        <f ca="1">CONCATENATE(WORLDCUP!AA105,"-",WORLDCUP!AF105)</f>
        <v>Costa de Marfil-Noruega</v>
      </c>
      <c r="C168" s="335" t="str">
        <f ca="1">CONCATENATE(WORLDCUP!AA105,"-",WORLDCUP!AF105,"·",IF(WORLDCUP!AC105&gt;WORLDCUP!AD105,1,IF(WORLDCUP!AC105&lt;WORLDCUP!AD105,2,IF(AND(WORLDCUP!AC105=WORLDCUP!AD105,WORLDCUP!AC105&lt;&gt;"",WORLDCUP!AD105&lt;&gt;""),"X",0))),"|",WORLDCUP!AC105,"-",WORLDCUP!AD105)</f>
        <v>Costa de Marfil-Noruega·0|-</v>
      </c>
      <c r="D168" s="675"/>
      <c r="E168" s="356"/>
      <c r="F168" s="356"/>
      <c r="G168" s="356"/>
      <c r="H168" s="356"/>
      <c r="I168" s="338"/>
      <c r="J168" s="356"/>
      <c r="K168" s="356"/>
      <c r="L168" s="356"/>
      <c r="M168" s="372"/>
      <c r="N168" s="363"/>
    </row>
    <row r="169" spans="1:14" ht="15" customHeight="1">
      <c r="A169" s="673"/>
      <c r="B169" s="346" t="str">
        <f ca="1">CONCATENATE(WORLDCUP!AA106,"-",WORLDCUP!AF106)</f>
        <v>Francia-3CDFGH</v>
      </c>
      <c r="C169" s="335" t="str">
        <f ca="1">CONCATENATE(WORLDCUP!AA106,"-",WORLDCUP!AF106,"·",IF(WORLDCUP!AC106&gt;WORLDCUP!AD106,1,IF(WORLDCUP!AC106&lt;WORLDCUP!AD106,2,IF(AND(WORLDCUP!AC106=WORLDCUP!AD106,WORLDCUP!AC106&lt;&gt;"",WORLDCUP!AD106&lt;&gt;""),"X",0))),"|",WORLDCUP!AC106,"-",WORLDCUP!AD106)</f>
        <v>Francia-3CDFGH·0|-</v>
      </c>
      <c r="D169" s="675"/>
      <c r="E169" s="356"/>
      <c r="F169" s="356"/>
      <c r="G169" s="356"/>
      <c r="H169" s="356"/>
      <c r="I169" s="338"/>
      <c r="J169" s="356"/>
      <c r="K169" s="356"/>
      <c r="L169" s="356"/>
      <c r="M169" s="372"/>
      <c r="N169" s="363"/>
    </row>
    <row r="170" spans="1:14" ht="15" customHeight="1">
      <c r="A170" s="673"/>
      <c r="B170" s="346" t="str">
        <f ca="1">CONCATENATE(WORLDCUP!AA107,"-",WORLDCUP!AF107)</f>
        <v>México-3CEFHI</v>
      </c>
      <c r="C170" s="335" t="str">
        <f ca="1">CONCATENATE(WORLDCUP!AA107,"-",WORLDCUP!AF107,"·",IF(WORLDCUP!AC107&gt;WORLDCUP!AD107,1,IF(WORLDCUP!AC107&lt;WORLDCUP!AD107,2,IF(AND(WORLDCUP!AC107=WORLDCUP!AD107,WORLDCUP!AC107&lt;&gt;"",WORLDCUP!AD107&lt;&gt;""),"X",0))),"|",WORLDCUP!AC107,"-",WORLDCUP!AD107)</f>
        <v>México-3CEFHI·0|-</v>
      </c>
      <c r="D170" s="675"/>
      <c r="E170" s="356"/>
      <c r="F170" s="356"/>
      <c r="G170" s="356"/>
      <c r="H170" s="356"/>
      <c r="I170" s="338"/>
      <c r="J170" s="356"/>
      <c r="K170" s="356"/>
      <c r="L170" s="356"/>
      <c r="M170" s="372"/>
      <c r="N170" s="363"/>
    </row>
    <row r="171" spans="1:14" ht="15" customHeight="1">
      <c r="A171" s="673"/>
      <c r="B171" s="346" t="str">
        <f ca="1">CONCATENATE(WORLDCUP!AA108,"-",WORLDCUP!AF108)</f>
        <v>1L-3EHIJK</v>
      </c>
      <c r="C171" s="335" t="str">
        <f ca="1">CONCATENATE(WORLDCUP!AA108,"-",WORLDCUP!AF108,"·",IF(WORLDCUP!AC108&gt;WORLDCUP!AD108,1,IF(WORLDCUP!AC108&lt;WORLDCUP!AD108,2,IF(AND(WORLDCUP!AC108=WORLDCUP!AD108,WORLDCUP!AC108&lt;&gt;"",WORLDCUP!AD108&lt;&gt;""),"X",0))),"|",WORLDCUP!AC108,"-",WORLDCUP!AD108)</f>
        <v>1L-3EHIJK·0|-</v>
      </c>
      <c r="D171" s="675"/>
      <c r="E171" s="356"/>
      <c r="F171" s="356"/>
      <c r="G171" s="356"/>
      <c r="H171" s="356"/>
      <c r="I171" s="338"/>
      <c r="J171" s="356"/>
      <c r="K171" s="356"/>
      <c r="L171" s="356"/>
      <c r="M171" s="372"/>
      <c r="N171" s="363"/>
    </row>
    <row r="172" spans="1:14" ht="15" customHeight="1">
      <c r="A172" s="673"/>
      <c r="B172" s="346" t="str">
        <f ca="1">CONCATENATE(WORLDCUP!AA109,"-",WORLDCUP!AF109)</f>
        <v>Bélgica-3AEHIJ</v>
      </c>
      <c r="C172" s="335" t="str">
        <f ca="1">CONCATENATE(WORLDCUP!AA109,"-",WORLDCUP!AF109,"·",IF(WORLDCUP!AC109&gt;WORLDCUP!AD109,1,IF(WORLDCUP!AC109&lt;WORLDCUP!AD109,2,IF(AND(WORLDCUP!AC109=WORLDCUP!AD109,WORLDCUP!AC109&lt;&gt;"",WORLDCUP!AD109&lt;&gt;""),"X",0))),"|",WORLDCUP!AC109,"-",WORLDCUP!AD109)</f>
        <v>Bélgica-3AEHIJ·0|-</v>
      </c>
      <c r="D172" s="675"/>
      <c r="E172" s="356"/>
      <c r="F172" s="356"/>
      <c r="G172" s="356"/>
      <c r="H172" s="356"/>
      <c r="I172" s="338"/>
      <c r="J172" s="356"/>
      <c r="K172" s="356"/>
      <c r="L172" s="356"/>
      <c r="M172" s="372"/>
      <c r="N172" s="363"/>
    </row>
    <row r="173" spans="1:14" ht="15" customHeight="1">
      <c r="A173" s="673"/>
      <c r="B173" s="346" t="str">
        <f ca="1">CONCATENATE(WORLDCUP!AA110,"-",WORLDCUP!AF110)</f>
        <v>Estados Unidos-3BEFIJ</v>
      </c>
      <c r="C173" s="335" t="str">
        <f ca="1">CONCATENATE(WORLDCUP!AA110,"-",WORLDCUP!AF110,"·",IF(WORLDCUP!AC110&gt;WORLDCUP!AD110,1,IF(WORLDCUP!AC110&lt;WORLDCUP!AD110,2,IF(AND(WORLDCUP!AC110=WORLDCUP!AD110,WORLDCUP!AC110&lt;&gt;"",WORLDCUP!AD110&lt;&gt;""),"X",0))),"|",WORLDCUP!AC110,"-",WORLDCUP!AD110)</f>
        <v>Estados Unidos-3BEFIJ·0|-</v>
      </c>
      <c r="D173" s="675"/>
      <c r="E173" s="356"/>
      <c r="F173" s="356"/>
      <c r="G173" s="356"/>
      <c r="H173" s="356"/>
      <c r="I173" s="338"/>
      <c r="J173" s="356"/>
      <c r="K173" s="356"/>
      <c r="L173" s="356"/>
      <c r="M173" s="372"/>
      <c r="N173" s="363"/>
    </row>
    <row r="174" spans="1:14" ht="15" customHeight="1">
      <c r="A174" s="673"/>
      <c r="B174" s="346" t="str">
        <f ca="1">CONCATENATE(WORLDCUP!AA111,"-",WORLDCUP!AF111)</f>
        <v>España-2J</v>
      </c>
      <c r="C174" s="335" t="str">
        <f ca="1">CONCATENATE(WORLDCUP!AA111,"-",WORLDCUP!AF111,"·",IF(WORLDCUP!AC111&gt;WORLDCUP!AD111,1,IF(WORLDCUP!AC111&lt;WORLDCUP!AD111,2,IF(AND(WORLDCUP!AC111=WORLDCUP!AD111,WORLDCUP!AC111&lt;&gt;"",WORLDCUP!AD111&lt;&gt;""),"X",0))),"|",WORLDCUP!AC111,"-",WORLDCUP!AD111)</f>
        <v>España-2J·0|-</v>
      </c>
      <c r="D174" s="675"/>
      <c r="E174" s="356"/>
      <c r="F174" s="356"/>
      <c r="G174" s="356"/>
      <c r="H174" s="356"/>
      <c r="I174" s="338"/>
      <c r="J174" s="356"/>
      <c r="K174" s="356"/>
      <c r="L174" s="356"/>
      <c r="M174" s="372"/>
      <c r="N174" s="363"/>
    </row>
    <row r="175" spans="1:14" ht="15" customHeight="1">
      <c r="A175" s="673"/>
      <c r="B175" s="346" t="str">
        <f ca="1">CONCATENATE(WORLDCUP!AA112,"-",WORLDCUP!AF112)</f>
        <v>2K-2L</v>
      </c>
      <c r="C175" s="335" t="str">
        <f ca="1">CONCATENATE(WORLDCUP!AA112,"-",WORLDCUP!AF112,"·",IF(WORLDCUP!AC112&gt;WORLDCUP!AD112,1,IF(WORLDCUP!AC112&lt;WORLDCUP!AD112,2,IF(AND(WORLDCUP!AC112=WORLDCUP!AD112,WORLDCUP!AC112&lt;&gt;"",WORLDCUP!AD112&lt;&gt;""),"X",0))),"|",WORLDCUP!AC112,"-",WORLDCUP!AD112)</f>
        <v>2K-2L·0|-</v>
      </c>
      <c r="D175" s="675"/>
      <c r="E175" s="356"/>
      <c r="F175" s="356"/>
      <c r="G175" s="356"/>
      <c r="H175" s="356"/>
      <c r="I175" s="338"/>
      <c r="J175" s="356"/>
      <c r="K175" s="356"/>
      <c r="L175" s="356"/>
      <c r="M175" s="372"/>
      <c r="N175" s="363"/>
    </row>
    <row r="176" spans="1:14" ht="15" customHeight="1">
      <c r="A176" s="673"/>
      <c r="B176" s="346" t="str">
        <f ca="1">CONCATENATE(WORLDCUP!AA113,"-",WORLDCUP!AF113)</f>
        <v>Suiza-3EFGIJ</v>
      </c>
      <c r="C176" s="335" t="str">
        <f ca="1">CONCATENATE(WORLDCUP!AA113,"-",WORLDCUP!AF113,"·",IF(WORLDCUP!AC113&gt;WORLDCUP!AD113,1,IF(WORLDCUP!AC113&lt;WORLDCUP!AD113,2,IF(AND(WORLDCUP!AC113=WORLDCUP!AD113,WORLDCUP!AC113&lt;&gt;"",WORLDCUP!AD113&lt;&gt;""),"X",0))),"|",WORLDCUP!AC113,"-",WORLDCUP!AD113)</f>
        <v>Suiza-3EFGIJ·0|-</v>
      </c>
      <c r="D176" s="675"/>
      <c r="E176" s="356"/>
      <c r="F176" s="356"/>
      <c r="G176" s="356"/>
      <c r="H176" s="356"/>
      <c r="I176" s="338"/>
      <c r="J176" s="356"/>
      <c r="K176" s="356"/>
      <c r="L176" s="356"/>
      <c r="M176" s="372"/>
      <c r="N176" s="363"/>
    </row>
    <row r="177" spans="1:14" ht="15" customHeight="1">
      <c r="A177" s="673"/>
      <c r="B177" s="346" t="str">
        <f ca="1">CONCATENATE(WORLDCUP!AA114,"-",WORLDCUP!AF114)</f>
        <v>Australia-Egipto</v>
      </c>
      <c r="C177" s="335" t="str">
        <f ca="1">CONCATENATE(WORLDCUP!AA114,"-",WORLDCUP!AF114,"·",IF(WORLDCUP!AC114&gt;WORLDCUP!AD114,1,IF(WORLDCUP!AC114&lt;WORLDCUP!AD114,2,IF(AND(WORLDCUP!AC114=WORLDCUP!AD114,WORLDCUP!AC114&lt;&gt;"",WORLDCUP!AD114&lt;&gt;""),"X",0))),"|",WORLDCUP!AC114,"-",WORLDCUP!AD114)</f>
        <v>Australia-Egipto·0|-</v>
      </c>
      <c r="D177" s="675"/>
      <c r="E177" s="356"/>
      <c r="F177" s="356"/>
      <c r="G177" s="356"/>
      <c r="H177" s="356"/>
      <c r="I177" s="338"/>
      <c r="J177" s="356"/>
      <c r="K177" s="356"/>
      <c r="L177" s="356"/>
      <c r="M177" s="372"/>
      <c r="N177" s="363"/>
    </row>
    <row r="178" spans="1:14" ht="15" customHeight="1">
      <c r="A178" s="673"/>
      <c r="B178" s="346" t="str">
        <f ca="1">CONCATENATE(WORLDCUP!AA115,"-",WORLDCUP!AF115)</f>
        <v>1J-Cabo Verde</v>
      </c>
      <c r="C178" s="335" t="str">
        <f ca="1">CONCATENATE(WORLDCUP!AA115,"-",WORLDCUP!AF115,"·",IF(WORLDCUP!AC115&gt;WORLDCUP!AD115,1,IF(WORLDCUP!AC115&lt;WORLDCUP!AD115,2,IF(AND(WORLDCUP!AC115=WORLDCUP!AD115,WORLDCUP!AC115&lt;&gt;"",WORLDCUP!AD115&lt;&gt;""),"X",0))),"|",WORLDCUP!AC115,"-",WORLDCUP!AD115)</f>
        <v>1J-Cabo Verde·0|-</v>
      </c>
      <c r="D178" s="675"/>
      <c r="E178" s="356"/>
      <c r="F178" s="356"/>
      <c r="G178" s="356"/>
      <c r="H178" s="356"/>
      <c r="I178" s="338"/>
      <c r="J178" s="356"/>
      <c r="K178" s="356"/>
      <c r="L178" s="356"/>
      <c r="M178" s="372"/>
      <c r="N178" s="363"/>
    </row>
    <row r="179" spans="1:14" ht="15" customHeight="1">
      <c r="A179" s="673"/>
      <c r="B179" s="346" t="str">
        <f ca="1">CONCATENATE(WORLDCUP!AA116,"-",WORLDCUP!AF116)</f>
        <v>1K-3DEIJL</v>
      </c>
      <c r="C179" s="335" t="str">
        <f ca="1">CONCATENATE(WORLDCUP!AA116,"-",WORLDCUP!AF116,"·",IF(WORLDCUP!AC116&gt;WORLDCUP!AD116,1,IF(WORLDCUP!AC116&lt;WORLDCUP!AD116,2,IF(AND(WORLDCUP!AC116=WORLDCUP!AD116,WORLDCUP!AC116&lt;&gt;"",WORLDCUP!AD116&lt;&gt;""),"X",0))),"|",WORLDCUP!AC116,"-",WORLDCUP!AD116)</f>
        <v>1K-3DEIJL·0|-</v>
      </c>
      <c r="D179" s="675"/>
      <c r="E179" s="356"/>
      <c r="F179" s="356"/>
      <c r="G179" s="356"/>
      <c r="H179" s="356"/>
      <c r="I179" s="338"/>
      <c r="J179" s="356"/>
      <c r="K179" s="356"/>
      <c r="L179" s="356"/>
      <c r="M179" s="372"/>
      <c r="N179" s="363"/>
    </row>
    <row r="180" spans="1:14" ht="15" customHeight="1">
      <c r="A180" s="339"/>
      <c r="B180" s="339"/>
      <c r="C180" s="336"/>
      <c r="D180" s="675"/>
      <c r="E180" s="356"/>
      <c r="F180" s="356"/>
      <c r="G180" s="356"/>
      <c r="H180" s="356"/>
      <c r="I180" s="338"/>
      <c r="J180" s="356"/>
      <c r="K180" s="356"/>
      <c r="L180" s="356"/>
      <c r="M180" s="372"/>
      <c r="N180" s="363"/>
    </row>
    <row r="181" spans="1:14" ht="19" customHeight="1">
      <c r="A181" s="339"/>
      <c r="B181" s="344" t="str">
        <f>Idiomas!D129</f>
        <v>CLASIFICADOS PARA OCTAVOS</v>
      </c>
      <c r="C181" s="336"/>
      <c r="D181" s="675"/>
      <c r="E181" s="356"/>
      <c r="F181" s="356"/>
      <c r="G181" s="356"/>
      <c r="H181" s="356"/>
      <c r="I181" s="338"/>
      <c r="J181" s="356"/>
      <c r="K181" s="356"/>
      <c r="L181" s="356"/>
      <c r="M181" s="372"/>
      <c r="N181" s="363"/>
    </row>
    <row r="182" spans="1:14" ht="15" customHeight="1">
      <c r="A182" s="673" t="s">
        <v>89</v>
      </c>
      <c r="B182" s="346" t="str">
        <f>Idiomas!$D$189</f>
        <v>Octavofinalista</v>
      </c>
      <c r="C182" s="335" t="str">
        <f>WORLDCUP!AA120</f>
        <v>W73</v>
      </c>
      <c r="D182" s="675"/>
      <c r="E182" s="356"/>
      <c r="F182" s="356"/>
      <c r="G182" s="356"/>
      <c r="H182" s="356"/>
      <c r="I182" s="338"/>
      <c r="J182" s="356"/>
      <c r="K182" s="356"/>
      <c r="L182" s="356"/>
      <c r="M182" s="372"/>
      <c r="N182" s="363"/>
    </row>
    <row r="183" spans="1:14" ht="15" customHeight="1">
      <c r="A183" s="673"/>
      <c r="B183" s="346" t="str">
        <f>B182</f>
        <v>Octavofinalista</v>
      </c>
      <c r="C183" s="335" t="str">
        <f>WORLDCUP!AA121</f>
        <v>W74</v>
      </c>
      <c r="D183" s="675"/>
      <c r="E183" s="356"/>
      <c r="F183" s="356"/>
      <c r="G183" s="356"/>
      <c r="H183" s="356"/>
      <c r="I183" s="338"/>
      <c r="J183" s="356"/>
      <c r="K183" s="356"/>
      <c r="L183" s="356"/>
      <c r="M183" s="372"/>
      <c r="N183" s="363"/>
    </row>
    <row r="184" spans="1:14" ht="15" customHeight="1">
      <c r="A184" s="673"/>
      <c r="B184" s="346" t="str">
        <f t="shared" ref="B184:B197" si="2">B183</f>
        <v>Octavofinalista</v>
      </c>
      <c r="C184" s="335" t="str">
        <f>WORLDCUP!AA122</f>
        <v>W76</v>
      </c>
      <c r="D184" s="675"/>
      <c r="E184" s="356"/>
      <c r="F184" s="356"/>
      <c r="G184" s="356"/>
      <c r="H184" s="356"/>
      <c r="I184" s="338"/>
      <c r="J184" s="356"/>
      <c r="K184" s="356"/>
      <c r="L184" s="356"/>
      <c r="M184" s="372"/>
      <c r="N184" s="363"/>
    </row>
    <row r="185" spans="1:14" ht="15" customHeight="1">
      <c r="A185" s="673"/>
      <c r="B185" s="346" t="str">
        <f t="shared" si="2"/>
        <v>Octavofinalista</v>
      </c>
      <c r="C185" s="335" t="str">
        <f>WORLDCUP!AA123</f>
        <v>W79</v>
      </c>
      <c r="D185" s="675"/>
      <c r="E185" s="356"/>
      <c r="F185" s="356"/>
      <c r="G185" s="356"/>
      <c r="H185" s="356"/>
      <c r="I185" s="338"/>
      <c r="J185" s="356"/>
      <c r="K185" s="356"/>
      <c r="L185" s="356"/>
      <c r="M185" s="372"/>
      <c r="N185" s="363"/>
    </row>
    <row r="186" spans="1:14" ht="15" customHeight="1">
      <c r="A186" s="673"/>
      <c r="B186" s="346" t="str">
        <f t="shared" si="2"/>
        <v>Octavofinalista</v>
      </c>
      <c r="C186" s="335" t="str">
        <f>WORLDCUP!AA124</f>
        <v>W83</v>
      </c>
      <c r="D186" s="675"/>
      <c r="E186" s="356"/>
      <c r="F186" s="356"/>
      <c r="G186" s="356"/>
      <c r="H186" s="356"/>
      <c r="I186" s="338"/>
      <c r="J186" s="356"/>
      <c r="K186" s="356"/>
      <c r="L186" s="356"/>
      <c r="M186" s="372"/>
      <c r="N186" s="363"/>
    </row>
    <row r="187" spans="1:14" ht="15" customHeight="1">
      <c r="A187" s="673"/>
      <c r="B187" s="346" t="str">
        <f t="shared" si="2"/>
        <v>Octavofinalista</v>
      </c>
      <c r="C187" s="335" t="str">
        <f>WORLDCUP!AA125</f>
        <v>W81</v>
      </c>
      <c r="D187" s="675"/>
      <c r="E187" s="356"/>
      <c r="F187" s="356"/>
      <c r="G187" s="356"/>
      <c r="H187" s="356"/>
      <c r="I187" s="338"/>
      <c r="J187" s="356"/>
      <c r="K187" s="356"/>
      <c r="L187" s="356"/>
      <c r="M187" s="372"/>
      <c r="N187" s="363"/>
    </row>
    <row r="188" spans="1:14" ht="15" customHeight="1">
      <c r="A188" s="673"/>
      <c r="B188" s="346" t="str">
        <f t="shared" si="2"/>
        <v>Octavofinalista</v>
      </c>
      <c r="C188" s="335" t="str">
        <f>WORLDCUP!AA126</f>
        <v>W86</v>
      </c>
      <c r="D188" s="675"/>
      <c r="E188" s="356"/>
      <c r="F188" s="356"/>
      <c r="G188" s="356"/>
      <c r="H188" s="356"/>
      <c r="I188" s="338"/>
      <c r="J188" s="356"/>
      <c r="K188" s="356"/>
      <c r="L188" s="356"/>
      <c r="M188" s="372"/>
      <c r="N188" s="363"/>
    </row>
    <row r="189" spans="1:14" ht="15" customHeight="1">
      <c r="A189" s="673"/>
      <c r="B189" s="346" t="str">
        <f t="shared" si="2"/>
        <v>Octavofinalista</v>
      </c>
      <c r="C189" s="335" t="str">
        <f>WORLDCUP!AA127</f>
        <v>W85</v>
      </c>
      <c r="D189" s="675"/>
      <c r="E189" s="356"/>
      <c r="F189" s="356"/>
      <c r="G189" s="356"/>
      <c r="H189" s="356"/>
      <c r="I189" s="338"/>
      <c r="J189" s="356"/>
      <c r="K189" s="356"/>
      <c r="L189" s="356"/>
      <c r="M189" s="372"/>
      <c r="N189" s="363"/>
    </row>
    <row r="190" spans="1:14" ht="15" customHeight="1">
      <c r="A190" s="673"/>
      <c r="B190" s="346" t="str">
        <f t="shared" si="2"/>
        <v>Octavofinalista</v>
      </c>
      <c r="C190" s="335" t="str">
        <f>WORLDCUP!AF120</f>
        <v>W75</v>
      </c>
      <c r="D190" s="675"/>
      <c r="E190" s="356"/>
      <c r="F190" s="356"/>
      <c r="G190" s="356"/>
      <c r="H190" s="356"/>
      <c r="I190" s="338"/>
      <c r="J190" s="356"/>
      <c r="K190" s="356"/>
      <c r="L190" s="356"/>
      <c r="M190" s="372"/>
      <c r="N190" s="363"/>
    </row>
    <row r="191" spans="1:14" ht="15" customHeight="1">
      <c r="A191" s="673"/>
      <c r="B191" s="346" t="str">
        <f t="shared" si="2"/>
        <v>Octavofinalista</v>
      </c>
      <c r="C191" s="335" t="str">
        <f>WORLDCUP!AF121</f>
        <v>W77</v>
      </c>
      <c r="D191" s="675"/>
      <c r="E191" s="356"/>
      <c r="F191" s="356"/>
      <c r="G191" s="356"/>
      <c r="H191" s="356"/>
      <c r="I191" s="338"/>
      <c r="J191" s="356"/>
      <c r="K191" s="356"/>
      <c r="L191" s="356"/>
      <c r="M191" s="372"/>
      <c r="N191" s="363"/>
    </row>
    <row r="192" spans="1:14" ht="15" customHeight="1">
      <c r="A192" s="673"/>
      <c r="B192" s="346" t="str">
        <f t="shared" si="2"/>
        <v>Octavofinalista</v>
      </c>
      <c r="C192" s="335" t="str">
        <f>WORLDCUP!AF122</f>
        <v>W78</v>
      </c>
      <c r="D192" s="675"/>
      <c r="E192" s="356"/>
      <c r="F192" s="356"/>
      <c r="G192" s="356"/>
      <c r="H192" s="356"/>
      <c r="I192" s="338"/>
      <c r="J192" s="356"/>
      <c r="K192" s="356"/>
      <c r="L192" s="356"/>
      <c r="M192" s="372"/>
      <c r="N192" s="363"/>
    </row>
    <row r="193" spans="1:14" ht="15" customHeight="1">
      <c r="A193" s="673"/>
      <c r="B193" s="346" t="str">
        <f t="shared" si="2"/>
        <v>Octavofinalista</v>
      </c>
      <c r="C193" s="335" t="str">
        <f>WORLDCUP!AF123</f>
        <v>W80</v>
      </c>
      <c r="D193" s="675"/>
      <c r="E193" s="356"/>
      <c r="F193" s="356"/>
      <c r="G193" s="356"/>
      <c r="H193" s="356"/>
      <c r="I193" s="338"/>
      <c r="J193" s="356"/>
      <c r="K193" s="356"/>
      <c r="L193" s="356"/>
      <c r="M193" s="372"/>
      <c r="N193" s="363"/>
    </row>
    <row r="194" spans="1:14" ht="15" customHeight="1">
      <c r="A194" s="673"/>
      <c r="B194" s="346" t="str">
        <f t="shared" si="2"/>
        <v>Octavofinalista</v>
      </c>
      <c r="C194" s="335" t="str">
        <f>WORLDCUP!AF124</f>
        <v>W84</v>
      </c>
      <c r="D194" s="675"/>
      <c r="E194" s="356"/>
      <c r="F194" s="356"/>
      <c r="G194" s="356"/>
      <c r="H194" s="356"/>
      <c r="I194" s="338"/>
      <c r="J194" s="356"/>
      <c r="K194" s="356"/>
      <c r="L194" s="356"/>
      <c r="M194" s="372"/>
      <c r="N194" s="363"/>
    </row>
    <row r="195" spans="1:14" ht="15" customHeight="1">
      <c r="A195" s="673"/>
      <c r="B195" s="346" t="str">
        <f t="shared" si="2"/>
        <v>Octavofinalista</v>
      </c>
      <c r="C195" s="335" t="str">
        <f>WORLDCUP!AF125</f>
        <v>W82</v>
      </c>
      <c r="D195" s="675"/>
      <c r="E195" s="356"/>
      <c r="F195" s="356"/>
      <c r="G195" s="356"/>
      <c r="H195" s="356"/>
      <c r="I195" s="338"/>
      <c r="J195" s="356"/>
      <c r="K195" s="356"/>
      <c r="L195" s="356"/>
      <c r="M195" s="372"/>
      <c r="N195" s="363"/>
    </row>
    <row r="196" spans="1:14" ht="15" customHeight="1">
      <c r="A196" s="673"/>
      <c r="B196" s="346" t="str">
        <f t="shared" si="2"/>
        <v>Octavofinalista</v>
      </c>
      <c r="C196" s="335" t="str">
        <f>WORLDCUP!AF126</f>
        <v>W88</v>
      </c>
      <c r="D196" s="675"/>
      <c r="E196" s="356"/>
      <c r="F196" s="356"/>
      <c r="G196" s="356"/>
      <c r="H196" s="356"/>
      <c r="I196" s="338"/>
      <c r="J196" s="356"/>
      <c r="K196" s="356"/>
      <c r="L196" s="356"/>
      <c r="M196" s="372"/>
      <c r="N196" s="363"/>
    </row>
    <row r="197" spans="1:14" ht="15" customHeight="1">
      <c r="A197" s="673"/>
      <c r="B197" s="346" t="str">
        <f t="shared" si="2"/>
        <v>Octavofinalista</v>
      </c>
      <c r="C197" s="335" t="str">
        <f>WORLDCUP!AF127</f>
        <v>W87</v>
      </c>
      <c r="D197" s="675"/>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73" t="s">
        <v>89</v>
      </c>
      <c r="B200" s="347" t="str">
        <f>CONCATENATE(WORLDCUP!AA120,"-",WORLDCUP!AF120)</f>
        <v>W73-W75</v>
      </c>
      <c r="C200" s="337" t="str">
        <f>CONCATENATE(WORLDCUP!AA120,"-",WORLDCUP!AF120,"·",IF(WORLDCUP!AC120&gt;WORLDCUP!AD120,1,IF(WORLDCUP!AC120&lt;WORLDCUP!AD120,2,IF(AND(WORLDCUP!AC120=WORLDCUP!AD120,WORLDCUP!AC120&lt;&gt;"",WORLDCUP!AD120&lt;&gt;""),"X",0))),"|",WORLDCUP!AC120,"-",WORLDCUP!AD120)</f>
        <v>W73-W75·0|-</v>
      </c>
      <c r="D200" s="674" t="s">
        <v>89</v>
      </c>
      <c r="E200" s="669" t="str">
        <f>Idiomas!D116</f>
        <v>·Para los octavos de final copiar de la C200 a la C217 y pega valores en la plantilla de administrador.</v>
      </c>
      <c r="F200" s="669"/>
      <c r="G200" s="669"/>
      <c r="H200" s="669"/>
      <c r="I200" s="338"/>
      <c r="J200" s="356"/>
      <c r="K200" s="356"/>
      <c r="L200" s="356"/>
      <c r="M200" s="372"/>
      <c r="N200" s="363"/>
    </row>
    <row r="201" spans="1:14" ht="15" customHeight="1">
      <c r="A201" s="673"/>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74"/>
      <c r="E201" s="669"/>
      <c r="F201" s="669"/>
      <c r="G201" s="669"/>
      <c r="H201" s="669"/>
      <c r="I201" s="338"/>
      <c r="J201" s="356"/>
      <c r="K201" s="356"/>
      <c r="L201" s="356"/>
      <c r="M201" s="372"/>
      <c r="N201" s="363"/>
    </row>
    <row r="202" spans="1:14" ht="15" customHeight="1">
      <c r="A202" s="673"/>
      <c r="B202" s="347" t="str">
        <f>CONCATENATE(WORLDCUP!AA122,"-",WORLDCUP!AF122)</f>
        <v>W76-W78</v>
      </c>
      <c r="C202" s="337" t="str">
        <f>CONCATENATE(WORLDCUP!AA122,"-",WORLDCUP!AF122,"·",IF(WORLDCUP!AC122&gt;WORLDCUP!AD122,1,IF(WORLDCUP!AC122&lt;WORLDCUP!AD122,2,IF(AND(WORLDCUP!AC122=WORLDCUP!AD122,WORLDCUP!AC122&lt;&gt;"",WORLDCUP!AD122&lt;&gt;""),"X",0))),"|",WORLDCUP!AC122,"-",WORLDCUP!AD122)</f>
        <v>W76-W78·0|-</v>
      </c>
      <c r="D202" s="674"/>
      <c r="E202" s="669"/>
      <c r="F202" s="669"/>
      <c r="G202" s="669"/>
      <c r="H202" s="669"/>
      <c r="I202" s="338"/>
      <c r="J202" s="356"/>
      <c r="K202" s="356"/>
      <c r="L202" s="356"/>
      <c r="M202" s="372"/>
      <c r="N202" s="363"/>
    </row>
    <row r="203" spans="1:14" ht="15" customHeight="1">
      <c r="A203" s="673"/>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74"/>
      <c r="E203" s="669"/>
      <c r="F203" s="669"/>
      <c r="G203" s="669"/>
      <c r="H203" s="669"/>
      <c r="I203" s="338"/>
      <c r="J203" s="356"/>
      <c r="K203" s="356"/>
      <c r="L203" s="356"/>
      <c r="M203" s="372"/>
      <c r="N203" s="363"/>
    </row>
    <row r="204" spans="1:14" ht="15" customHeight="1">
      <c r="A204" s="673"/>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74"/>
      <c r="E204" s="338"/>
      <c r="F204" s="338"/>
      <c r="G204" s="338"/>
      <c r="H204" s="338"/>
      <c r="I204" s="338"/>
      <c r="J204" s="356"/>
      <c r="K204" s="356"/>
      <c r="L204" s="356"/>
      <c r="M204" s="372"/>
      <c r="N204" s="363"/>
    </row>
    <row r="205" spans="1:14" ht="15" customHeight="1">
      <c r="A205" s="673"/>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74"/>
      <c r="E205" s="338"/>
      <c r="F205" s="338"/>
      <c r="G205" s="338"/>
      <c r="H205" s="338"/>
      <c r="I205" s="338"/>
      <c r="J205" s="356"/>
      <c r="K205" s="356"/>
      <c r="L205" s="356"/>
      <c r="M205" s="372"/>
      <c r="N205" s="363"/>
    </row>
    <row r="206" spans="1:14" ht="15" customHeight="1">
      <c r="A206" s="673"/>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74"/>
      <c r="E206" s="338"/>
      <c r="F206" s="338"/>
      <c r="G206" s="338"/>
      <c r="H206" s="338"/>
      <c r="I206" s="338"/>
      <c r="J206" s="356"/>
      <c r="K206" s="356"/>
      <c r="L206" s="356"/>
      <c r="M206" s="372"/>
      <c r="N206" s="363"/>
    </row>
    <row r="207" spans="1:14" ht="15" customHeight="1">
      <c r="A207" s="673"/>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74"/>
      <c r="E207" s="338"/>
      <c r="F207" s="338"/>
      <c r="G207" s="338"/>
      <c r="H207" s="338"/>
      <c r="I207" s="338"/>
      <c r="J207" s="356"/>
      <c r="K207" s="356"/>
      <c r="L207" s="356"/>
      <c r="M207" s="372"/>
      <c r="N207" s="363"/>
    </row>
    <row r="208" spans="1:14" ht="15" customHeight="1">
      <c r="A208" s="339"/>
      <c r="B208" s="339"/>
      <c r="C208" s="336"/>
      <c r="D208" s="674"/>
      <c r="E208" s="356"/>
      <c r="F208" s="356"/>
      <c r="G208" s="356"/>
      <c r="H208" s="356"/>
      <c r="I208" s="338"/>
      <c r="J208" s="356"/>
      <c r="K208" s="356"/>
      <c r="L208" s="356"/>
      <c r="M208" s="372"/>
      <c r="N208" s="363"/>
    </row>
    <row r="209" spans="1:14" ht="19" customHeight="1">
      <c r="A209" s="339"/>
      <c r="B209" s="344" t="str">
        <f>Idiomas!D131</f>
        <v>CLASIFICADOS PARA CUARTOS</v>
      </c>
      <c r="C209" s="336"/>
      <c r="D209" s="674"/>
      <c r="E209" s="356"/>
      <c r="F209" s="356"/>
      <c r="G209" s="356"/>
      <c r="H209" s="356"/>
      <c r="I209" s="338"/>
      <c r="J209" s="356"/>
      <c r="K209" s="356"/>
      <c r="L209" s="356"/>
      <c r="M209" s="372"/>
      <c r="N209" s="363"/>
    </row>
    <row r="210" spans="1:14" ht="15" customHeight="1">
      <c r="A210" s="673" t="s">
        <v>36</v>
      </c>
      <c r="B210" s="346" t="str">
        <f>Idiomas!$D$190</f>
        <v>Cuartofinalista</v>
      </c>
      <c r="C210" s="335" t="str">
        <f>WORLDCUP!AA131</f>
        <v>W89</v>
      </c>
      <c r="D210" s="674"/>
      <c r="E210" s="356"/>
      <c r="F210" s="356"/>
      <c r="G210" s="356"/>
      <c r="H210" s="356"/>
      <c r="I210" s="338"/>
      <c r="J210" s="356"/>
      <c r="K210" s="356"/>
      <c r="L210" s="356"/>
      <c r="M210" s="372"/>
      <c r="N210" s="363"/>
    </row>
    <row r="211" spans="1:14" ht="15" customHeight="1">
      <c r="A211" s="673"/>
      <c r="B211" s="346" t="str">
        <f>B210</f>
        <v>Cuartofinalista</v>
      </c>
      <c r="C211" s="335" t="str">
        <f>WORLDCUP!AA132</f>
        <v>W93</v>
      </c>
      <c r="D211" s="674"/>
      <c r="E211" s="356"/>
      <c r="F211" s="356"/>
      <c r="G211" s="356"/>
      <c r="H211" s="356"/>
      <c r="I211" s="338"/>
      <c r="J211" s="356"/>
      <c r="K211" s="356"/>
      <c r="L211" s="356"/>
      <c r="M211" s="372"/>
      <c r="N211" s="363"/>
    </row>
    <row r="212" spans="1:14" ht="15" customHeight="1">
      <c r="A212" s="673"/>
      <c r="B212" s="346" t="str">
        <f t="shared" ref="B212:B217" si="3">B211</f>
        <v>Cuartofinalista</v>
      </c>
      <c r="C212" s="335" t="str">
        <f>WORLDCUP!AA133</f>
        <v>W91</v>
      </c>
      <c r="D212" s="674"/>
      <c r="E212" s="356"/>
      <c r="F212" s="356"/>
      <c r="G212" s="356"/>
      <c r="H212" s="356"/>
      <c r="I212" s="338"/>
      <c r="J212" s="356"/>
      <c r="K212" s="356"/>
      <c r="L212" s="356"/>
      <c r="M212" s="372"/>
      <c r="N212" s="363"/>
    </row>
    <row r="213" spans="1:14" ht="15" customHeight="1">
      <c r="A213" s="673"/>
      <c r="B213" s="346" t="str">
        <f t="shared" si="3"/>
        <v>Cuartofinalista</v>
      </c>
      <c r="C213" s="335" t="str">
        <f>WORLDCUP!AA134</f>
        <v>W95</v>
      </c>
      <c r="D213" s="674"/>
      <c r="E213" s="356"/>
      <c r="F213" s="356"/>
      <c r="G213" s="356"/>
      <c r="H213" s="356"/>
      <c r="I213" s="338"/>
      <c r="J213" s="356"/>
      <c r="K213" s="356"/>
      <c r="L213" s="356"/>
      <c r="M213" s="372"/>
      <c r="N213" s="363"/>
    </row>
    <row r="214" spans="1:14" ht="15" customHeight="1">
      <c r="A214" s="673"/>
      <c r="B214" s="346" t="str">
        <f t="shared" si="3"/>
        <v>Cuartofinalista</v>
      </c>
      <c r="C214" s="335" t="str">
        <f>WORLDCUP!AF131</f>
        <v>W90</v>
      </c>
      <c r="D214" s="674"/>
      <c r="E214" s="356"/>
      <c r="F214" s="356"/>
      <c r="G214" s="356"/>
      <c r="H214" s="356"/>
      <c r="I214" s="338"/>
      <c r="J214" s="356"/>
      <c r="K214" s="356"/>
      <c r="L214" s="356"/>
      <c r="M214" s="372"/>
      <c r="N214" s="363"/>
    </row>
    <row r="215" spans="1:14" ht="15" customHeight="1">
      <c r="A215" s="673"/>
      <c r="B215" s="346" t="str">
        <f t="shared" si="3"/>
        <v>Cuartofinalista</v>
      </c>
      <c r="C215" s="335" t="str">
        <f>WORLDCUP!AF132</f>
        <v>W94</v>
      </c>
      <c r="D215" s="674"/>
      <c r="E215" s="356"/>
      <c r="F215" s="356"/>
      <c r="G215" s="356"/>
      <c r="H215" s="356"/>
      <c r="I215" s="338"/>
      <c r="J215" s="356"/>
      <c r="K215" s="356"/>
      <c r="L215" s="356"/>
      <c r="M215" s="372"/>
      <c r="N215" s="363"/>
    </row>
    <row r="216" spans="1:14" ht="15" customHeight="1">
      <c r="A216" s="673"/>
      <c r="B216" s="346" t="str">
        <f t="shared" si="3"/>
        <v>Cuartofinalista</v>
      </c>
      <c r="C216" s="335" t="str">
        <f>WORLDCUP!AF133</f>
        <v>W92</v>
      </c>
      <c r="D216" s="674"/>
      <c r="E216" s="356"/>
      <c r="F216" s="356"/>
      <c r="G216" s="356"/>
      <c r="H216" s="356"/>
      <c r="I216" s="338"/>
      <c r="J216" s="356"/>
      <c r="K216" s="356"/>
      <c r="L216" s="356"/>
      <c r="M216" s="372"/>
      <c r="N216" s="363"/>
    </row>
    <row r="217" spans="1:14" ht="15" customHeight="1">
      <c r="A217" s="673"/>
      <c r="B217" s="346" t="str">
        <f t="shared" si="3"/>
        <v>Cuartofinalista</v>
      </c>
      <c r="C217" s="335" t="str">
        <f>WORLDCUP!AF134</f>
        <v>W96</v>
      </c>
      <c r="D217" s="674"/>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73"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75" t="s">
        <v>36</v>
      </c>
      <c r="E220" s="669" t="str">
        <f>Idiomas!D117</f>
        <v>·Para los cuartos de final copiar de la C220 a la C229 y pega valores en la plantilla de administrador.</v>
      </c>
      <c r="F220" s="669"/>
      <c r="G220" s="669"/>
      <c r="H220" s="669"/>
      <c r="I220" s="338"/>
      <c r="J220" s="356"/>
      <c r="K220" s="356"/>
      <c r="L220" s="356"/>
      <c r="M220" s="372"/>
      <c r="N220" s="363"/>
    </row>
    <row r="221" spans="1:14" ht="15" customHeight="1">
      <c r="A221" s="673"/>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75"/>
      <c r="E221" s="669"/>
      <c r="F221" s="669"/>
      <c r="G221" s="669"/>
      <c r="H221" s="669"/>
      <c r="I221" s="338"/>
      <c r="J221" s="356"/>
      <c r="K221" s="356"/>
      <c r="L221" s="356"/>
      <c r="M221" s="372"/>
      <c r="N221" s="363"/>
    </row>
    <row r="222" spans="1:14" ht="15" customHeight="1">
      <c r="A222" s="673"/>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75"/>
      <c r="E222" s="669"/>
      <c r="F222" s="669"/>
      <c r="G222" s="669"/>
      <c r="H222" s="669"/>
      <c r="I222" s="338"/>
      <c r="J222" s="356"/>
      <c r="K222" s="356"/>
      <c r="L222" s="356"/>
      <c r="M222" s="372"/>
      <c r="N222" s="363"/>
    </row>
    <row r="223" spans="1:14" ht="15" customHeight="1">
      <c r="A223" s="673"/>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75"/>
      <c r="E223" s="669"/>
      <c r="F223" s="669"/>
      <c r="G223" s="669"/>
      <c r="H223" s="669"/>
      <c r="I223" s="338"/>
      <c r="J223" s="356"/>
      <c r="K223" s="356"/>
      <c r="L223" s="356"/>
      <c r="M223" s="372"/>
      <c r="N223" s="363"/>
    </row>
    <row r="224" spans="1:14">
      <c r="A224" s="339"/>
      <c r="B224" s="339"/>
      <c r="C224" s="336"/>
      <c r="D224" s="675"/>
      <c r="E224" s="338"/>
      <c r="F224" s="338"/>
      <c r="G224" s="338"/>
      <c r="H224" s="338"/>
      <c r="I224" s="338"/>
      <c r="J224" s="356"/>
      <c r="K224" s="356"/>
      <c r="L224" s="356"/>
      <c r="M224" s="372"/>
      <c r="N224" s="363"/>
    </row>
    <row r="225" spans="1:14" ht="18.5">
      <c r="A225" s="339"/>
      <c r="B225" s="344" t="str">
        <f>Idiomas!D133</f>
        <v>CLASIFICADOS PARA SEMIFINALES</v>
      </c>
      <c r="C225" s="336"/>
      <c r="D225" s="675"/>
      <c r="E225" s="356"/>
      <c r="F225" s="356"/>
      <c r="G225" s="356"/>
      <c r="H225" s="356"/>
      <c r="I225" s="338"/>
      <c r="J225" s="356"/>
      <c r="K225" s="356"/>
      <c r="L225" s="356"/>
      <c r="M225" s="372"/>
      <c r="N225" s="363"/>
    </row>
    <row r="226" spans="1:14" ht="15" customHeight="1">
      <c r="A226" s="673" t="s">
        <v>37</v>
      </c>
      <c r="B226" s="346" t="str">
        <f>Idiomas!$D$191</f>
        <v>Semifinalista</v>
      </c>
      <c r="C226" s="335" t="str">
        <f>WORLDCUP!AA138</f>
        <v>W97</v>
      </c>
      <c r="D226" s="675"/>
      <c r="E226" s="356"/>
      <c r="F226" s="356"/>
      <c r="G226" s="356"/>
      <c r="H226" s="356"/>
      <c r="I226" s="338"/>
      <c r="J226" s="356"/>
      <c r="K226" s="356"/>
      <c r="L226" s="356"/>
      <c r="M226" s="372"/>
      <c r="N226" s="363"/>
    </row>
    <row r="227" spans="1:14" ht="15" customHeight="1">
      <c r="A227" s="673"/>
      <c r="B227" s="346" t="str">
        <f>Idiomas!$D$191</f>
        <v>Semifinalista</v>
      </c>
      <c r="C227" s="335" t="str">
        <f>WORLDCUP!AA139</f>
        <v>W99</v>
      </c>
      <c r="D227" s="675"/>
      <c r="E227" s="356"/>
      <c r="F227" s="356"/>
      <c r="G227" s="356"/>
      <c r="H227" s="356"/>
      <c r="I227" s="338"/>
      <c r="J227" s="356"/>
      <c r="K227" s="356"/>
      <c r="L227" s="356"/>
      <c r="M227" s="372"/>
      <c r="N227" s="363"/>
    </row>
    <row r="228" spans="1:14" ht="15" customHeight="1">
      <c r="A228" s="673"/>
      <c r="B228" s="346" t="str">
        <f>Idiomas!$D$191</f>
        <v>Semifinalista</v>
      </c>
      <c r="C228" s="335" t="str">
        <f>WORLDCUP!AF138</f>
        <v>W98</v>
      </c>
      <c r="D228" s="675"/>
      <c r="E228" s="356"/>
      <c r="F228" s="356"/>
      <c r="G228" s="356"/>
      <c r="H228" s="356"/>
      <c r="I228" s="338"/>
      <c r="J228" s="356"/>
      <c r="K228" s="356"/>
      <c r="L228" s="356"/>
      <c r="M228" s="372"/>
      <c r="N228" s="363"/>
    </row>
    <row r="229" spans="1:14" ht="15" customHeight="1">
      <c r="A229" s="673"/>
      <c r="B229" s="346" t="str">
        <f>Idiomas!$D$191</f>
        <v>Semifinalista</v>
      </c>
      <c r="C229" s="335" t="str">
        <f>WORLDCUP!AF139</f>
        <v>W100</v>
      </c>
      <c r="D229" s="675"/>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71"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74" t="s">
        <v>37</v>
      </c>
      <c r="E232" s="669" t="str">
        <f>Idiomas!D118</f>
        <v>·Para las semifinales copiar de la C232 a la C241 y pega valores en la plantilla de administrador.</v>
      </c>
      <c r="F232" s="669"/>
      <c r="G232" s="669"/>
      <c r="H232" s="669"/>
      <c r="I232" s="338"/>
      <c r="J232" s="356"/>
      <c r="K232" s="356"/>
      <c r="L232" s="356"/>
      <c r="M232" s="372"/>
      <c r="N232" s="363"/>
    </row>
    <row r="233" spans="1:14" ht="15" customHeight="1">
      <c r="A233" s="671"/>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74"/>
      <c r="E233" s="669"/>
      <c r="F233" s="669"/>
      <c r="G233" s="669"/>
      <c r="H233" s="669"/>
      <c r="I233" s="338"/>
      <c r="J233" s="356"/>
      <c r="K233" s="356"/>
      <c r="L233" s="356"/>
      <c r="M233" s="372"/>
      <c r="N233" s="363"/>
    </row>
    <row r="234" spans="1:14" ht="15" customHeight="1">
      <c r="A234" s="339"/>
      <c r="B234" s="339"/>
      <c r="C234" s="336"/>
      <c r="D234" s="674"/>
      <c r="E234" s="669"/>
      <c r="F234" s="669"/>
      <c r="G234" s="669"/>
      <c r="H234" s="669"/>
      <c r="I234" s="338"/>
      <c r="J234" s="356"/>
      <c r="K234" s="356"/>
      <c r="L234" s="356"/>
      <c r="M234" s="372"/>
      <c r="N234" s="363"/>
    </row>
    <row r="235" spans="1:14" ht="18.5">
      <c r="A235" s="339"/>
      <c r="B235" s="344" t="str">
        <f>Idiomas!D135</f>
        <v>CLASIFICADOS PARA EL 3º y 4º PUESTO</v>
      </c>
      <c r="C235" s="336"/>
      <c r="D235" s="674"/>
      <c r="E235" s="669"/>
      <c r="F235" s="669"/>
      <c r="G235" s="669"/>
      <c r="H235" s="669"/>
      <c r="I235" s="338"/>
      <c r="J235" s="356"/>
      <c r="K235" s="356"/>
      <c r="L235" s="356"/>
      <c r="M235" s="372"/>
      <c r="N235" s="363"/>
    </row>
    <row r="236" spans="1:14" ht="15" customHeight="1">
      <c r="A236" s="671" t="s">
        <v>503</v>
      </c>
      <c r="B236" s="346" t="str">
        <f>Idiomas!D192</f>
        <v>3º y 4º puesto</v>
      </c>
      <c r="C236" s="335" t="str">
        <f>WORLDCUP!AA143</f>
        <v>L101</v>
      </c>
      <c r="D236" s="674"/>
      <c r="E236" s="360"/>
      <c r="F236" s="360"/>
      <c r="G236" s="360"/>
      <c r="H236" s="360"/>
      <c r="I236" s="338"/>
      <c r="J236" s="356"/>
      <c r="K236" s="356"/>
      <c r="L236" s="356"/>
      <c r="M236" s="372"/>
      <c r="N236" s="363"/>
    </row>
    <row r="237" spans="1:14" ht="15" customHeight="1">
      <c r="A237" s="671"/>
      <c r="B237" s="346" t="str">
        <f>Idiomas!D192</f>
        <v>3º y 4º puesto</v>
      </c>
      <c r="C237" s="335" t="str">
        <f>WORLDCUP!AF143</f>
        <v>L102</v>
      </c>
      <c r="D237" s="674"/>
      <c r="E237" s="360"/>
      <c r="F237" s="360"/>
      <c r="G237" s="360"/>
      <c r="H237" s="360"/>
      <c r="I237" s="338"/>
      <c r="J237" s="356"/>
      <c r="K237" s="356"/>
      <c r="L237" s="356"/>
      <c r="M237" s="372"/>
      <c r="N237" s="363"/>
    </row>
    <row r="238" spans="1:14" ht="15" customHeight="1">
      <c r="A238" s="339"/>
      <c r="B238" s="339"/>
      <c r="C238" s="336"/>
      <c r="D238" s="674"/>
      <c r="E238" s="360"/>
      <c r="F238" s="360"/>
      <c r="G238" s="360"/>
      <c r="H238" s="360"/>
      <c r="I238" s="338"/>
      <c r="J238" s="356"/>
      <c r="K238" s="356"/>
      <c r="L238" s="356"/>
      <c r="M238" s="372"/>
      <c r="N238" s="363"/>
    </row>
    <row r="239" spans="1:14" ht="19" customHeight="1">
      <c r="A239" s="339"/>
      <c r="B239" s="344" t="str">
        <f>Idiomas!D136</f>
        <v>CLASIFICADOS PARA LA FINAL</v>
      </c>
      <c r="C239" s="336"/>
      <c r="D239" s="674"/>
      <c r="E239" s="360"/>
      <c r="F239" s="360"/>
      <c r="G239" s="360"/>
      <c r="H239" s="360"/>
      <c r="I239" s="338"/>
      <c r="J239" s="356"/>
      <c r="K239" s="356"/>
      <c r="L239" s="356"/>
      <c r="M239" s="372"/>
      <c r="N239" s="363"/>
    </row>
    <row r="240" spans="1:14" ht="15" customHeight="1">
      <c r="A240" s="671" t="s">
        <v>4</v>
      </c>
      <c r="B240" s="346" t="str">
        <f>Idiomas!D193</f>
        <v>Finalista</v>
      </c>
      <c r="C240" s="335" t="str">
        <f>WORLDCUP!AA147</f>
        <v>W101</v>
      </c>
      <c r="D240" s="674"/>
      <c r="E240" s="356"/>
      <c r="F240" s="356"/>
      <c r="G240" s="356"/>
      <c r="H240" s="356"/>
      <c r="I240" s="338"/>
      <c r="J240" s="356"/>
      <c r="K240" s="356"/>
      <c r="L240" s="356"/>
      <c r="M240" s="372"/>
      <c r="N240" s="363"/>
    </row>
    <row r="241" spans="1:14" ht="15" customHeight="1">
      <c r="A241" s="671"/>
      <c r="B241" s="346" t="str">
        <f>B240</f>
        <v>Finalista</v>
      </c>
      <c r="C241" s="335" t="str">
        <f>WORLDCUP!AF147</f>
        <v>W102</v>
      </c>
      <c r="D241" s="674"/>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72" t="s">
        <v>583</v>
      </c>
      <c r="E244" s="670" t="str">
        <f>Idiomas!D119</f>
        <v>·Para el 3º y 4º puesto y la Final copiar de la C244 a la C252 y pega valores en la plantilla de administrador.</v>
      </c>
      <c r="F244" s="670"/>
      <c r="G244" s="670"/>
      <c r="H244" s="670"/>
      <c r="I244" s="367"/>
      <c r="J244" s="356"/>
      <c r="K244" s="356"/>
      <c r="L244" s="356"/>
      <c r="M244" s="372"/>
      <c r="N244" s="363"/>
    </row>
    <row r="245" spans="1:14" ht="15" customHeight="1">
      <c r="A245" s="339"/>
      <c r="B245" s="339"/>
      <c r="C245" s="336"/>
      <c r="D245" s="672"/>
      <c r="E245" s="670"/>
      <c r="F245" s="670"/>
      <c r="G245" s="670"/>
      <c r="H245" s="670"/>
      <c r="I245" s="367"/>
      <c r="J245" s="356"/>
      <c r="K245" s="356"/>
      <c r="L245" s="356"/>
      <c r="M245" s="372"/>
      <c r="N245" s="363"/>
    </row>
    <row r="246" spans="1:14" ht="21" customHeight="1">
      <c r="A246" s="339"/>
      <c r="B246" s="344" t="str">
        <f>Idiomas!D138</f>
        <v>ENFRENTAMIENTO FINAL</v>
      </c>
      <c r="C246" s="336"/>
      <c r="D246" s="672"/>
      <c r="E246" s="670"/>
      <c r="F246" s="670"/>
      <c r="G246" s="670"/>
      <c r="H246" s="670"/>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72"/>
      <c r="E247" s="362"/>
      <c r="F247" s="362"/>
      <c r="G247" s="362"/>
      <c r="H247" s="362"/>
      <c r="I247" s="367"/>
      <c r="J247" s="356"/>
      <c r="K247" s="356"/>
      <c r="L247" s="356"/>
      <c r="M247" s="372"/>
      <c r="N247" s="363"/>
    </row>
    <row r="248" spans="1:14" ht="15" customHeight="1">
      <c r="A248" s="339"/>
      <c r="B248" s="339"/>
      <c r="C248" s="336"/>
      <c r="D248" s="672"/>
      <c r="E248" s="360"/>
      <c r="F248" s="360"/>
      <c r="G248" s="360"/>
      <c r="H248" s="360"/>
      <c r="I248" s="367"/>
      <c r="J248" s="356"/>
      <c r="K248" s="356"/>
      <c r="L248" s="356"/>
      <c r="M248" s="372"/>
      <c r="N248" s="363"/>
    </row>
    <row r="249" spans="1:14" ht="19" customHeight="1">
      <c r="A249" s="339"/>
      <c r="B249" s="344" t="str">
        <f>Idiomas!D139</f>
        <v>CUADRO DE HONOR</v>
      </c>
      <c r="C249" s="336"/>
      <c r="D249" s="672"/>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72"/>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72"/>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72"/>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68" t="str">
        <f>Idiomas!D120</f>
        <v>·Al inicio de la competición si se hace por fases copiar de la C253 a la C258 y pegarla al final del jugador en el archivo de administrador.</v>
      </c>
      <c r="F253" s="668"/>
      <c r="G253" s="668"/>
      <c r="H253" s="668"/>
      <c r="I253" s="378"/>
      <c r="J253" s="378"/>
      <c r="K253" s="378"/>
      <c r="L253" s="379"/>
      <c r="M253" s="379"/>
      <c r="N253" s="363"/>
    </row>
    <row r="254" spans="1:14" ht="15" customHeight="1">
      <c r="A254" s="352"/>
      <c r="B254" s="346" t="e">
        <f>WORLDCUP!#REF!</f>
        <v>#REF!</v>
      </c>
      <c r="C254" s="335" t="e">
        <f>WORLDCUP!#REF!</f>
        <v>#REF!</v>
      </c>
      <c r="D254" s="357"/>
      <c r="E254" s="668"/>
      <c r="F254" s="668"/>
      <c r="G254" s="668"/>
      <c r="H254" s="668"/>
      <c r="I254" s="378"/>
      <c r="J254" s="378"/>
      <c r="K254" s="378"/>
      <c r="L254" s="379"/>
      <c r="M254" s="379"/>
      <c r="N254" s="363"/>
    </row>
    <row r="255" spans="1:14" ht="15" customHeight="1">
      <c r="A255" s="352"/>
      <c r="B255" s="346" t="e">
        <f>WORLDCUP!#REF!</f>
        <v>#REF!</v>
      </c>
      <c r="C255" s="335" t="e">
        <f>WORLDCUP!#REF!</f>
        <v>#REF!</v>
      </c>
      <c r="D255" s="357"/>
      <c r="E255" s="668"/>
      <c r="F255" s="668"/>
      <c r="G255" s="668"/>
      <c r="H255" s="668"/>
      <c r="I255" s="378"/>
      <c r="J255" s="378"/>
      <c r="K255" s="378"/>
      <c r="L255" s="379"/>
      <c r="M255" s="379"/>
      <c r="N255" s="363"/>
    </row>
    <row r="256" spans="1:14" ht="15" customHeight="1">
      <c r="A256" s="349"/>
      <c r="B256" s="346" t="str">
        <f>WORLDCUP!W156</f>
        <v>Balón de Oro  (mejor jugador)</v>
      </c>
      <c r="C256" s="335">
        <f>WORLDCUP!AA156</f>
        <v>0</v>
      </c>
      <c r="D256" s="357"/>
      <c r="E256" s="668"/>
      <c r="F256" s="668"/>
      <c r="G256" s="668"/>
      <c r="H256" s="668"/>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Bél</v>
      </c>
      <c r="U4" s="428">
        <f ca="1">+INDEX(WORLDCUP!$AM$6:$AM$97,MATCH(X4,WORLDCUP!$AI$6:$AI$97,0))</f>
        <v>5</v>
      </c>
      <c r="V4" s="429">
        <f ca="1">+INDEX(WORLDCUP!$AT$6:$AT$97,MATCH(X4,WORLDCUP!$AI$6:$AI$97,0))</f>
        <v>4</v>
      </c>
      <c r="W4" s="430" t="str">
        <f ca="1">+INDEX(WORLDCUP!$AR$6:$AR$97,MATCH(X4,WORLDCUP!$AI$6:$AI$97,0))&amp;"-"&amp;INDEX(WORLDCUP!$AS$6:$AS$97,MATCH(X4,WORLDCUP!$AI$6:$AI$97,0))</f>
        <v>6-2</v>
      </c>
      <c r="X4" s="173" t="s">
        <v>679</v>
      </c>
      <c r="Y4" s="173">
        <v>74</v>
      </c>
      <c r="Z4" s="404" t="s">
        <v>734</v>
      </c>
      <c r="AA4" s="405" t="str">
        <f ca="1">+MID(INDEX(WORLDCUP!$AF$101:$AF$147,MATCH(Y4,WORLDCUP!$Z$101:$Z$147,0)),1,IF(WORLDCUP!$H$113&lt;144,6,3))</f>
        <v>3ABCDF</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73" t="s">
        <v>445</v>
      </c>
      <c r="Y6" s="173">
        <v>77</v>
      </c>
      <c r="Z6" s="404" t="s">
        <v>685</v>
      </c>
      <c r="AA6" s="405" t="str">
        <f ca="1">+MID(INDEX(WORLDCUP!$AA$101:$AA$147,MATCH(Y6,WORLDCUP!$Z$101:$Z$147,0)),1,3)</f>
        <v>Fra</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1</v>
      </c>
      <c r="BI6" s="442">
        <f ca="1">COUNTIF(Pool!$C$130:$C$161,Fixture!BG6)-BJ6-BK6-BL6-BM6-BN6-BO6</f>
        <v>0</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f>IF(ISBLANK(INDEX(WORLDCUP!$AC$4:$AC$147,MATCH(M7,WORLDCUP!$AH$4:$AH$147,0))),"",INDEX(WORLDCUP!$AC$4:$AC$147,MATCH(M7,WORLDCUP!$AH$4:$AH$147,0)))</f>
        <v>1</v>
      </c>
      <c r="Q7" s="424">
        <f>IF(ISBLANK(INDEX(WORLDCUP!$AD$4:$AD$147,MATCH(M7,WORLDCUP!$AH$4:$AH$147,0))),"",INDEX(WORLDCUP!$AD$4:$AD$147,MATCH(M7,WORLDCUP!$AH$4:$AH$147,0)))</f>
        <v>1</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-6</v>
      </c>
      <c r="W7" s="458" t="str">
        <f ca="1">+INDEX(WORLDCUP!$AR$6:$AR$97,MATCH(X7,WORLDCUP!$AI$6:$AI$97,0))&amp;"-"&amp;INDEX(WORLDCUP!$AS$6:$AS$97,MATCH(X7,WORLDCUP!$AI$6:$AI$97,0))</f>
        <v>4-10</v>
      </c>
      <c r="X7" s="173" t="s">
        <v>681</v>
      </c>
      <c r="Y7" s="173">
        <v>77</v>
      </c>
      <c r="Z7" s="404" t="s">
        <v>735</v>
      </c>
      <c r="AA7" s="459" t="str">
        <f ca="1">+MID(INDEX(WORLDCUP!$AF$101:$AF$147,MATCH(Y7,WORLDCUP!$Z$101:$Z$147,0)),1,IF(WORLDCUP!$H$113&lt;144,6,3))</f>
        <v>3CDFGH</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1</v>
      </c>
      <c r="BI7" s="442">
        <f ca="1">COUNTIF(Pool!$C$130:$C$161,Fixture!BG7)-BJ7-BK7-BL7-BM7-BN7-BO7</f>
        <v>0</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f>IF(ISBLANK(INDEX(WORLDCUP!$AC$4:$AC$147,MATCH(M8,WORLDCUP!$AH$4:$AH$147,0))),"",INDEX(WORLDCUP!$AC$4:$AC$147,MATCH(M8,WORLDCUP!$AH$4:$AH$147,0)))</f>
        <v>1</v>
      </c>
      <c r="Q8" s="467">
        <f>IF(ISBLANK(INDEX(WORLDCUP!$AD$4:$AD$147,MATCH(M8,WORLDCUP!$AH$4:$AH$147,0))),"",INDEX(WORLDCUP!$AD$4:$AD$147,MATCH(M8,WORLDCUP!$AH$4:$AH$147,0)))</f>
        <v>5</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t="str">
        <f>+IF(ISBLANK(INDEX(WORLDCUP!$AC$101:$AC$147,MATCH(Y9,WORLDCUP!$Z$101:$Z$147,0))),"",INDEX(WORLDCUP!$AC$101:$AC$147,MATCH(Y9,WORLDCUP!$Z$101:$Z$147,0)))</f>
        <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1</v>
      </c>
      <c r="BI9" s="442">
        <f ca="1">COUNTIF(Pool!$C$130:$C$161,Fixture!BG9)-BJ9-BK9-BL9-BM9-BN9-BO9</f>
        <v>0</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t="str">
        <f>+IF(ISBLANK(INDEX(WORLDCUP!$AD$101:$AD$147,MATCH(Y10,WORLDCUP!$Z$101:$Z$147,0))),"",INDEX(WORLDCUP!$AD$101:$AD$147,MATCH(Y10,WORLDCUP!$Z$101:$Z$147,0)))</f>
        <v/>
      </c>
      <c r="AC10" s="433" t="str">
        <f>+IF(ISBLANK(INDEX(WORLDCUP!$AE$101:$AE$147,MATCH(Y10,WORLDCUP!$Z$101:$Z$147,0))),"","( "&amp;INDEX(WORLDCUP!$AE$101:$AE$147,MATCH(Y10,WORLDCUP!$Z$101:$Z$147,0))&amp;" )")</f>
        <v/>
      </c>
      <c r="AD10" s="479">
        <v>90</v>
      </c>
      <c r="AE10" s="435" t="str">
        <f>+MID(INDEX(WORLDCUP!$AA$101:$AA$147,MATCH(AD10,WORLDCUP!$Z$101:$Z$147,0)),1,3)</f>
        <v>W73</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0</v>
      </c>
      <c r="BI10" s="442">
        <f ca="1">COUNTIF(Pool!$C$130:$C$161,Fixture!BG10)-BJ10-BK10-BL10-BM10-BN10-BO10</f>
        <v>1</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1</v>
      </c>
      <c r="BI11" s="442">
        <f ca="1">COUNTIF(Pool!$C$130:$C$161,Fixture!BG11)-BJ11-BK11-BL11-BM11-BN11-BO11</f>
        <v>0</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7</v>
      </c>
      <c r="V12" s="429">
        <f ca="1">+INDEX(WORLDCUP!$AT$6:$AT$97,MATCH(X12,WORLDCUP!$AI$6:$AI$97,0))</f>
        <v>5</v>
      </c>
      <c r="W12" s="430" t="str">
        <f ca="1">+INDEX(WORLDCUP!$AR$6:$AR$97,MATCH(X12,WORLDCUP!$AI$6:$AI$97,0))&amp;"-"&amp;INDEX(WORLDCUP!$AS$6:$AS$97,MATCH(X12,WORLDCUP!$AI$6:$AI$97,0))</f>
        <v>5-0</v>
      </c>
      <c r="X12" s="173" t="s">
        <v>682</v>
      </c>
      <c r="Y12" s="173">
        <v>75</v>
      </c>
      <c r="Z12" s="404" t="s">
        <v>676</v>
      </c>
      <c r="AA12" s="405" t="str">
        <f ca="1">+MID(INDEX(WORLDCUP!$AA$101:$AA$147,MATCH(Y12,WORLDCUP!$Z$101:$Z$147,0)),1,3)</f>
        <v>Paí</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1</v>
      </c>
      <c r="BJ12" s="443">
        <f ca="1">COUNTIF(Pool!$C$182:$C$197,Fixture!BG12)-BK12-BL12-BM12-BN12-BO12</f>
        <v>0</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73" t="s">
        <v>683</v>
      </c>
      <c r="Y13" s="173">
        <v>75</v>
      </c>
      <c r="Z13" s="404" t="s">
        <v>668</v>
      </c>
      <c r="AA13" s="459" t="str">
        <f ca="1">+MID(INDEX(WORLDCUP!$AF$101:$AF$147,MATCH(Y13,WORLDCUP!$Z$101:$Z$147,0)),1,3)</f>
        <v>Mar</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0</v>
      </c>
      <c r="BI13" s="442">
        <f ca="1">COUNTIF(Pool!$C$130:$C$161,Fixture!BG13)-BJ13-BK13-BL13-BM13-BN13-BO13</f>
        <v>1</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1</v>
      </c>
      <c r="BJ14" s="443">
        <f ca="1">COUNTIF(Pool!$C$182:$C$197,Fixture!BG14)-BK14-BL14-BM14-BN14-BO14</f>
        <v>0</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f>IF(ISBLANK(INDEX(WORLDCUP!$AC$4:$AC$147,MATCH(M15,WORLDCUP!$AH$4:$AH$147,0))),"",INDEX(WORLDCUP!$AC$4:$AC$147,MATCH(M15,WORLDCUP!$AH$4:$AH$147,0)))</f>
        <v>0</v>
      </c>
      <c r="Q15" s="424">
        <f>IF(ISBLANK(INDEX(WORLDCUP!$AD$4:$AD$147,MATCH(M15,WORLDCUP!$AH$4:$AH$147,0))),"",INDEX(WORLDCUP!$AD$4:$AD$147,MATCH(M15,WORLDCUP!$AH$4:$AH$147,0)))</f>
        <v>0</v>
      </c>
      <c r="R15" s="425" t="str">
        <f ca="1">+MID(INDEX(WORLDCUP!$AF$4:$AF$147,MATCH(M15,WORLDCUP!$AH$4:$AH$147,0)),1,3)</f>
        <v>Ara</v>
      </c>
      <c r="S15" s="446">
        <v>4</v>
      </c>
      <c r="T15" s="455" t="str">
        <f ca="1">+MID(INDEX(WORLDCUP!$AL$6:$AL$97,MATCH(X15,WORLDCUP!$AI$6:$AI$97,0)),1,3)</f>
        <v>Ara</v>
      </c>
      <c r="U15" s="456">
        <f ca="1">+INDEX(WORLDCUP!$AM$6:$AM$97,MATCH(X15,WORLDCUP!$AI$6:$AI$97,0))</f>
        <v>2</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2K</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f>IF(ISBLANK(INDEX(WORLDCUP!$AC$4:$AC$147,MATCH(M16,WORLDCUP!$AH$4:$AH$147,0))),"",INDEX(WORLDCUP!$AC$4:$AC$147,MATCH(M16,WORLDCUP!$AH$4:$AH$147,0)))</f>
        <v>0</v>
      </c>
      <c r="Q16" s="467">
        <f>IF(ISBLANK(INDEX(WORLDCUP!$AD$4:$AD$147,MATCH(M16,WORLDCUP!$AH$4:$AH$147,0))),"",INDEX(WORLDCUP!$AD$4:$AD$147,MATCH(M16,WORLDCUP!$AH$4:$AH$147,0)))</f>
        <v>1</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2L</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1</v>
      </c>
      <c r="BI16" s="442">
        <f ca="1">COUNTIF(Pool!$C$130:$C$161,Fixture!BG16)-BJ16-BK16-BL16-BM16-BN16-BO16</f>
        <v>0</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Esp</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2J</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1</v>
      </c>
      <c r="BI19" s="442">
        <f ca="1">COUNTIF(Pool!$C$130:$C$161,Fixture!BG19)-BJ19-BK19-BL19-BM19-BN19-BO19</f>
        <v>0</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9</v>
      </c>
      <c r="V20" s="429">
        <f ca="1">+INDEX(WORLDCUP!$AT$6:$AT$97,MATCH(X20,WORLDCUP!$AI$6:$AI$97,0))</f>
        <v>8</v>
      </c>
      <c r="W20" s="430" t="str">
        <f ca="1">+INDEX(WORLDCUP!$AR$6:$AR$97,MATCH(X20,WORLDCUP!$AI$6:$AI$97,0))&amp;"-"&amp;INDEX(WORLDCUP!$AS$6:$AS$97,MATCH(X20,WORLDCUP!$AI$6:$AI$97,0))</f>
        <v>10-2</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3" t="s">
        <v>686</v>
      </c>
      <c r="Y21" s="173">
        <v>81</v>
      </c>
      <c r="Z21" s="404" t="s">
        <v>670</v>
      </c>
      <c r="AA21" s="405" t="str">
        <f ca="1">+MID(INDEX(WORLDCUP!$AA$101:$AA$147,MATCH(Y21,WORLDCUP!$Z$101:$Z$147,0)),1,3)</f>
        <v>Est</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1</v>
      </c>
      <c r="BI21" s="442">
        <f ca="1">COUNTIF(Pool!$C$130:$C$161,Fixture!BG21)-BJ21-BK21-BL21-BM21-BN21-BO21</f>
        <v>0</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3" t="s">
        <v>450</v>
      </c>
      <c r="Y22" s="173">
        <v>81</v>
      </c>
      <c r="Z22" s="404" t="s">
        <v>738</v>
      </c>
      <c r="AA22" s="405" t="str">
        <f ca="1">+MID(INDEX(WORLDCUP!$AF$101:$AF$147,MATCH(Y22,WORLDCUP!$Z$101:$Z$147,0)),1,IF(WORLDCUP!$H$113&lt;144,6,3))</f>
        <v>3BEFIJ</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0</v>
      </c>
      <c r="BI22" s="442">
        <f ca="1">COUNTIF(Pool!$C$130:$C$161,Fixture!BG22)-BJ22-BK22-BL22-BM22-BN22-BO22</f>
        <v>1</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f>IF(ISBLANK(INDEX(WORLDCUP!$AC$4:$AC$147,MATCH(M23,WORLDCUP!$AH$4:$AH$147,0))),"",INDEX(WORLDCUP!$AC$4:$AC$147,MATCH(M23,WORLDCUP!$AH$4:$AH$147,0)))</f>
        <v>1</v>
      </c>
      <c r="Q23" s="424">
        <f>IF(ISBLANK(INDEX(WORLDCUP!$AD$4:$AD$147,MATCH(M23,WORLDCUP!$AH$4:$AH$147,0))),"",INDEX(WORLDCUP!$AD$4:$AD$147,MATCH(M23,WORLDCUP!$AH$4:$AH$147,0)))</f>
        <v>4</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-11</v>
      </c>
      <c r="W23" s="458" t="str">
        <f ca="1">+INDEX(WORLDCUP!$AR$6:$AR$97,MATCH(X23,WORLDCUP!$AI$6:$AI$97,0))&amp;"-"&amp;INDEX(WORLDCUP!$AS$6:$AS$97,MATCH(X23,WORLDCUP!$AI$6:$AI$97,0))</f>
        <v>1-12</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f>IF(ISBLANK(INDEX(WORLDCUP!$AC$4:$AC$147,MATCH(M24,WORLDCUP!$AH$4:$AH$147,0))),"",INDEX(WORLDCUP!$AC$4:$AC$147,MATCH(M24,WORLDCUP!$AH$4:$AH$147,0)))</f>
        <v>5</v>
      </c>
      <c r="Q24" s="467">
        <f>IF(ISBLANK(INDEX(WORLDCUP!$AD$4:$AD$147,MATCH(M24,WORLDCUP!$AH$4:$AH$147,0))),"",INDEX(WORLDCUP!$AD$4:$AD$147,MATCH(M24,WORLDCUP!$AH$4:$AH$147,0)))</f>
        <v>0</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Bél</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0</v>
      </c>
      <c r="BI24" s="442">
        <f ca="1">COUNTIF(Pool!$C$130:$C$161,Fixture!BG24)-BJ24-BK24-BL24-BM24-BN24-BO24</f>
        <v>1</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3AEHIJ</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0</v>
      </c>
      <c r="BI25" s="442">
        <f ca="1">COUNTIF(Pool!$C$130:$C$161,Fixture!BG25)-BJ25-BK25-BL25-BM25-BN25-BO25</f>
        <v>1</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0</v>
      </c>
      <c r="BI26" s="442">
        <f ca="1">COUNTIF(Pool!$C$130:$C$161,Fixture!BG26)-BJ26-BK26-BL26-BM26-BN26-BO26</f>
        <v>1</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t="str">
        <f>+IF(ISBLANK(INDEX(WORLDCUP!$AC$101:$AC$147,MATCH(Y27,WORLDCUP!$Z$101:$Z$147,0))),"",INDEX(WORLDCUP!$AC$101:$AC$147,MATCH(Y27,WORLDCUP!$Z$101:$Z$147,0)))</f>
        <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1</v>
      </c>
      <c r="BI27" s="442">
        <f ca="1">COUNTIF(Pool!$C$130:$C$161,Fixture!BG27)-BJ27-BK27-BL27-BM27-BN27-BO27</f>
        <v>0</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6</v>
      </c>
      <c r="V28" s="429">
        <f ca="1">+INDEX(WORLDCUP!$AT$6:$AT$97,MATCH(X28,WORLDCUP!$AI$6:$AI$97,0))</f>
        <v>5</v>
      </c>
      <c r="W28" s="430" t="str">
        <f ca="1">+INDEX(WORLDCUP!$AR$6:$AR$97,MATCH(X28,WORLDCUP!$AI$6:$AI$97,0))&amp;"-"&amp;INDEX(WORLDCUP!$AS$6:$AS$97,MATCH(X28,WORLDCUP!$AI$6:$AI$97,0))</f>
        <v>5-0</v>
      </c>
      <c r="X28" s="173" t="s">
        <v>688</v>
      </c>
      <c r="Y28" s="173">
        <v>76</v>
      </c>
      <c r="Z28" s="404" t="s">
        <v>677</v>
      </c>
      <c r="AA28" s="405" t="str">
        <f ca="1">+MID(INDEX(WORLDCUP!$AF$101:$AF$147,MATCH(Y28,WORLDCUP!$Z$101:$Z$147,0)),1,3)</f>
        <v>Jap</v>
      </c>
      <c r="AB28" s="432" t="str">
        <f>+IF(ISBLANK(INDEX(WORLDCUP!$AD$101:$AD$147,MATCH(Y28,WORLDCUP!$Z$101:$Z$147,0))),"",INDEX(WORLDCUP!$AD$101:$AD$147,MATCH(Y28,WORLDCUP!$Z$101:$Z$147,0)))</f>
        <v/>
      </c>
      <c r="AC28" s="433" t="str">
        <f>+IF(ISBLANK(INDEX(WORLDCUP!$AE$101:$AE$147,MATCH(Y28,WORLDCUP!$Z$101:$Z$147,0))),"","( "&amp;INDEX(WORLDCUP!$AE$101:$AE$147,MATCH(Y28,WORLDCUP!$Z$101:$Z$147,0))&amp;" )")</f>
        <v/>
      </c>
      <c r="AD28" s="434">
        <v>91</v>
      </c>
      <c r="AE28" s="435" t="str">
        <f>+MID(INDEX(WORLDCUP!$AA$101:$AA$147,MATCH(AD28,WORLDCUP!$Z$101:$Z$147,0)),1,3)</f>
        <v>W76</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3</v>
      </c>
      <c r="V29" s="39">
        <f ca="1">+INDEX(WORLDCUP!$AT$6:$AT$97,MATCH(X29,WORLDCUP!$AI$6:$AI$97,0))</f>
        <v>0</v>
      </c>
      <c r="W29" s="43" t="str">
        <f ca="1">+INDEX(WORLDCUP!$AR$6:$AR$97,MATCH(X29,WORLDCUP!$AI$6:$AI$97,0))&amp;"-"&amp;INDEX(WORLDCUP!$AS$6:$AS$97,MATCH(X29,WORLDCUP!$AI$6:$AI$97,0))</f>
        <v>3-3</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1</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3</v>
      </c>
      <c r="V30" s="39">
        <f ca="1">+INDEX(WORLDCUP!$AT$6:$AT$97,MATCH(X30,WORLDCUP!$AI$6:$AI$97,0))</f>
        <v>-2</v>
      </c>
      <c r="W30" s="43" t="str">
        <f ca="1">+INDEX(WORLDCUP!$AR$6:$AR$97,MATCH(X30,WORLDCUP!$AI$6:$AI$97,0))&amp;"-"&amp;INDEX(WORLDCUP!$AS$6:$AS$97,MATCH(X30,WORLDCUP!$AI$6:$AI$97,0))</f>
        <v>2-4</v>
      </c>
      <c r="X30" s="173" t="s">
        <v>451</v>
      </c>
      <c r="Y30" s="173">
        <v>78</v>
      </c>
      <c r="Z30" s="404" t="s">
        <v>674</v>
      </c>
      <c r="AA30" s="405" t="str">
        <f ca="1">+MID(INDEX(WORLDCUP!$AA$101:$AA$147,MATCH(Y30,WORLDCUP!$Z$101:$Z$147,0)),1,3)</f>
        <v>Cos</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t="str">
        <f>IF(ISBLANK(INDEX(WORLDCUP!$AC$4:$AC$147,MATCH(M31,WORLDCUP!$AH$4:$AH$147,0))),"",INDEX(WORLDCUP!$AC$4:$AC$147,MATCH(M31,WORLDCUP!$AH$4:$AH$147,0)))</f>
        <v/>
      </c>
      <c r="Q31" s="424" t="str">
        <f>IF(ISBLANK(INDEX(WORLDCUP!$AD$4:$AD$147,MATCH(M31,WORLDCUP!$AH$4:$AH$147,0))),"",INDEX(WORLDCUP!$AD$4:$AD$147,MATCH(M31,WORLDCUP!$AH$4:$AH$147,0)))</f>
        <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-3</v>
      </c>
      <c r="W31" s="458" t="str">
        <f ca="1">+INDEX(WORLDCUP!$AR$6:$AR$97,MATCH(X31,WORLDCUP!$AI$6:$AI$97,0))&amp;"-"&amp;INDEX(WORLDCUP!$AS$6:$AS$97,MATCH(X31,WORLDCUP!$AI$6:$AI$97,0))</f>
        <v>2-5</v>
      </c>
      <c r="X31" s="173" t="s">
        <v>690</v>
      </c>
      <c r="Y31" s="173">
        <v>78</v>
      </c>
      <c r="Z31" s="404" t="s">
        <v>686</v>
      </c>
      <c r="AA31" s="459" t="str">
        <f ca="1">+MID(INDEX(WORLDCUP!$AF$101:$AF$147,MATCH(Y31,WORLDCUP!$Z$101:$Z$147,0)),1,3)</f>
        <v>Nor</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t="str">
        <f>IF(ISBLANK(INDEX(WORLDCUP!$AC$4:$AC$147,MATCH(M32,WORLDCUP!$AH$4:$AH$147,0))),"",INDEX(WORLDCUP!$AC$4:$AC$147,MATCH(M32,WORLDCUP!$AH$4:$AH$147,0)))</f>
        <v/>
      </c>
      <c r="Q32" s="467" t="str">
        <f>IF(ISBLANK(INDEX(WORLDCUP!$AD$4:$AD$147,MATCH(M32,WORLDCUP!$AH$4:$AH$147,0))),"",INDEX(WORLDCUP!$AD$4:$AD$147,MATCH(M32,WORLDCUP!$AH$4:$AH$147,0)))</f>
        <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3CEFHI</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1</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1</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6</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1L</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0</v>
      </c>
      <c r="BI36" s="442">
        <f ca="1">COUNTIF(Pool!$C$130:$C$161,Fixture!BG36)-BJ36-BK36-BL36-BM36-BN36-BO36</f>
        <v>1</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4</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3EHIJK</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1</v>
      </c>
      <c r="V38" s="39">
        <f ca="1">+INDEX(WORLDCUP!$AT$6:$AT$97,MATCH(X38,WORLDCUP!$AI$6:$AI$97,0))</f>
        <v>-1</v>
      </c>
      <c r="W38" s="43" t="str">
        <f ca="1">+INDEX(WORLDCUP!$AR$6:$AR$97,MATCH(X38,WORLDCUP!$AI$6:$AI$97,0))&amp;"-"&amp;INDEX(WORLDCUP!$AS$6:$AS$97,MATCH(X38,WORLDCUP!$AI$6:$AI$97,0))</f>
        <v>1-2</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t="str">
        <f>IF(ISBLANK(INDEX(WORLDCUP!$AC$4:$AC$147,MATCH(M39,WORLDCUP!$AH$4:$AH$147,0))),"",INDEX(WORLDCUP!$AC$4:$AC$147,MATCH(M39,WORLDCUP!$AH$4:$AH$147,0)))</f>
        <v/>
      </c>
      <c r="Q39" s="424" t="str">
        <f>IF(ISBLANK(INDEX(WORLDCUP!$AD$4:$AD$147,MATCH(M39,WORLDCUP!$AH$4:$AH$147,0))),"",INDEX(WORLDCUP!$AD$4:$AD$147,MATCH(M39,WORLDCUP!$AH$4:$AH$147,0)))</f>
        <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-7</v>
      </c>
      <c r="W39" s="458" t="str">
        <f ca="1">+INDEX(WORLDCUP!$AR$6:$AR$97,MATCH(X39,WORLDCUP!$AI$6:$AI$97,0))&amp;"-"&amp;INDEX(WORLDCUP!$AS$6:$AS$97,MATCH(X39,WORLDCUP!$AI$6:$AI$97,0))</f>
        <v>1-8</v>
      </c>
      <c r="X39" s="173" t="s">
        <v>693</v>
      </c>
      <c r="Y39" s="173">
        <v>86</v>
      </c>
      <c r="Z39" s="404" t="s">
        <v>688</v>
      </c>
      <c r="AA39" s="405" t="str">
        <f ca="1">+MID(INDEX(WORLDCUP!$AA$101:$AA$147,MATCH(Y39,WORLDCUP!$Z$101:$Z$147,0)),1,3)</f>
        <v>1J</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t="str">
        <f>IF(ISBLANK(INDEX(WORLDCUP!$AC$4:$AC$147,MATCH(M40,WORLDCUP!$AH$4:$AH$147,0))),"",INDEX(WORLDCUP!$AC$4:$AC$147,MATCH(M40,WORLDCUP!$AH$4:$AH$147,0)))</f>
        <v/>
      </c>
      <c r="Q40" s="467" t="str">
        <f>IF(ISBLANK(INDEX(WORLDCUP!$AD$4:$AD$147,MATCH(M40,WORLDCUP!$AH$4:$AH$147,0))),"",INDEX(WORLDCUP!$AD$4:$AD$147,MATCH(M40,WORLDCUP!$AH$4:$AH$147,0)))</f>
        <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Cab</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1</v>
      </c>
      <c r="BI40" s="442">
        <f ca="1">COUNTIF(Pool!$C$130:$C$161,Fixture!BG40)-BJ40-BK40-BL40-BM40-BN40-BO40</f>
        <v>0</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1</v>
      </c>
      <c r="BI41" s="442">
        <f ca="1">COUNTIF(Pool!$C$130:$C$161,Fixture!BG41)-BJ41-BK41-BL41-BM41-BN41-BO41</f>
        <v>0</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1</v>
      </c>
      <c r="BI42" s="442">
        <f ca="1">COUNTIF(Pool!$C$130:$C$161,Fixture!BG42)-BJ42-BK42-BL42-BM42-BN42-BO42</f>
        <v>0</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Egi</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4</v>
      </c>
      <c r="V44" s="429">
        <f ca="1">+INDEX(WORLDCUP!$AT$6:$AT$97,MATCH(X44,WORLDCUP!$AI$6:$AI$97,0))</f>
        <v>2</v>
      </c>
      <c r="W44" s="430" t="str">
        <f ca="1">+INDEX(WORLDCUP!$AR$6:$AR$97,MATCH(X44,WORLDCUP!$AI$6:$AI$97,0))&amp;"-"&amp;INDEX(WORLDCUP!$AS$6:$AS$97,MATCH(X44,WORLDCUP!$AI$6:$AI$97,0))</f>
        <v>4-2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1</v>
      </c>
      <c r="BI44" s="442">
        <f ca="1">COUNTIF(Pool!$C$130:$C$161,Fixture!BG44)-BJ44-BK44-BL44-BM44-BN44-BO44</f>
        <v>0</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Gha</v>
      </c>
      <c r="U45" s="38">
        <f ca="1">+INDEX(WORLDCUP!$AM$6:$AM$97,MATCH(X45,WORLDCUP!$AI$6:$AI$97,0))</f>
        <v>4</v>
      </c>
      <c r="V45" s="39">
        <f ca="1">+INDEX(WORLDCUP!$AT$6:$AT$97,MATCH(X45,WORLDCUP!$AI$6:$AI$97,0))</f>
        <v>1</v>
      </c>
      <c r="W45" s="43" t="str">
        <f ca="1">+INDEX(WORLDCUP!$AR$6:$AR$97,MATCH(X45,WORLDCUP!$AI$6:$AI$97,0))&amp;"-"&amp;INDEX(WORLDCUP!$AS$6:$AS$97,MATCH(X45,WORLDCUP!$AI$6:$AI$97,0))</f>
        <v>1-0</v>
      </c>
      <c r="X45" s="173" t="s">
        <v>695</v>
      </c>
      <c r="Y45" s="173">
        <v>85</v>
      </c>
      <c r="Z45" s="404" t="s">
        <v>660</v>
      </c>
      <c r="AA45" s="405" t="str">
        <f ca="1">+MID(INDEX(WORLDCUP!$AA$101:$AA$147,MATCH(Y45,WORLDCUP!$Z$101:$Z$147,0)),1,3)</f>
        <v>Sui</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Cro</v>
      </c>
      <c r="U46" s="38">
        <f ca="1">+INDEX(WORLDCUP!$AM$6:$AM$97,MATCH(X46,WORLDCUP!$AI$6:$AI$97,0))</f>
        <v>3</v>
      </c>
      <c r="V46" s="39">
        <f ca="1">+INDEX(WORLDCUP!$AT$6:$AT$97,MATCH(X46,WORLDCUP!$AI$6:$AI$97,0))</f>
        <v>-1</v>
      </c>
      <c r="W46" s="43" t="str">
        <f ca="1">+INDEX(WORLDCUP!$AR$6:$AR$97,MATCH(X46,WORLDCUP!$AI$6:$AI$97,0))&amp;"-"&amp;INDEX(WORLDCUP!$AS$6:$AS$97,MATCH(X46,WORLDCUP!$AI$6:$AI$97,0))</f>
        <v>3-4</v>
      </c>
      <c r="X46" s="173" t="s">
        <v>453</v>
      </c>
      <c r="Y46" s="173">
        <v>85</v>
      </c>
      <c r="Z46" s="404" t="s">
        <v>740</v>
      </c>
      <c r="AA46" s="405" t="str">
        <f ca="1">+MID(INDEX(WORLDCUP!$AF$101:$AF$147,MATCH(Y46,WORLDCUP!$Z$101:$Z$147,0)),1,IF(WORLDCUP!$H$113&lt;144,6,3))</f>
        <v>3EFGIJ</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1</v>
      </c>
      <c r="BI46" s="442">
        <f ca="1">COUNTIF(Pool!$C$130:$C$161,Fixture!BG46)-BJ46-BK46-BL46-BM46-BN46-BO46</f>
        <v>0</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t="str">
        <f>IF(ISBLANK(INDEX(WORLDCUP!$AC$4:$AC$147,MATCH(M47,WORLDCUP!$AH$4:$AH$147,0))),"",INDEX(WORLDCUP!$AC$4:$AC$147,MATCH(M47,WORLDCUP!$AH$4:$AH$147,0)))</f>
        <v/>
      </c>
      <c r="Q47" s="424" t="str">
        <f>IF(ISBLANK(INDEX(WORLDCUP!$AD$4:$AD$147,MATCH(M47,WORLDCUP!$AH$4:$AH$147,0))),"",INDEX(WORLDCUP!$AD$4:$AD$147,MATCH(M47,WORLDCUP!$AH$4:$AH$147,0)))</f>
        <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-2</v>
      </c>
      <c r="W47" s="458" t="str">
        <f ca="1">+INDEX(WORLDCUP!$AR$6:$AR$97,MATCH(X47,WORLDCUP!$AI$6:$AI$97,0))&amp;"-"&amp;INDEX(WORLDCUP!$AS$6:$AS$97,MATCH(X47,WORLDCUP!$AI$6:$AI$97,0))</f>
        <v>0-2</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1</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t="str">
        <f>IF(ISBLANK(INDEX(WORLDCUP!$AC$4:$AC$147,MATCH(M48,WORLDCUP!$AH$4:$AH$147,0))),"",INDEX(WORLDCUP!$AC$4:$AC$147,MATCH(M48,WORLDCUP!$AH$4:$AH$147,0)))</f>
        <v/>
      </c>
      <c r="Q48" s="467" t="str">
        <f>IF(ISBLANK(INDEX(WORLDCUP!$AD$4:$AD$147,MATCH(M48,WORLDCUP!$AH$4:$AH$147,0))),"",INDEX(WORLDCUP!$AD$4:$AD$147,MATCH(M48,WORLDCUP!$AH$4:$AH$147,0)))</f>
        <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1K</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3DEIJL</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Croacia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Croacia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Croacia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Croacia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Croacia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Croacia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Croacia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Croacia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Croacia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Croacia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Croacia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Croacia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Croacia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Croacia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Croacia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Croacia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Croacia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Croacia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Croacia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Croacia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Croacia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Croacia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Croacia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Croacia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Croacia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Croacia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Croacia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Croacia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Croacia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Croacia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Croacia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Croacia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Croacia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Croacia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Croacia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Croacia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Croacia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Croacia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Croacia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Croacia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Croacia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Croacia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Croacia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Croacia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Croacia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Croacia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Croacia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Croacia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Croacia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Croacia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Croacia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Croacia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Croacia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Croacia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Croacia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Croacia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Croacia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Croacia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Croacia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Croacia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Croacia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Croacia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Croacia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Croacia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Croacia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Croacia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Croacia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Croacia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Croacia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Croacia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Croacia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Croacia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Croacia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Croacia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Croacia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Croacia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Croacia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Croacia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Croacia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Croacia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Croacia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Croacia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Croacia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Croacia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Croacia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Croacia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Croacia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Croacia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Croacia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Croacia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Croacia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Croacia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Croacia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Croacia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Croacia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Croacia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Croacia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Croacia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Croacia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Croacia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Croacia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Croacia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Croacia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Croacia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Croacia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Croacia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Croacia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Croacia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Croacia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Croacia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Croacia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Croacia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Croacia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Croacia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Croacia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Croacia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Croacia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Croacia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Croacia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Croacia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Croacia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Croacia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Croacia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Croacia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Croacia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Croacia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Croacia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Croacia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Croacia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Croacia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Croacia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Croacia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Croacia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Croacia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Croacia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Croacia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Croacia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Croacia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Croacia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Croacia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Croacia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Croacia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Croacia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Croacia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Croacia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Croacia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Croacia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Croacia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Croacia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Croacia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Croacia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Croacia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Croacia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Croacia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Croacia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Croacia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Croacia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Croacia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Croacia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Croacia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Croacia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Croacia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Croacia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Croacia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Croacia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Croacia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Croacia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Croacia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Croacia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Croacia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Croacia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Croacia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Croacia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Croacia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Croacia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Croacia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Croacia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Croacia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Croacia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Croacia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Croacia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Croacia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Croacia</v>
      </c>
      <c r="J247" s="9" t="str">
        <f ca="1">+WORLDCUP!BD65</f>
        <v>Uruguay</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Croacia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Croacia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Croacia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Croacia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Croacia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Croacia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Croacia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Croacia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Croacia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Croacia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Croacia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Croacia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Croacia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Croacia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Croacia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Croacia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Croacia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Croacia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Croacia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Croacia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Croacia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Croacia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Croacia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Croacia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Croacia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Croacia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Croacia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Croacia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Croacia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Croacia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Croacia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Croacia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Croacia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Croacia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Croacia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Croacia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Croacia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Croacia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Croacia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Croacia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Croacia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Croacia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Croacia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Croacia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Croacia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Croacia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Croacia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Croacia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Croacia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Croacia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Croacia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Croacia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Croacia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Croacia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Croacia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Croacia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Croacia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Croacia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Croacia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Croacia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Croacia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Croacia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Croacia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Croacia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Croacia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Croacia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Croacia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Croacia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Croacia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Croacia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Croacia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Croacia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Croacia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Croacia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Croacia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1</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Croacia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Croacia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Croacia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Croacia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Croacia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Croacia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Croacia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Croacia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Croacia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Croacia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Croacia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Croacia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Croacia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Croacia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Croacia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Croacia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Croacia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Croacia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Croacia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Croacia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Croacia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Croacia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Croacia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Croacia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Croacia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Croacia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Croacia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Croacia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Croacia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Croacia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Croacia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Croacia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Croacia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Croacia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Croacia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Croacia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Croacia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Croacia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Croacia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Croacia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Croacia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Croacia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Croacia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Croacia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Croacia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Croacia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Croacia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Croacia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Croacia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Croacia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Croacia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Croacia</v>
      </c>
      <c r="J447" s="9" t="str">
        <f ca="1">+WORLDCUP!BD65</f>
        <v>Uruguay</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Croacia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Croacia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Croacia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Croacia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Croacia</v>
      </c>
      <c r="J458" s="9" t="str">
        <f ca="1">+WORLDCUP!BD65</f>
        <v>Uruguay</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Croacia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Croacia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Croacia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Croacia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Croacia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Croacia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Croacia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Croacia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Croacia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Croacia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Croacia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Croacia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Croacia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Croacia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Croacia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49">
        <v>#VALUE!</v>
      </c>
      <c r="Y87" s="9">
        <v>3.5</v>
      </c>
      <c r="Z87" s="6"/>
      <c r="AA87" s="6"/>
      <c r="AB87" s="6"/>
    </row>
    <row r="88" spans="12:28">
      <c r="L88" s="3"/>
      <c r="M88" s="3"/>
      <c r="N88" s="3"/>
      <c r="O88" s="6"/>
      <c r="P88" s="6"/>
      <c r="Q88" s="6"/>
      <c r="R88" s="6"/>
      <c r="T88" s="16" t="s">
        <v>1479</v>
      </c>
      <c r="U88" s="9" t="s">
        <v>1464</v>
      </c>
      <c r="V88" s="9" t="s">
        <v>1465</v>
      </c>
      <c r="W88" s="9" t="s">
        <v>1466</v>
      </c>
      <c r="X88" s="563" t="e" vm="50">
        <v>#VALUE!</v>
      </c>
      <c r="Y88" s="9">
        <v>4</v>
      </c>
      <c r="Z88" s="6"/>
      <c r="AA88" s="6"/>
      <c r="AB88" s="6"/>
    </row>
    <row r="89" spans="12:28" ht="15.5">
      <c r="L89" s="3"/>
      <c r="M89" s="3"/>
      <c r="N89" s="3"/>
      <c r="O89" s="6"/>
      <c r="P89" s="6"/>
      <c r="Q89" s="6"/>
      <c r="R89" s="6"/>
      <c r="T89" s="16" t="s">
        <v>1480</v>
      </c>
      <c r="U89" s="9" t="s">
        <v>1467</v>
      </c>
      <c r="V89" s="9" t="s">
        <v>1467</v>
      </c>
      <c r="W89" s="564" t="s">
        <v>1469</v>
      </c>
      <c r="X89" s="563" t="e" vm="51">
        <v>#VALUE!</v>
      </c>
      <c r="Y89" s="9">
        <v>-4</v>
      </c>
      <c r="Z89" s="6"/>
      <c r="AA89" s="6"/>
      <c r="AB89" s="6"/>
    </row>
    <row r="90" spans="12:28" ht="15.5">
      <c r="L90" s="3"/>
      <c r="M90" s="3"/>
      <c r="N90" s="3"/>
      <c r="O90" s="6"/>
      <c r="P90" s="6"/>
      <c r="Q90" s="6"/>
      <c r="R90" s="6"/>
      <c r="T90" s="16" t="s">
        <v>1481</v>
      </c>
      <c r="U90" s="9" t="s">
        <v>1468</v>
      </c>
      <c r="V90" s="9" t="s">
        <v>1471</v>
      </c>
      <c r="W90" s="565" t="s">
        <v>1470</v>
      </c>
      <c r="X90" s="563" t="e" vm="52">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3">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4">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5">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6">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7">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8">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59">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0">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1">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2">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3">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4">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5">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6">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7">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8">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69">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0">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1">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2">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3">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4">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5">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6">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7">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8">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79">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0">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1">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2">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3">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4">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5">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6">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7">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8">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89">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0">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1">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2">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3">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4">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5">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6">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7">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8">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99">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2026-06-27T08:55:49Z</dcterms:modified>
</cp:coreProperties>
</file>