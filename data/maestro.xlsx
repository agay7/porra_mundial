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A91F6F9F-4805-43F0-99EB-4DBDF3EFCFC2}"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69" i="3"/>
  <c r="U73" i="3"/>
  <c r="T81" i="3" l="1"/>
  <c r="U41" i="3"/>
  <c r="T89" i="3"/>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<sst xmlns="http://schemas.openxmlformats.org/spreadsheetml/2006/main" count="6814" uniqueCount="1534">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</sst>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02" zoomScale="55" zoomScaleNormal="100" workbookViewId="0">
      <selection activeCell="AD125" sqref="AD125"/>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25"/>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26"/>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1"/>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32"/>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27"/>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27"/>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27"/>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28"/>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3"/>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v>0</v>
      </c>
      <c r="AD120" s="51">
        <v>3</v>
      </c>
      <c r="AE120" s="87"/>
      <c r="AF120" s="89" t="str">
        <f t="shared" ref="AF120:AF127" ca="1" si="321">+INDEX($N$101:$N$147,MATCH(AH120,$J$101:$J$147,0))</f>
        <v>Marruecos</v>
      </c>
      <c r="AG120" s="313">
        <f t="shared" ref="AG120:AG127" ca="1" si="322">IF(D120="W"&amp;AH120,0,1)</f>
        <v>1</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ca="1" si="317"/>
        <v>Francia</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ca="1" si="320"/>
        <v>Paraguay</v>
      </c>
      <c r="AB121" s="87"/>
      <c r="AC121" s="50">
        <v>0</v>
      </c>
      <c r="AD121" s="51">
        <v>1</v>
      </c>
      <c r="AE121" s="87"/>
      <c r="AF121" s="89" t="str">
        <f t="shared" ca="1" si="321"/>
        <v>Francia</v>
      </c>
      <c r="AG121" s="313">
        <f t="shared" ca="1" si="322"/>
        <v>1</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ca="1" si="317"/>
        <v>Noruega</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ca="1" si="320"/>
        <v>Brasil</v>
      </c>
      <c r="AB122" s="87"/>
      <c r="AC122" s="50">
        <v>1</v>
      </c>
      <c r="AD122" s="51">
        <v>2</v>
      </c>
      <c r="AE122" s="87"/>
      <c r="AF122" s="89" t="str">
        <f t="shared" ca="1" si="321"/>
        <v>Noruega</v>
      </c>
      <c r="AG122" s="313">
        <f t="shared" ca="1" si="322"/>
        <v>1</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ca="1" si="317"/>
        <v>Inglaterra</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ca="1" si="320"/>
        <v>México</v>
      </c>
      <c r="AB123" s="87"/>
      <c r="AC123" s="50">
        <v>2</v>
      </c>
      <c r="AD123" s="51">
        <v>3</v>
      </c>
      <c r="AE123" s="87"/>
      <c r="AF123" s="89" t="str">
        <f t="shared" ca="1" si="321"/>
        <v>Inglaterra</v>
      </c>
      <c r="AG123" s="313">
        <f t="shared" ca="1" si="322"/>
        <v>1</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ca="1" si="317"/>
        <v>España</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35"/>
      <c r="X124" s="24">
        <f ca="1">Horarios!C124</f>
        <v>46209.875</v>
      </c>
      <c r="Y124" s="25">
        <f ca="1">Horarios!C124</f>
        <v>46209.875</v>
      </c>
      <c r="Z124" s="266">
        <f t="shared" si="319"/>
        <v>93</v>
      </c>
      <c r="AA124" s="86" t="str">
        <f t="shared" ca="1" si="320"/>
        <v>Portugal</v>
      </c>
      <c r="AB124" s="93"/>
      <c r="AC124" s="50">
        <v>0</v>
      </c>
      <c r="AD124" s="51">
        <v>1</v>
      </c>
      <c r="AE124" s="88"/>
      <c r="AF124" s="89" t="str">
        <f t="shared" ca="1" si="321"/>
        <v>España</v>
      </c>
      <c r="AG124" s="313">
        <f t="shared" ca="1" si="322"/>
        <v>1</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si="317"/>
        <v>W94</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ca="1" si="320"/>
        <v>Estados Unidos</v>
      </c>
      <c r="AB125" s="87"/>
      <c r="AC125" s="50"/>
      <c r="AD125" s="51"/>
      <c r="AE125" s="87"/>
      <c r="AF125" s="89" t="str">
        <f t="shared" ca="1" si="321"/>
        <v>Bélgica</v>
      </c>
      <c r="AG125" s="313">
        <f t="shared" si="322"/>
        <v>0</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si="317"/>
        <v>W95</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35"/>
      <c r="X126" s="24">
        <f ca="1">Horarios!C126</f>
        <v>46210.75</v>
      </c>
      <c r="Y126" s="25">
        <f ca="1">Horarios!C126</f>
        <v>46210.75</v>
      </c>
      <c r="Z126" s="266">
        <f t="shared" si="319"/>
        <v>95</v>
      </c>
      <c r="AA126" s="86" t="str">
        <f t="shared" ca="1" si="320"/>
        <v>Argentina</v>
      </c>
      <c r="AB126" s="87"/>
      <c r="AC126" s="50"/>
      <c r="AD126" s="51"/>
      <c r="AE126" s="87"/>
      <c r="AF126" s="89" t="str">
        <f t="shared" ca="1" si="321"/>
        <v>Egipto</v>
      </c>
      <c r="AG126" s="313">
        <f t="shared" si="322"/>
        <v>0</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ca="1" si="320"/>
        <v>Suiza</v>
      </c>
      <c r="AB127" s="91"/>
      <c r="AC127" s="50"/>
      <c r="AD127" s="51"/>
      <c r="AE127" s="91"/>
      <c r="AF127" s="92" t="str">
        <f t="shared" ca="1" si="321"/>
        <v>Colombia</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ca="1" si="323">+INDEX($D$101:$D$147,MATCH(E131,$AH$101:$AH$147,0))</f>
        <v>Francia</v>
      </c>
      <c r="N131" s="16" t="str">
        <f t="shared" ca="1" si="323"/>
        <v>Marruecos</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ca="1" si="325">+INDEX($M$101:$M$147,MATCH(AH131,$J$101:$J$147,0))</f>
        <v>Francia</v>
      </c>
      <c r="AB131" s="93"/>
      <c r="AC131" s="50"/>
      <c r="AD131" s="51"/>
      <c r="AE131" s="88"/>
      <c r="AF131" s="108" t="str">
        <f ca="1">+INDEX($N$101:$N$147,MATCH(AH131,$J$101:$J$147,0))</f>
        <v>Marruecos</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ca="1" si="323"/>
        <v>España</v>
      </c>
      <c r="N132" s="16" t="str">
        <f t="shared" si="323"/>
        <v>W94</v>
      </c>
      <c r="O132" s="16"/>
      <c r="P132" s="16"/>
      <c r="Q132" s="16"/>
      <c r="R132" s="16"/>
      <c r="S132" s="16"/>
      <c r="T132" s="16"/>
      <c r="U132" s="16"/>
      <c r="V132" s="17"/>
      <c r="W132" s="637"/>
      <c r="X132" s="24">
        <f ca="1">Horarios!C132</f>
        <v>46213.875</v>
      </c>
      <c r="Y132" s="25">
        <f ca="1">Horarios!C132</f>
        <v>46213.875</v>
      </c>
      <c r="Z132" s="268">
        <f t="shared" si="324"/>
        <v>98</v>
      </c>
      <c r="AA132" s="86" t="str">
        <f t="shared" ca="1" si="325"/>
        <v>España</v>
      </c>
      <c r="AB132" s="87"/>
      <c r="AC132" s="50"/>
      <c r="AD132" s="51"/>
      <c r="AE132" s="87"/>
      <c r="AF132" s="108" t="str">
        <f>+INDEX($N$101:$N$147,MATCH(AH132,$J$101:$J$147,0))</f>
        <v>W94</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ca="1" si="323"/>
        <v>Noruega</v>
      </c>
      <c r="N133" s="16" t="str">
        <f t="shared" ca="1" si="323"/>
        <v>Inglaterra</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ca="1" si="325"/>
        <v>Noruega</v>
      </c>
      <c r="AB133" s="87"/>
      <c r="AC133" s="50"/>
      <c r="AD133" s="51"/>
      <c r="AE133" s="87"/>
      <c r="AF133" s="108" t="str">
        <f ca="1">+INDEX($N$101:$N$147,MATCH(AH133,$J$101:$J$147,0))</f>
        <v>Inglaterra</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si="323"/>
        <v>W95</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si="325"/>
        <v>W95</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 ca="1">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 ca="1">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3</v>
      </c>
      <c r="H90" s="7">
        <f>IF(AND(NOT(ISBLANK(WORLDCUP!AC120)),NOT(ISBLANK(WORLDCUP!AD120))),1,0)</f>
        <v>1</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1</v>
      </c>
      <c r="H91" s="7">
        <f>IF(AND(NOT(ISBLANK(WORLDCUP!AC121)),NOT(ISBLANK(WORLDCUP!AD121))),1,0)</f>
        <v>1</v>
      </c>
      <c r="J91" s="613">
        <f ca="1">WORLDCUP!X121</f>
        <v>46207.958333333336</v>
      </c>
      <c r="K91" s="614">
        <f ca="1">WORLDCUP!Y121</f>
        <v>46207.958333333336</v>
      </c>
    </row>
    <row r="92" spans="1:11">
      <c r="A92" s="7">
        <v>91</v>
      </c>
      <c r="B92" s="611" t="str">
        <f ca="1">WORLDCUP!AA122</f>
        <v>Brasil</v>
      </c>
      <c r="C92" t="str">
        <f ca="1">WORLDCUP!AF122</f>
        <v>Noruega</v>
      </c>
      <c r="D92" s="7">
        <f>WORLDCUP!AC122</f>
        <v>1</v>
      </c>
      <c r="E92" s="7">
        <f>WORLDCUP!AD122</f>
        <v>2</v>
      </c>
      <c r="H92" s="7">
        <f>IF(AND(NOT(ISBLANK(WORLDCUP!AC122)),NOT(ISBLANK(WORLDCUP!AD122))),1,0)</f>
        <v>1</v>
      </c>
      <c r="J92" s="613">
        <f ca="1">WORLDCUP!X122</f>
        <v>46208.916666666664</v>
      </c>
      <c r="K92" s="614">
        <f ca="1">WORLDCUP!Y122</f>
        <v>46208.916666666664</v>
      </c>
    </row>
    <row r="93" spans="1:11">
      <c r="A93" s="7">
        <v>92</v>
      </c>
      <c r="B93" s="611" t="str">
        <f ca="1">WORLDCUP!AA123</f>
        <v>México</v>
      </c>
      <c r="C93" t="str">
        <f ca="1">WORLDCUP!AF123</f>
        <v>Inglaterra</v>
      </c>
      <c r="D93" s="7">
        <f>WORLDCUP!AC123</f>
        <v>2</v>
      </c>
      <c r="E93" s="7">
        <f>WORLDCUP!AD123</f>
        <v>3</v>
      </c>
      <c r="H93" s="7">
        <f>IF(AND(NOT(ISBLANK(WORLDCUP!AC123)),NOT(ISBLANK(WORLDCUP!AD123))),1,0)</f>
        <v>1</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1</v>
      </c>
      <c r="H94" s="7">
        <f>IF(AND(NOT(ISBLANK(WORLDCUP!AC124)),NOT(ISBLANK(WORLDCUP!AD124))),1,0)</f>
        <v>1</v>
      </c>
      <c r="J94" s="613">
        <f ca="1">WORLDCUP!X124</f>
        <v>46209.875</v>
      </c>
      <c r="K94" s="614">
        <f ca="1">WORLDCUP!Y124</f>
        <v>46209.875</v>
      </c>
    </row>
    <row r="95" spans="1:11">
      <c r="A95" s="7">
        <v>94</v>
      </c>
      <c r="B95" s="611" t="str">
        <f ca="1">WORLDCUP!AA125</f>
        <v>Estados Unidos</v>
      </c>
      <c r="C95" t="str">
        <f ca="1">WORLDCUP!AF125</f>
        <v>Bélgica</v>
      </c>
      <c r="D95" s="7">
        <f>WORLDCUP!AC125</f>
        <v>0</v>
      </c>
      <c r="E95" s="7">
        <f>WORLDCUP!AD125</f>
        <v>0</v>
      </c>
      <c r="H95" s="7">
        <f>IF(AND(NOT(ISBLANK(WORLDCUP!AC125)),NOT(ISBLANK(WORLDCUP!AD125))),1,0)</f>
        <v>0</v>
      </c>
      <c r="J95" s="613">
        <f ca="1">WORLDCUP!X125</f>
        <v>46210.083333333336</v>
      </c>
      <c r="K95" s="614">
        <f ca="1">WORLDCUP!Y125</f>
        <v>46210.083333333336</v>
      </c>
    </row>
    <row r="96" spans="1:11">
      <c r="A96" s="7">
        <v>95</v>
      </c>
      <c r="B96" s="611" t="str">
        <f ca="1">WORLDCUP!AA126</f>
        <v>Argentina</v>
      </c>
      <c r="C96" t="str">
        <f ca="1">WORLDCUP!AF126</f>
        <v>Egipto</v>
      </c>
      <c r="D96" s="7">
        <f>WORLDCUP!AC126</f>
        <v>0</v>
      </c>
      <c r="E96" s="7">
        <f>WORLDCUP!AD126</f>
        <v>0</v>
      </c>
      <c r="H96" s="7">
        <f>IF(AND(NOT(ISBLANK(WORLDCUP!AC126)),NOT(ISBLANK(WORLDCUP!AD126))),1,0)</f>
        <v>0</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 ca="1">WORLDCUP!AA131</f>
        <v>Francia</v>
      </c>
      <c r="C98" t="str">
        <f ca="1">WORLDCUP!AF131</f>
        <v>Marruecos</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 ca="1">WORLDCUP!AA132</f>
        <v>España</v>
      </c>
      <c r="C99" t="str">
        <f>WORLDCUP!AF132</f>
        <v>W94</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 ca="1">WORLDCUP!AA133</f>
        <v>Noruega</v>
      </c>
      <c r="C100" t="str">
        <f ca="1">WORLDCUP!AF133</f>
        <v>Inglaterra</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WORLDCUP!AA134</f>
        <v>W95</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 ca="1">WORLDCUP!AA120</f>
        <v>Canadá</v>
      </c>
      <c r="D182" s="675"/>
      <c r="E182" s="356"/>
      <c r="F182" s="356"/>
      <c r="G182" s="356"/>
      <c r="H182" s="356"/>
      <c r="I182" s="338"/>
      <c r="J182" s="356"/>
      <c r="K182" s="356"/>
      <c r="L182" s="356"/>
      <c r="M182" s="372"/>
      <c r="N182" s="363"/>
    </row>
    <row r="183" spans="1:14" ht="15" customHeight="1">
      <c r="A183" s="673"/>
      <c r="B183" s="346" t="str">
        <f>B182</f>
        <v>Octavofinalista</v>
      </c>
      <c r="C183" s="335" t="str">
        <f ca="1">WORLDCUP!AA121</f>
        <v>Paraguay</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 ca="1">WORLDCUP!AA122</f>
        <v>Brasil</v>
      </c>
      <c r="D184" s="675"/>
      <c r="E184" s="356"/>
      <c r="F184" s="356"/>
      <c r="G184" s="356"/>
      <c r="H184" s="356"/>
      <c r="I184" s="338"/>
      <c r="J184" s="356"/>
      <c r="K184" s="356"/>
      <c r="L184" s="356"/>
      <c r="M184" s="372"/>
      <c r="N184" s="363"/>
    </row>
    <row r="185" spans="1:14" ht="15" customHeight="1">
      <c r="A185" s="673"/>
      <c r="B185" s="346" t="str">
        <f t="shared" si="2"/>
        <v>Octavofinalista</v>
      </c>
      <c r="C185" s="335" t="str">
        <f ca="1">WORLDCUP!AA123</f>
        <v>México</v>
      </c>
      <c r="D185" s="675"/>
      <c r="E185" s="356"/>
      <c r="F185" s="356"/>
      <c r="G185" s="356"/>
      <c r="H185" s="356"/>
      <c r="I185" s="338"/>
      <c r="J185" s="356"/>
      <c r="K185" s="356"/>
      <c r="L185" s="356"/>
      <c r="M185" s="372"/>
      <c r="N185" s="363"/>
    </row>
    <row r="186" spans="1:14" ht="15" customHeight="1">
      <c r="A186" s="673"/>
      <c r="B186" s="346" t="str">
        <f t="shared" si="2"/>
        <v>Octavofinalista</v>
      </c>
      <c r="C186" s="335" t="str">
        <f ca="1">WORLDCUP!AA124</f>
        <v>Portugal</v>
      </c>
      <c r="D186" s="675"/>
      <c r="E186" s="356"/>
      <c r="F186" s="356"/>
      <c r="G186" s="356"/>
      <c r="H186" s="356"/>
      <c r="I186" s="338"/>
      <c r="J186" s="356"/>
      <c r="K186" s="356"/>
      <c r="L186" s="356"/>
      <c r="M186" s="372"/>
      <c r="N186" s="363"/>
    </row>
    <row r="187" spans="1:14" ht="15" customHeight="1">
      <c r="A187" s="673"/>
      <c r="B187" s="346" t="str">
        <f t="shared" si="2"/>
        <v>Octavofinalista</v>
      </c>
      <c r="C187" s="335" t="str">
        <f ca="1">WORLDCUP!AA125</f>
        <v>Estados Unidos</v>
      </c>
      <c r="D187" s="675"/>
      <c r="E187" s="356"/>
      <c r="F187" s="356"/>
      <c r="G187" s="356"/>
      <c r="H187" s="356"/>
      <c r="I187" s="338"/>
      <c r="J187" s="356"/>
      <c r="K187" s="356"/>
      <c r="L187" s="356"/>
      <c r="M187" s="372"/>
      <c r="N187" s="363"/>
    </row>
    <row r="188" spans="1:14" ht="15" customHeight="1">
      <c r="A188" s="673"/>
      <c r="B188" s="346" t="str">
        <f t="shared" si="2"/>
        <v>Octavofinalista</v>
      </c>
      <c r="C188" s="335" t="str">
        <f ca="1">WORLDCUP!AA126</f>
        <v>Argentina</v>
      </c>
      <c r="D188" s="675"/>
      <c r="E188" s="356"/>
      <c r="F188" s="356"/>
      <c r="G188" s="356"/>
      <c r="H188" s="356"/>
      <c r="I188" s="338"/>
      <c r="J188" s="356"/>
      <c r="K188" s="356"/>
      <c r="L188" s="356"/>
      <c r="M188" s="372"/>
      <c r="N188" s="363"/>
    </row>
    <row r="189" spans="1:14" ht="15" customHeight="1">
      <c r="A189" s="673"/>
      <c r="B189" s="346" t="str">
        <f t="shared" si="2"/>
        <v>Octavofinalista</v>
      </c>
      <c r="C189" s="335" t="str">
        <f ca="1">WORLDCUP!AA127</f>
        <v>Suiza</v>
      </c>
      <c r="D189" s="675"/>
      <c r="E189" s="356"/>
      <c r="F189" s="356"/>
      <c r="G189" s="356"/>
      <c r="H189" s="356"/>
      <c r="I189" s="338"/>
      <c r="J189" s="356"/>
      <c r="K189" s="356"/>
      <c r="L189" s="356"/>
      <c r="M189" s="372"/>
      <c r="N189" s="363"/>
    </row>
    <row r="190" spans="1:14" ht="15" customHeight="1">
      <c r="A190" s="673"/>
      <c r="B190" s="346" t="str">
        <f t="shared" si="2"/>
        <v>Octavofinalista</v>
      </c>
      <c r="C190" s="335" t="str">
        <f ca="1">WORLDCUP!AF120</f>
        <v>Marruecos</v>
      </c>
      <c r="D190" s="675"/>
      <c r="E190" s="356"/>
      <c r="F190" s="356"/>
      <c r="G190" s="356"/>
      <c r="H190" s="356"/>
      <c r="I190" s="338"/>
      <c r="J190" s="356"/>
      <c r="K190" s="356"/>
      <c r="L190" s="356"/>
      <c r="M190" s="372"/>
      <c r="N190" s="363"/>
    </row>
    <row r="191" spans="1:14" ht="15" customHeight="1">
      <c r="A191" s="673"/>
      <c r="B191" s="346" t="str">
        <f t="shared" si="2"/>
        <v>Octavofinalista</v>
      </c>
      <c r="C191" s="335" t="str">
        <f ca="1">WORLDCUP!AF121</f>
        <v>Francia</v>
      </c>
      <c r="D191" s="675"/>
      <c r="E191" s="356"/>
      <c r="F191" s="356"/>
      <c r="G191" s="356"/>
      <c r="H191" s="356"/>
      <c r="I191" s="338"/>
      <c r="J191" s="356"/>
      <c r="K191" s="356"/>
      <c r="L191" s="356"/>
      <c r="M191" s="372"/>
      <c r="N191" s="363"/>
    </row>
    <row r="192" spans="1:14" ht="15" customHeight="1">
      <c r="A192" s="673"/>
      <c r="B192" s="346" t="str">
        <f t="shared" si="2"/>
        <v>Octavofinalista</v>
      </c>
      <c r="C192" s="335" t="str">
        <f ca="1">WORLDCUP!AF122</f>
        <v>Noruega</v>
      </c>
      <c r="D192" s="675"/>
      <c r="E192" s="356"/>
      <c r="F192" s="356"/>
      <c r="G192" s="356"/>
      <c r="H192" s="356"/>
      <c r="I192" s="338"/>
      <c r="J192" s="356"/>
      <c r="K192" s="356"/>
      <c r="L192" s="356"/>
      <c r="M192" s="372"/>
      <c r="N192" s="363"/>
    </row>
    <row r="193" spans="1:14" ht="15" customHeight="1">
      <c r="A193" s="673"/>
      <c r="B193" s="346" t="str">
        <f t="shared" si="2"/>
        <v>Octavofinalista</v>
      </c>
      <c r="C193" s="335" t="str">
        <f ca="1">WORLDCUP!AF123</f>
        <v>Inglaterra</v>
      </c>
      <c r="D193" s="675"/>
      <c r="E193" s="356"/>
      <c r="F193" s="356"/>
      <c r="G193" s="356"/>
      <c r="H193" s="356"/>
      <c r="I193" s="338"/>
      <c r="J193" s="356"/>
      <c r="K193" s="356"/>
      <c r="L193" s="356"/>
      <c r="M193" s="372"/>
      <c r="N193" s="363"/>
    </row>
    <row r="194" spans="1:14" ht="15" customHeight="1">
      <c r="A194" s="673"/>
      <c r="B194" s="346" t="str">
        <f t="shared" si="2"/>
        <v>Octavofinalista</v>
      </c>
      <c r="C194" s="335" t="str">
        <f ca="1">WORLDCUP!AF124</f>
        <v>España</v>
      </c>
      <c r="D194" s="675"/>
      <c r="E194" s="356"/>
      <c r="F194" s="356"/>
      <c r="G194" s="356"/>
      <c r="H194" s="356"/>
      <c r="I194" s="338"/>
      <c r="J194" s="356"/>
      <c r="K194" s="356"/>
      <c r="L194" s="356"/>
      <c r="M194" s="372"/>
      <c r="N194" s="363"/>
    </row>
    <row r="195" spans="1:14" ht="15" customHeight="1">
      <c r="A195" s="673"/>
      <c r="B195" s="346" t="str">
        <f t="shared" si="2"/>
        <v>Octavofinalista</v>
      </c>
      <c r="C195" s="335" t="str">
        <f ca="1">WORLDCUP!AF125</f>
        <v>Bélgica</v>
      </c>
      <c r="D195" s="675"/>
      <c r="E195" s="356"/>
      <c r="F195" s="356"/>
      <c r="G195" s="356"/>
      <c r="H195" s="356"/>
      <c r="I195" s="338"/>
      <c r="J195" s="356"/>
      <c r="K195" s="356"/>
      <c r="L195" s="356"/>
      <c r="M195" s="372"/>
      <c r="N195" s="363"/>
    </row>
    <row r="196" spans="1:14" ht="15" customHeight="1">
      <c r="A196" s="673"/>
      <c r="B196" s="346" t="str">
        <f t="shared" si="2"/>
        <v>Octavofinalista</v>
      </c>
      <c r="C196" s="335" t="str">
        <f ca="1">WORLDCUP!AF126</f>
        <v>Egipto</v>
      </c>
      <c r="D196" s="675"/>
      <c r="E196" s="356"/>
      <c r="F196" s="356"/>
      <c r="G196" s="356"/>
      <c r="H196" s="356"/>
      <c r="I196" s="338"/>
      <c r="J196" s="356"/>
      <c r="K196" s="356"/>
      <c r="L196" s="356"/>
      <c r="M196" s="372"/>
      <c r="N196" s="363"/>
    </row>
    <row r="197" spans="1:14" ht="15" customHeight="1">
      <c r="A197" s="673"/>
      <c r="B197" s="346" t="str">
        <f t="shared" si="2"/>
        <v>Octavofinalista</v>
      </c>
      <c r="C197" s="335" t="str">
        <f ca="1">WORLDCUP!AF127</f>
        <v>Colombia</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Canadá-Marruecos·2|0-3</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Paraguay-Francia·2|0-1</v>
      </c>
      <c r="D201" s="674"/>
      <c r="E201" s="669"/>
      <c r="F201" s="669"/>
      <c r="G201" s="669"/>
      <c r="H201" s="669"/>
      <c r="I201" s="338"/>
      <c r="J201" s="356"/>
      <c r="K201" s="356"/>
      <c r="L201" s="356"/>
      <c r="M201" s="372"/>
      <c r="N201" s="363"/>
    </row>
    <row r="202" spans="1:14" ht="15" customHeight="1">
      <c r="A202" s="673"/>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Brasil-Noruega·2|1-2</v>
      </c>
      <c r="D202" s="674"/>
      <c r="E202" s="669"/>
      <c r="F202" s="669"/>
      <c r="G202" s="669"/>
      <c r="H202" s="669"/>
      <c r="I202" s="338"/>
      <c r="J202" s="356"/>
      <c r="K202" s="356"/>
      <c r="L202" s="356"/>
      <c r="M202" s="372"/>
      <c r="N202" s="363"/>
    </row>
    <row r="203" spans="1:14" ht="15" customHeight="1">
      <c r="A203" s="673"/>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México-Inglaterra·2|2-3</v>
      </c>
      <c r="D203" s="674"/>
      <c r="E203" s="669"/>
      <c r="F203" s="669"/>
      <c r="G203" s="669"/>
      <c r="H203" s="669"/>
      <c r="I203" s="338"/>
      <c r="J203" s="356"/>
      <c r="K203" s="356"/>
      <c r="L203" s="356"/>
      <c r="M203" s="372"/>
      <c r="N203" s="363"/>
    </row>
    <row r="204" spans="1:14" ht="15" customHeight="1">
      <c r="A204" s="673"/>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Portugal-España·2|0-1</v>
      </c>
      <c r="D204" s="674"/>
      <c r="E204" s="338"/>
      <c r="F204" s="338"/>
      <c r="G204" s="338"/>
      <c r="H204" s="338"/>
      <c r="I204" s="338"/>
      <c r="J204" s="356"/>
      <c r="K204" s="356"/>
      <c r="L204" s="356"/>
      <c r="M204" s="372"/>
      <c r="N204" s="363"/>
    </row>
    <row r="205" spans="1:14" ht="15" customHeight="1">
      <c r="A205" s="673"/>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Unidos-Bélgica·0|-</v>
      </c>
      <c r="D205" s="674"/>
      <c r="E205" s="338"/>
      <c r="F205" s="338"/>
      <c r="G205" s="338"/>
      <c r="H205" s="338"/>
      <c r="I205" s="338"/>
      <c r="J205" s="356"/>
      <c r="K205" s="356"/>
      <c r="L205" s="356"/>
      <c r="M205" s="372"/>
      <c r="N205" s="363"/>
    </row>
    <row r="206" spans="1:14" ht="15" customHeight="1">
      <c r="A206" s="673"/>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Argentina-Egipto·0|-</v>
      </c>
      <c r="D206" s="674"/>
      <c r="E206" s="338"/>
      <c r="F206" s="338"/>
      <c r="G206" s="338"/>
      <c r="H206" s="338"/>
      <c r="I206" s="338"/>
      <c r="J206" s="356"/>
      <c r="K206" s="356"/>
      <c r="L206" s="356"/>
      <c r="M206" s="372"/>
      <c r="N206" s="363"/>
    </row>
    <row r="207" spans="1:14" ht="15" customHeight="1">
      <c r="A207" s="673"/>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 ca="1">WORLDCUP!AA131</f>
        <v>Francia</v>
      </c>
      <c r="D210" s="674"/>
      <c r="E210" s="356"/>
      <c r="F210" s="356"/>
      <c r="G210" s="356"/>
      <c r="H210" s="356"/>
      <c r="I210" s="338"/>
      <c r="J210" s="356"/>
      <c r="K210" s="356"/>
      <c r="L210" s="356"/>
      <c r="M210" s="372"/>
      <c r="N210" s="363"/>
    </row>
    <row r="211" spans="1:14" ht="15" customHeight="1">
      <c r="A211" s="673"/>
      <c r="B211" s="346" t="str">
        <f>B210</f>
        <v>Cuartofinalista</v>
      </c>
      <c r="C211" s="335" t="str">
        <f ca="1">WORLDCUP!AA132</f>
        <v>España</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 ca="1">WORLDCUP!AA133</f>
        <v>Noruega</v>
      </c>
      <c r="D212" s="674"/>
      <c r="E212" s="356"/>
      <c r="F212" s="356"/>
      <c r="G212" s="356"/>
      <c r="H212" s="356"/>
      <c r="I212" s="338"/>
      <c r="J212" s="356"/>
      <c r="K212" s="356"/>
      <c r="L212" s="356"/>
      <c r="M212" s="372"/>
      <c r="N212" s="363"/>
    </row>
    <row r="213" spans="1:14" ht="15" customHeight="1">
      <c r="A213" s="673"/>
      <c r="B213" s="346" t="str">
        <f t="shared" si="3"/>
        <v>Cuartofinalista</v>
      </c>
      <c r="C213" s="335" t="str">
        <f>WORLDCUP!AA134</f>
        <v>W95</v>
      </c>
      <c r="D213" s="674"/>
      <c r="E213" s="356"/>
      <c r="F213" s="356"/>
      <c r="G213" s="356"/>
      <c r="H213" s="356"/>
      <c r="I213" s="338"/>
      <c r="J213" s="356"/>
      <c r="K213" s="356"/>
      <c r="L213" s="356"/>
      <c r="M213" s="372"/>
      <c r="N213" s="363"/>
    </row>
    <row r="214" spans="1:14" ht="15" customHeight="1">
      <c r="A214" s="673"/>
      <c r="B214" s="346" t="str">
        <f t="shared" si="3"/>
        <v>Cuartofinalista</v>
      </c>
      <c r="C214" s="335" t="str">
        <f ca="1">WORLDCUP!AF131</f>
        <v>Marruecos</v>
      </c>
      <c r="D214" s="674"/>
      <c r="E214" s="356"/>
      <c r="F214" s="356"/>
      <c r="G214" s="356"/>
      <c r="H214" s="356"/>
      <c r="I214" s="338"/>
      <c r="J214" s="356"/>
      <c r="K214" s="356"/>
      <c r="L214" s="356"/>
      <c r="M214" s="372"/>
      <c r="N214" s="363"/>
    </row>
    <row r="215" spans="1:14" ht="15" customHeight="1">
      <c r="A215" s="673"/>
      <c r="B215" s="346" t="str">
        <f t="shared" si="3"/>
        <v>Cuartofinalista</v>
      </c>
      <c r="C215" s="335" t="str">
        <f>WORLDCUP!AF132</f>
        <v>W94</v>
      </c>
      <c r="D215" s="674"/>
      <c r="E215" s="356"/>
      <c r="F215" s="356"/>
      <c r="G215" s="356"/>
      <c r="H215" s="356"/>
      <c r="I215" s="338"/>
      <c r="J215" s="356"/>
      <c r="K215" s="356"/>
      <c r="L215" s="356"/>
      <c r="M215" s="372"/>
      <c r="N215" s="363"/>
    </row>
    <row r="216" spans="1:14" ht="15" customHeight="1">
      <c r="A216" s="673"/>
      <c r="B216" s="346" t="str">
        <f t="shared" si="3"/>
        <v>Cuartofinalista</v>
      </c>
      <c r="C216" s="335" t="str">
        <f ca="1">WORLDCUP!AF133</f>
        <v>Inglaterra</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 ca="1">CONCATENATE(WORLDCUP!AA131,"-",WORLDCUP!AF131)</f>
        <v>Francia-Marruecos</v>
      </c>
      <c r="C220" s="335" t="str">
        <f ca="1">CONCATENATE(WORLDCUP!AA131,"-",WORLDCUP!AF131,"·",IF(WORLDCUP!AC131&gt;WORLDCUP!AD131,1,IF(WORLDCUP!AC131&lt;WORLDCUP!AD131,2,IF(AND(WORLDCUP!AC131=WORLDCUP!AD131,WORLDCUP!AC131&lt;&gt;"",WORLDCUP!AD131&lt;&gt;""),"X",0))),"|",WORLDCUP!AC131,"-",WORLDCUP!AD131)</f>
        <v>Francia-Marruecos·0|-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 ca="1">CONCATENATE(WORLDCUP!AA132,"-",WORLDCUP!AF132)</f>
        <v>España-W94</v>
      </c>
      <c r="C221" s="335" t="str">
        <f ca="1">CONCATENATE(WORLDCUP!AA132,"-",WORLDCUP!AF132,"·",IF(WORLDCUP!AC132&gt;WORLDCUP!AD132,1,IF(WORLDCUP!AC132&lt;WORLDCUP!AD132,2,IF(AND(WORLDCUP!AC132=WORLDCUP!AD132,WORLDCUP!AC132&lt;&gt;"",WORLDCUP!AD132&lt;&gt;""),"X",0))),"|",WORLDCUP!AC132,"-",WORLDCUP!AD132)</f>
        <v>España-W94·0|-</v>
      </c>
      <c r="D221" s="675"/>
      <c r="E221" s="669"/>
      <c r="F221" s="669"/>
      <c r="G221" s="669"/>
      <c r="H221" s="669"/>
      <c r="I221" s="338"/>
      <c r="J221" s="356"/>
      <c r="K221" s="356"/>
      <c r="L221" s="356"/>
      <c r="M221" s="372"/>
      <c r="N221" s="363"/>
    </row>
    <row r="222" spans="1:14" ht="15" customHeight="1">
      <c r="A222" s="673"/>
      <c r="B222" s="346" t="str">
        <f ca="1">CONCATENATE(WORLDCUP!AA133,"-",WORLDCUP!AF133)</f>
        <v>Noruega-Inglaterra</v>
      </c>
      <c r="C222" s="335" t="str">
        <f ca="1">CONCATENATE(WORLDCUP!AA133,"-",WORLDCUP!AF133,"·",IF(WORLDCUP!AC133&gt;WORLDCUP!AD133,1,IF(WORLDCUP!AC133&lt;WORLDCUP!AD133,2,IF(AND(WORLDCUP!AC133=WORLDCUP!AD133,WORLDCUP!AC133&lt;&gt;"",WORLDCUP!AD133&lt;&gt;""),"X",0))),"|",WORLDCUP!AC133,"-",WORLDCUP!AD133)</f>
        <v>Noruega-Inglaterra·0|-</v>
      </c>
      <c r="D222" s="675"/>
      <c r="E222" s="669"/>
      <c r="F222" s="669"/>
      <c r="G222" s="669"/>
      <c r="H222" s="669"/>
      <c r="I222" s="338"/>
      <c r="J222" s="356"/>
      <c r="K222" s="356"/>
      <c r="L222" s="356"/>
      <c r="M222" s="372"/>
      <c r="N222" s="363"/>
    </row>
    <row r="223" spans="1:14" ht="15" customHeight="1">
      <c r="A223" s="673"/>
      <c r="B223" s="346" t="str">
        <f>CONCATENATE(WORLDCUP!AA134,"-",WORLDCUP!AF134)</f>
        <v>W95-W96</v>
      </c>
      <c r="C223" s="335" t="str">
        <f>CONCATENATE(WORLDCUP!AA134,"-",WORLDCUP!AF134,"·",IF(WORLDCUP!AC134&gt;WORLDCUP!AD134,1,IF(WORLDCUP!AC134&lt;WORLDCUP!AD134,2,IF(AND(WORLDCUP!AC134=WORLDCUP!AD134,WORLDCUP!AC134&lt;&gt;"",WORLDCUP!AD134&lt;&gt;""),"X",0))),"|",WORLDCUP!AC134,"-",WORLDCUP!AD134)</f>
        <v>W95-W96·0|-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f>+IF(ISBLANK(INDEX(WORLDCUP!$AC$101:$AC$147,MATCH(AD4,WORLDCUP!$Z$101:$Z$147,0))),"",INDEX(WORLDCUP!$AC$101:$AC$147,MATCH(AD4,WORLDCUP!$Z$101:$Z$147,0)))</f>
        <v>0</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f>+IF(ISBLANK(INDEX(WORLDCUP!$AD$101:$AD$147,MATCH(AD5,WORLDCUP!$Z$101:$Z$147,0))),"",INDEX(WORLDCUP!$AD$101:$AD$147,MATCH(AD5,WORLDCUP!$Z$101:$Z$147,0)))</f>
        <v>1</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 ca="1">+MID(INDEX(WORLDCUP!$AA$101:$AA$147,MATCH(AH7,WORLDCUP!$Z$101:$Z$147,0)),1,3)</f>
        <v>Fra</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1</v>
      </c>
      <c r="BK7" s="444">
        <f ca="1">COUNTIF(Pool!$C$210:$C$217,Fixture!BG7)-BL7-BM7-BN7-BO7</f>
        <v>0</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 ca="1">+MID(INDEX(WORLDCUP!$AF$101:$AF$147,MATCH(AH8,WORLDCUP!$Z$101:$Z$147,0)),1,3)</f>
        <v>Mar</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f>+IF(ISBLANK(INDEX(WORLDCUP!$AC$101:$AC$147,MATCH(AD10,WORLDCUP!$Z$101:$Z$147,0))),"",INDEX(WORLDCUP!$AC$101:$AC$147,MATCH(AD10,WORLDCUP!$Z$101:$Z$147,0)))</f>
        <v>0</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1</v>
      </c>
      <c r="BK10" s="444">
        <f ca="1">COUNTIF(Pool!$C$210:$C$217,Fixture!BG10)-BL10-BM10-BN10-BO10</f>
        <v>0</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f>+IF(ISBLANK(INDEX(WORLDCUP!$AD$101:$AD$147,MATCH(AD11,WORLDCUP!$Z$101:$Z$147,0))),"",INDEX(WORLDCUP!$AD$101:$AD$147,MATCH(AD11,WORLDCUP!$Z$101:$Z$147,0)))</f>
        <v>3</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f>+IF(ISBLANK(INDEX(WORLDCUP!$AC$101:$AC$147,MATCH(AD16,WORLDCUP!$Z$101:$Z$147,0))),"",INDEX(WORLDCUP!$AC$101:$AC$147,MATCH(AD16,WORLDCUP!$Z$101:$Z$147,0)))</f>
        <v>0</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f>+IF(ISBLANK(INDEX(WORLDCUP!$AD$101:$AD$147,MATCH(AD17,WORLDCUP!$Z$101:$Z$147,0))),"",INDEX(WORLDCUP!$AD$101:$AD$147,MATCH(AD17,WORLDCUP!$Z$101:$Z$147,0)))</f>
        <v>1</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 ca="1">+MID(INDEX(WORLDCUP!$AA$101:$AA$147,MATCH(AH19,WORLDCUP!$Z$101:$Z$147,0)),1,3)</f>
        <v>Esp</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+MID(INDEX(WORLDCUP!$AF$101:$AF$147,MATCH(AH20,WORLDCUP!$Z$101:$Z$147,0)),1,3)</f>
        <v>W94</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t="str">
        <f>+IF(ISBLANK(INDEX(WORLDCUP!$AC$101:$AC$147,MATCH(AD22,WORLDCUP!$Z$101:$Z$147,0))),"",INDEX(WORLDCUP!$AC$101:$AC$147,MATCH(AD22,WORLDCUP!$Z$101:$Z$147,0)))</f>
        <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t="str">
        <f>+IF(ISBLANK(INDEX(WORLDCUP!$AD$101:$AD$147,MATCH(AD23,WORLDCUP!$Z$101:$Z$147,0))),"",INDEX(WORLDCUP!$AD$101:$AD$147,MATCH(AD23,WORLDCUP!$Z$101:$Z$147,0)))</f>
        <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0</v>
      </c>
      <c r="BK24" s="444">
        <f ca="1">COUNTIF(Pool!$C$210:$C$217,Fixture!BG24)-BL24-BM24-BN24-BO24</f>
        <v>1</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0</v>
      </c>
      <c r="BK26" s="444">
        <f ca="1">COUNTIF(Pool!$C$210:$C$217,Fixture!BG26)-BL26-BM26-BN26-BO26</f>
        <v>1</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f>+IF(ISBLANK(INDEX(WORLDCUP!$AC$101:$AC$147,MATCH(AD28,WORLDCUP!$Z$101:$Z$147,0))),"",INDEX(WORLDCUP!$AC$101:$AC$147,MATCH(AD28,WORLDCUP!$Z$101:$Z$147,0)))</f>
        <v>1</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f>+IF(ISBLANK(INDEX(WORLDCUP!$AD$101:$AD$147,MATCH(AD29,WORLDCUP!$Z$101:$Z$147,0))),"",INDEX(WORLDCUP!$AD$101:$AD$147,MATCH(AD29,WORLDCUP!$Z$101:$Z$147,0)))</f>
        <v>2</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0</v>
      </c>
      <c r="BK29" s="444">
        <f ca="1">COUNTIF(Pool!$C$210:$C$217,Fixture!BG29)-BL29-BM29-BN29-BO29</f>
        <v>1</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 ca="1">+MID(INDEX(WORLDCUP!$AA$101:$AA$147,MATCH(AH31,WORLDCUP!$Z$101:$Z$147,0)),1,3)</f>
        <v>Nor</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 ca="1">+MID(INDEX(WORLDCUP!$AF$101:$AF$147,MATCH(AH32,WORLDCUP!$Z$101:$Z$147,0)),1,3)</f>
        <v>Ing</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f>+IF(ISBLANK(INDEX(WORLDCUP!$AC$101:$AC$147,MATCH(AD34,WORLDCUP!$Z$101:$Z$147,0))),"",INDEX(WORLDCUP!$AC$101:$AC$147,MATCH(AD34,WORLDCUP!$Z$101:$Z$147,0)))</f>
        <v>2</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0</v>
      </c>
      <c r="BK34" s="444">
        <f ca="1">COUNTIF(Pool!$C$210:$C$217,Fixture!BG34)-BL34-BM34-BN34-BO34</f>
        <v>1</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f>+IF(ISBLANK(INDEX(WORLDCUP!$AD$101:$AD$147,MATCH(AD35,WORLDCUP!$Z$101:$Z$147,0))),"",INDEX(WORLDCUP!$AD$101:$AD$147,MATCH(AD35,WORLDCUP!$Z$101:$Z$147,0)))</f>
        <v>3</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0</v>
      </c>
      <c r="BK36" s="444">
        <f ca="1">COUNTIF(Pool!$C$210:$C$217,Fixture!BG36)-BL36-BM36-BN36-BO36</f>
        <v>1</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t="str">
        <f>+IF(ISBLANK(INDEX(WORLDCUP!$AC$101:$AC$147,MATCH(AD40,WORLDCUP!$Z$101:$Z$147,0))),"",INDEX(WORLDCUP!$AC$101:$AC$147,MATCH(AD40,WORLDCUP!$Z$101:$Z$147,0)))</f>
        <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t="str">
        <f>+IF(ISBLANK(INDEX(WORLDCUP!$AD$101:$AD$147,MATCH(AD41,WORLDCUP!$Z$101:$Z$147,0))),"",INDEX(WORLDCUP!$AD$101:$AD$147,MATCH(AD41,WORLDCUP!$Z$101:$Z$147,0)))</f>
        <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+MID(INDEX(WORLDCUP!$AA$101:$AA$147,MATCH(AH43,WORLDCUP!$Z$101:$Z$147,0)),1,3)</f>
        <v>W95</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1</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2026-07-06T21:43:04Z</dcterms:modified>
</cp:coreProperties>
</file>