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2CBF38C0-5FB6-464C-A770-565D7F193244}" xr6:coauthVersionLast="47" xr6:coauthVersionMax="47" xr10:uidLastSave="{00000000-0000-0000-0000-000000000000}"/>
  <bookViews>
    <workbookView xWindow="3220" yWindow="860" windowWidth="9510" windowHeight="961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0" i="3" l="1"/>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c r="R69" i="3"/>
  <c r="Q80" i="3"/>
  <c r="R31" i="3"/>
  <c r="R96" i="3"/>
  <c r="Q88" i="3"/>
  <c r="Q49" i="3"/>
  <c r="Q81" i="3" l="1"/>
  <c r="R81" i="3"/>
  <c r="R80" i="3"/>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T68" i="3"/>
  <c r="U93" i="3"/>
  <c r="T96" i="3"/>
  <c r="T57" i="3"/>
  <c r="T55" i="3"/>
  <c r="T60" i="3"/>
  <c r="T62" i="3"/>
  <c r="T65" i="3" l="1"/>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AU77" i="3" s="1"/>
  <c r="AV76" i="3" s="1"/>
  <c r="DL42" i="3"/>
  <c r="AU78" i="3" s="1"/>
  <c r="DL43" i="3"/>
  <c r="AU79" i="3" s="1"/>
  <c r="DL44" i="3"/>
  <c r="AU80" i="3" s="1"/>
  <c r="DL46" i="3"/>
  <c r="AU86" i="3" s="1"/>
  <c r="DL49" i="3"/>
  <c r="AU89" i="3" s="1"/>
  <c r="DL48" i="3"/>
  <c r="AU88" i="3" s="1"/>
  <c r="DL47" i="3"/>
  <c r="AU87" i="3" s="1"/>
  <c r="DL50" i="3"/>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49" i="3" a="1"/>
  <c r="DN49" i="3" s="1"/>
  <c r="DM34" i="3"/>
  <c r="DN42" i="3" a="1"/>
  <c r="DN42" i="3" s="1"/>
  <c r="DM42" i="3"/>
  <c r="DM44" i="3"/>
  <c r="DM50" i="3"/>
  <c r="AU94" i="3"/>
  <c r="DM43" i="3"/>
  <c r="DN44" i="3" l="1"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AU93" i="3"/>
  <c r="AV92"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<sst xmlns="http://schemas.openxmlformats.org/spreadsheetml/2006/main" count="6814" uniqueCount="1534">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</sst>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0" zoomScale="55" zoomScaleNormal="100" workbookViewId="0">
      <selection activeCell="AC104" sqref="AC104"/>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Suecia</v>
      </c>
      <c r="AG106" s="313">
        <f t="shared" si="294"/>
        <v>0</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c r="AD107" s="51"/>
      <c r="AE107" s="87"/>
      <c r="AF107" s="89" t="str">
        <f t="shared" ca="1" si="293"/>
        <v>Ecuador</v>
      </c>
      <c r="AG107" s="313">
        <f t="shared" si="294"/>
        <v>0</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Suecia</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Ecuador</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Paraguay-W77</v>
      </c>
      <c r="C201" s="337" t="str">
        <f ca="1">CONCATENATE(WORLDCUP!AA121,"-",WORLDCUP!AF121,"·",IF(WORLDCUP!AC121&gt;WORLDCUP!AD121,1,IF(WORLDCUP!AC121&lt;WORLDCUP!AD121,2,IF(AND(WORLDCUP!AC121=WORLDCUP!AD121,WORLDCUP!AC121&lt;&gt;"",WORLDCUP!AD121&lt;&gt;""),"X",0))),"|",WORLDCUP!AC121,"-",WORLDCUP!AD121)</f>
        <v>Paraguay-W77·0|-</v>
      </c>
      <c r="D201" s="669"/>
      <c r="E201" s="668"/>
      <c r="F201" s="668"/>
      <c r="G201" s="668"/>
      <c r="H201" s="668"/>
      <c r="I201" s="338"/>
      <c r="J201" s="356"/>
      <c r="K201" s="356"/>
      <c r="L201" s="356"/>
      <c r="M201" s="372"/>
      <c r="N201" s="363"/>
    </row>
    <row r="202" spans="1:14" ht="15" customHeight="1">
      <c r="A202" s="686"/>
      <c r="B202" s="347" t="str">
        <f ca="1">CONCATENATE(WORLDCUP!AA122,"-",WORLDCUP!AF122)</f>
        <v>Brasil-W78</v>
      </c>
      <c r="C202" s="337" t="str">
        <f ca="1">CONCATENATE(WORLDCUP!AA122,"-",WORLDCUP!AF122,"·",IF(WORLDCUP!AC122&gt;WORLDCUP!AD122,1,IF(WORLDCUP!AC122&lt;WORLDCUP!AD122,2,IF(AND(WORLDCUP!AC122=WORLDCUP!AD122,WORLDCUP!AC122&lt;&gt;"",WORLDCUP!AD122&lt;&gt;""),"X",0))),"|",WORLDCUP!AC122,"-",WORLDCUP!AD122)</f>
        <v>Brasil-W78·0|-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2026-06-30T05:15:57Z</dcterms:modified>
</cp:coreProperties>
</file>