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95B52FB8-C424-4C27-863A-76B4EF845ED7}"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BW43" i="3" s="1"/>
  <c r="E77" i="3"/>
  <c r="BU45" i="3" s="1"/>
  <c r="F78" i="3"/>
  <c r="E61" i="3"/>
  <c r="F62" i="3"/>
  <c r="F64" i="3"/>
  <c r="F72" i="3"/>
  <c r="E68" i="3"/>
  <c r="E70" i="3"/>
  <c r="BW36" i="3" l="1"/>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38" i="3" l="1"/>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N95" i="3"/>
  <c r="N96" i="3"/>
  <c r="O47" i="3"/>
  <c r="N61" i="3"/>
  <c r="O97" i="3"/>
  <c r="O44" i="3"/>
  <c r="N56" i="3"/>
  <c r="O95" i="3"/>
  <c r="CI36" i="3"/>
  <c r="CK36"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I15" i="3" s="1"/>
  <c r="CK42" i="3"/>
  <c r="N78" i="3"/>
  <c r="O81" i="3"/>
  <c r="N14" i="3"/>
  <c r="CI11" i="3" s="1"/>
  <c r="CK13" i="3"/>
  <c r="N23" i="3"/>
  <c r="N20" i="3"/>
  <c r="O24" i="3"/>
  <c r="CK17" i="3" s="1"/>
  <c r="N17" i="3"/>
  <c r="CI12" i="3" s="1"/>
  <c r="O14" i="3"/>
  <c r="CI13" i="3" s="1"/>
  <c r="CK33" i="3"/>
  <c r="CK53" i="3"/>
  <c r="CK14" i="3"/>
  <c r="CK49" i="3"/>
  <c r="CK31" i="3"/>
  <c r="CI14" i="3" l="1"/>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L41" i="3"/>
  <c r="CM52" i="3" s="1"/>
  <c r="CL7" i="3"/>
  <c r="CM53" i="3" s="1"/>
  <c r="CL6" i="3"/>
  <c r="CM17" i="3" s="1"/>
  <c r="CM47" i="3"/>
  <c r="CM43" i="3"/>
  <c r="CM35" i="3"/>
  <c r="CM19" i="3"/>
  <c r="CM39" i="3"/>
  <c r="CM41" i="3"/>
  <c r="CM37" i="3"/>
  <c r="CM44" i="3" l="1"/>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Q41" i="3"/>
  <c r="R78" i="3"/>
  <c r="R80" i="3"/>
  <c r="R40" i="3"/>
  <c r="Q62" i="3"/>
  <c r="R38" i="3"/>
  <c r="R56" i="3"/>
  <c r="R62" i="3"/>
  <c r="R53" i="3"/>
  <c r="R54" i="3"/>
  <c r="R81" i="3"/>
  <c r="R87" i="3"/>
  <c r="Q55" i="3"/>
  <c r="R70" i="3"/>
  <c r="Q96" i="3"/>
  <c r="Q72" i="3"/>
  <c r="R49" i="3"/>
  <c r="R32" i="3"/>
  <c r="R69" i="3"/>
  <c r="R24" i="3"/>
  <c r="Q78" i="3"/>
  <c r="Q80" i="3"/>
  <c r="R31" i="3"/>
  <c r="Q23" i="3"/>
  <c r="Q16" i="3"/>
  <c r="R16" i="3"/>
  <c r="R79" i="3"/>
  <c r="CO45" i="3" s="1"/>
  <c r="Q63" i="3"/>
  <c r="R96" i="3"/>
  <c r="R55" i="3"/>
  <c r="R41" i="3"/>
  <c r="R88" i="3"/>
  <c r="R85" i="3"/>
  <c r="R72" i="3"/>
  <c r="R95" i="3"/>
  <c r="Q56" i="3"/>
  <c r="R77" i="3"/>
  <c r="Q86" i="3"/>
  <c r="R39" i="3"/>
  <c r="Q73" i="3"/>
  <c r="Q97" i="3"/>
  <c r="Q8" i="3"/>
  <c r="Q40" i="3"/>
  <c r="Q88" i="3"/>
  <c r="R48" i="3"/>
  <c r="R9" i="3"/>
  <c r="R94" i="3"/>
  <c r="Q65" i="3"/>
  <c r="R17" i="3"/>
  <c r="Q54" i="3"/>
  <c r="Q81" i="3"/>
  <c r="Q49" i="3"/>
  <c r="Q48" i="3"/>
  <c r="Q64" i="3"/>
  <c r="R8" i="3"/>
  <c r="Q38" i="3" l="1"/>
  <c r="Q22" i="3"/>
  <c r="Q30" i="3"/>
  <c r="Q31" i="3"/>
  <c r="CO19" i="3" s="1"/>
  <c r="Q46" i="3"/>
  <c r="CP42" i="3"/>
  <c r="R30" i="3"/>
  <c r="Q93" i="3"/>
  <c r="CO53" i="3" s="1"/>
  <c r="R23" i="3"/>
  <c r="R22" i="3"/>
  <c r="R6" i="3"/>
  <c r="CP9" i="3" s="1"/>
  <c r="R7" i="3"/>
  <c r="R93" i="3"/>
  <c r="CP52" i="3" s="1"/>
  <c r="Q14" i="3"/>
  <c r="R14" i="3"/>
  <c r="CP43" i="3"/>
  <c r="R37" i="3"/>
  <c r="CP24" i="3" s="1"/>
  <c r="CO43" i="3"/>
  <c r="Q69" i="3"/>
  <c r="CO41" i="3" s="1"/>
  <c r="R68" i="3"/>
  <c r="CO38" i="3" s="1"/>
  <c r="Q92" i="3"/>
  <c r="CP51" i="3" s="1"/>
  <c r="R12" i="3"/>
  <c r="CO10" i="3" s="1"/>
  <c r="Q13" i="3"/>
  <c r="R60" i="3"/>
  <c r="CO34" i="3" s="1"/>
  <c r="CO27" i="3"/>
  <c r="R44" i="3"/>
  <c r="CO26" i="3" s="1"/>
  <c r="R28" i="3"/>
  <c r="CO18" i="3" s="1"/>
  <c r="Q61" i="3"/>
  <c r="CO37" i="3" s="1"/>
  <c r="R84" i="3"/>
  <c r="CO46" i="3" s="1"/>
  <c r="Q29" i="3"/>
  <c r="CP21" i="3" s="1"/>
  <c r="R29" i="3"/>
  <c r="CP47" i="3"/>
  <c r="CO15" i="3"/>
  <c r="Q68" i="3"/>
  <c r="CP39" i="3" s="1"/>
  <c r="R21" i="3"/>
  <c r="CP23" i="3"/>
  <c r="CP36" i="3"/>
  <c r="CO30" i="3"/>
  <c r="R45" i="3"/>
  <c r="Q60" i="3"/>
  <c r="CO35" i="3" s="1"/>
  <c r="CP50" i="3"/>
  <c r="CP33" i="3"/>
  <c r="Q52" i="3"/>
  <c r="CP31" i="3" s="1"/>
  <c r="CP12" i="3"/>
  <c r="CP30" i="3"/>
  <c r="Q45" i="3"/>
  <c r="CO23" i="3"/>
  <c r="CO22" i="3"/>
  <c r="CP22" i="3"/>
  <c r="Q4" i="3"/>
  <c r="CP7" i="3" s="1"/>
  <c r="Q12" i="3"/>
  <c r="R5" i="3"/>
  <c r="CO8" i="3" s="1"/>
  <c r="CO12" i="3"/>
  <c r="CO47" i="3"/>
  <c r="CO9" i="3"/>
  <c r="R20" i="3"/>
  <c r="Q21" i="3"/>
  <c r="CP45" i="3"/>
  <c r="CQ45" i="3" s="1"/>
  <c r="CP44" i="3"/>
  <c r="CP49" i="3"/>
  <c r="CP48" i="3"/>
  <c r="CO50" i="3"/>
  <c r="CP40" i="3"/>
  <c r="CO40" i="3"/>
  <c r="CO49" i="3"/>
  <c r="CO48" i="3"/>
  <c r="CP32" i="3"/>
  <c r="CP16" i="3"/>
  <c r="CO42" i="3"/>
  <c r="CO44" i="3"/>
  <c r="CO32" i="3"/>
  <c r="CP28" i="3"/>
  <c r="CP17" i="3"/>
  <c r="CO28" i="3"/>
  <c r="CP15" i="3"/>
  <c r="CO17" i="3"/>
  <c r="CO16" i="3"/>
  <c r="CO6" i="3"/>
  <c r="CP6" i="3"/>
  <c r="CP27" i="3"/>
  <c r="CO29" i="3"/>
  <c r="CP29" i="3"/>
  <c r="CO33" i="3"/>
  <c r="CO25" i="3"/>
  <c r="CP25" i="3"/>
  <c r="CP41" i="3"/>
  <c r="CO36" i="3"/>
  <c r="CP20" i="3" l="1"/>
  <c r="CQ42" i="3"/>
  <c r="CP19" i="3"/>
  <c r="CQ19" i="3" s="1"/>
  <c r="CO24" i="3"/>
  <c r="CQ24" i="3" s="1"/>
  <c r="CP53" i="3"/>
  <c r="CQ53" i="3" s="1"/>
  <c r="CP37" i="3"/>
  <c r="CQ37" i="3" s="1"/>
  <c r="CP14" i="3"/>
  <c r="CO52" i="3"/>
  <c r="CQ52" i="3" s="1"/>
  <c r="CP38" i="3"/>
  <c r="CQ38" i="3" s="1"/>
  <c r="CO51" i="3"/>
  <c r="CQ51" i="3" s="1"/>
  <c r="CP11" i="3"/>
  <c r="CP34" i="3"/>
  <c r="CQ34" i="3" s="1"/>
  <c r="CO13" i="3"/>
  <c r="CO20" i="3"/>
  <c r="CQ20" i="3" s="1"/>
  <c r="CQ43" i="3"/>
  <c r="CP46" i="3"/>
  <c r="CQ46" i="3" s="1"/>
  <c r="CP8" i="3"/>
  <c r="CQ8" i="3" s="1"/>
  <c r="CP10" i="3"/>
  <c r="CQ10" i="3" s="1"/>
  <c r="CP13" i="3"/>
  <c r="CO21" i="3"/>
  <c r="CQ21" i="3" s="1"/>
  <c r="CQ30" i="3"/>
  <c r="CQ15" i="3"/>
  <c r="CO14" i="3"/>
  <c r="CQ23" i="3"/>
  <c r="CQ27" i="3"/>
  <c r="CP26" i="3"/>
  <c r="CQ26" i="3" s="1"/>
  <c r="CQ47" i="3"/>
  <c r="CP18" i="3"/>
  <c r="CQ18" i="3" s="1"/>
  <c r="CO39" i="3"/>
  <c r="CQ39" i="3" s="1"/>
  <c r="CQ50" i="3"/>
  <c r="CQ33" i="3"/>
  <c r="CO31" i="3"/>
  <c r="CQ31" i="3" s="1"/>
  <c r="CQ12" i="3"/>
  <c r="CQ9" i="3"/>
  <c r="CP35" i="3"/>
  <c r="CQ35" i="3" s="1"/>
  <c r="CO11" i="3"/>
  <c r="CQ36" i="3"/>
  <c r="CQ22" i="3"/>
  <c r="CO7" i="3"/>
  <c r="CQ7" i="3" s="1"/>
  <c r="CQ44" i="3"/>
  <c r="CQ49" i="3"/>
  <c r="CQ48" i="3"/>
  <c r="CQ16" i="3"/>
  <c r="CQ40" i="3"/>
  <c r="CQ32" i="3"/>
  <c r="CQ28" i="3"/>
  <c r="CQ17" i="3"/>
  <c r="CQ6" i="3"/>
  <c r="CQ41" i="3"/>
  <c r="CQ29" i="3"/>
  <c r="CQ25" i="3"/>
  <c r="CQ14" i="3" l="1"/>
  <c r="CR41" i="3" s="1"/>
  <c r="CQ13" i="3"/>
  <c r="CR27" i="3" s="1"/>
  <c r="CQ11" i="3"/>
  <c r="CR53" i="3" s="1"/>
  <c r="CR47" i="3"/>
  <c r="CR48" i="3"/>
  <c r="CR21" i="3"/>
  <c r="CR49" i="3"/>
  <c r="CR19" i="3"/>
  <c r="CR35" i="3"/>
  <c r="CR34" i="3"/>
  <c r="CR28" i="3"/>
  <c r="CR17" i="3"/>
  <c r="CR20" i="3"/>
  <c r="CR16" i="3"/>
  <c r="CR18" i="3"/>
  <c r="CR7" i="3"/>
  <c r="CR46" i="3"/>
  <c r="CR9" i="3"/>
  <c r="CR6" i="3"/>
  <c r="CR8" i="3"/>
  <c r="CR13" i="3"/>
  <c r="CR29" i="3"/>
  <c r="CR25" i="3"/>
  <c r="CR51" i="3"/>
  <c r="CR26" i="3" l="1"/>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T41" i="3"/>
  <c r="T54" i="3"/>
  <c r="U33" i="3"/>
  <c r="U25" i="3"/>
  <c r="U32" i="3"/>
  <c r="T86" i="3"/>
  <c r="U64" i="3"/>
  <c r="T8" i="3"/>
  <c r="T36" i="3"/>
  <c r="U41" i="3"/>
  <c r="T69" i="3"/>
  <c r="U73" i="3"/>
  <c r="T81" i="3"/>
  <c r="U16" i="3"/>
  <c r="T24" i="3"/>
  <c r="T73" i="3"/>
  <c r="U95" i="3"/>
  <c r="U86" i="3"/>
  <c r="T97" i="3"/>
  <c r="T32" i="3"/>
  <c r="U81" i="3"/>
  <c r="U78" i="3"/>
  <c r="T89" i="3"/>
  <c r="U87" i="3"/>
  <c r="T87" i="3"/>
  <c r="T88" i="3"/>
  <c r="T56" i="3"/>
  <c r="U49" i="3"/>
  <c r="T16" i="3"/>
  <c r="U52" i="3"/>
  <c r="T64" i="3"/>
  <c r="T94" i="3"/>
  <c r="T68" i="3"/>
  <c r="U93" i="3"/>
  <c r="T33" i="3"/>
  <c r="T96" i="3"/>
  <c r="U72" i="3"/>
  <c r="U96" i="3"/>
  <c r="T72" i="3"/>
  <c r="T57" i="3"/>
  <c r="U94" i="3"/>
  <c r="T65" i="3"/>
  <c r="U17" i="3"/>
  <c r="T55" i="3"/>
  <c r="U97" i="3"/>
  <c r="T25" i="3"/>
  <c r="U79" i="3"/>
  <c r="T60" i="3"/>
  <c r="T62" i="3"/>
  <c r="T48" i="3"/>
  <c r="U44" i="3"/>
  <c r="T9" i="3"/>
  <c r="T49" i="3"/>
  <c r="U54" i="3" l="1"/>
  <c r="T47" i="3"/>
  <c r="U61" i="3"/>
  <c r="U6" i="3"/>
  <c r="U39" i="3"/>
  <c r="U38" i="3"/>
  <c r="CT31" i="3"/>
  <c r="U14" i="3"/>
  <c r="CT13" i="3" s="1"/>
  <c r="U37" i="3"/>
  <c r="CT24" i="3" s="1"/>
  <c r="U36" i="3"/>
  <c r="CT53" i="3"/>
  <c r="T44" i="3"/>
  <c r="T6" i="3"/>
  <c r="T45" i="3"/>
  <c r="U46" i="3"/>
  <c r="CT26" i="3" s="1"/>
  <c r="U7" i="3"/>
  <c r="T37" i="3"/>
  <c r="CT25" i="3" s="1"/>
  <c r="U15" i="3"/>
  <c r="CT28" i="3"/>
  <c r="T12" i="3"/>
  <c r="CT11" i="3" s="1"/>
  <c r="T5" i="3"/>
  <c r="U69" i="3"/>
  <c r="CT40" i="3" s="1"/>
  <c r="T4" i="3"/>
  <c r="T23" i="3"/>
  <c r="U68" i="3"/>
  <c r="CT38" i="3" s="1"/>
  <c r="CT49" i="3"/>
  <c r="T29" i="3"/>
  <c r="U20" i="3"/>
  <c r="CT14" i="3" s="1"/>
  <c r="T7" i="3"/>
  <c r="T20" i="3"/>
  <c r="CT15" i="3" s="1"/>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CT50" i="3"/>
  <c r="U12" i="3"/>
  <c r="CT10" i="3" s="1"/>
  <c r="T76" i="3"/>
  <c r="CT43" i="3" s="1"/>
  <c r="CT23" i="3"/>
  <c r="T61" i="3"/>
  <c r="CT37" i="3" s="1"/>
  <c r="CT32" i="3"/>
  <c r="CT22" i="3"/>
  <c r="CT21" i="3"/>
  <c r="CT48" i="3"/>
  <c r="CT6" i="3"/>
  <c r="CT46" i="3"/>
  <c r="CT30" i="3"/>
  <c r="CT18" i="3"/>
  <c r="CT16" i="3"/>
  <c r="CT27" i="3"/>
  <c r="CT41" i="3"/>
  <c r="CT39" i="3"/>
  <c r="CT52" i="3"/>
  <c r="CT29" i="3"/>
  <c r="CT36" i="3"/>
  <c r="CT8" i="3"/>
  <c r="CT9" i="3" l="1"/>
  <c r="CU51" i="3" s="1"/>
  <c r="CT7" i="3"/>
  <c r="CU33" i="3" s="1"/>
  <c r="CU47" i="3"/>
  <c r="CU49" i="3"/>
  <c r="CU48" i="3"/>
  <c r="CU44" i="3"/>
  <c r="CU24" i="3"/>
  <c r="CU41" i="3"/>
  <c r="CU21" i="3"/>
  <c r="CU27" i="3"/>
  <c r="CU38" i="3"/>
  <c r="CU10" i="3"/>
  <c r="CU26" i="3"/>
  <c r="CU20" i="3"/>
  <c r="CU50" i="3"/>
  <c r="CU18" i="3"/>
  <c r="CU19" i="3"/>
  <c r="CU46" i="3"/>
  <c r="CU32" i="3"/>
  <c r="CU15" i="3"/>
  <c r="CU14" i="3"/>
  <c r="CU42" i="3"/>
  <c r="CU17" i="3"/>
  <c r="CU16" i="3"/>
  <c r="CU28" i="3"/>
  <c r="CU22" i="3"/>
  <c r="CU29" i="3"/>
  <c r="CU8" i="3"/>
  <c r="CU37" i="3"/>
  <c r="CU6" i="3"/>
  <c r="CU52" i="3"/>
  <c r="CU13" i="3"/>
  <c r="CU36" i="3"/>
  <c r="CU7" i="3" l="1"/>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25" i="3"/>
  <c r="AU41" i="3" s="1"/>
  <c r="DL11" i="3"/>
  <c r="DL52" i="3"/>
  <c r="AU96" i="3" s="1"/>
  <c r="DL37" i="3"/>
  <c r="AU65" i="3" s="1"/>
  <c r="DL49" i="3"/>
  <c r="AU89" i="3" s="1"/>
  <c r="DL27" i="3"/>
  <c r="AU47" i="3" s="1"/>
  <c r="DL13" i="3"/>
  <c r="AU17" i="3" s="1"/>
  <c r="DL10" i="3"/>
  <c r="AU14" i="3" s="1"/>
  <c r="DL14" i="3"/>
  <c r="DL46" i="3"/>
  <c r="AU86" i="3" s="1"/>
  <c r="DL18" i="3"/>
  <c r="AU30" i="3" s="1"/>
  <c r="DL43" i="3"/>
  <c r="AU79" i="3" s="1"/>
  <c r="DL9" i="3"/>
  <c r="AU9" i="3" s="1"/>
  <c r="DL50" i="3"/>
  <c r="DL8" i="3"/>
  <c r="AU8" i="3" s="1"/>
  <c r="DL6" i="3"/>
  <c r="AU6" i="3" s="1"/>
  <c r="DL45" i="3"/>
  <c r="DL16" i="3"/>
  <c r="AU24" i="3" s="1"/>
  <c r="DL22" i="3"/>
  <c r="AU38" i="3" s="1"/>
  <c r="DL48" i="3"/>
  <c r="AU88" i="3" s="1"/>
  <c r="DL47" i="3"/>
  <c r="AU87" i="3" s="1"/>
  <c r="DL7" i="3"/>
  <c r="DL40" i="3"/>
  <c r="AU72" i="3" s="1"/>
  <c r="DL21" i="3"/>
  <c r="AU33" i="3" s="1"/>
  <c r="DL51" i="3"/>
  <c r="AU95" i="3" s="1"/>
  <c r="DL28" i="3"/>
  <c r="AU48" i="3" s="1"/>
  <c r="DL15" i="3"/>
  <c r="AU23" i="3" s="1"/>
  <c r="DL53" i="3"/>
  <c r="AU97" i="3" s="1"/>
  <c r="DL12" i="3"/>
  <c r="AU16" i="3" s="1"/>
  <c r="DL20" i="3"/>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F7" i="3" l="1"/>
  <c r="DN20" i="3" a="1"/>
  <c r="DN20" i="3" s="1"/>
  <c r="DN7" i="3" a="1"/>
  <c r="DN7" i="3" s="1"/>
  <c r="DM14" i="3"/>
  <c r="DN45" i="3" a="1"/>
  <c r="DN45" i="3" s="1"/>
  <c r="DF8" i="3"/>
  <c r="DM11" i="3"/>
  <c r="DN50" i="3" a="1"/>
  <c r="DN50" i="3" s="1"/>
  <c r="DN31" i="3"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<sst xmlns="http://schemas.openxmlformats.org/spreadsheetml/2006/main" count="6814" uniqueCount="1534">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</sst>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X39" zoomScale="73" zoomScaleNormal="100" workbookViewId="0">
      <selection activeCell="AD55" sqref="AD55"/>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43"/>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44"/>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2</v>
      </c>
      <c r="BG10" s="16">
        <f t="shared" ca="1" si="17"/>
        <v>1</v>
      </c>
      <c r="BH10" s="16">
        <f t="shared" ca="1" si="18"/>
        <v>1</v>
      </c>
      <c r="BI10" s="16">
        <f t="shared" ca="1" si="19"/>
        <v>0</v>
      </c>
      <c r="BJ10" s="16">
        <f t="shared" ca="1" si="20"/>
        <v>7</v>
      </c>
      <c r="BK10" s="16">
        <f t="shared" ca="1" si="21"/>
        <v>1</v>
      </c>
      <c r="BL10" s="16">
        <f t="shared" ca="1" si="42"/>
        <v>6</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8</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0</v>
      </c>
      <c r="BW11" s="16">
        <f t="shared" ca="1" si="26"/>
        <v>0</v>
      </c>
      <c r="BX11" s="16">
        <f t="shared" ca="1" si="48"/>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0</v>
      </c>
      <c r="CK11" s="16">
        <f t="shared" ca="1" si="32"/>
        <v>0</v>
      </c>
      <c r="CL11" s="16">
        <f t="shared" ca="1" si="50"/>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8</v>
      </c>
      <c r="DL11" s="16">
        <f t="shared" ca="1" si="40"/>
        <v>1</v>
      </c>
      <c r="DM11" s="16" t="str">
        <f t="shared" ca="1" si="46"/>
        <v>2.1</v>
      </c>
      <c r="DN11" s="16" cm="1">
        <f t="array" aca="1" ref="DN11" ca="1">OFFSET(Horarios!$P$3,DJ11-1,0,DL11,1)</f>
        <v>2</v>
      </c>
      <c r="DO11" s="16"/>
      <c r="DP11" s="16" t="s">
        <v>661</v>
      </c>
      <c r="DQ11" s="16" t="str">
        <f t="shared" ca="1" si="47"/>
        <v>Suiza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(2)</v>
      </c>
      <c r="F12" s="16" t="str">
        <f t="shared" ref="F12:F17" ca="1" si="55">IF(D12="Pendiente","-",INDEX($BT$6:$BT$53,MATCH($AF12,$BD$6:$BD$53,0)))</f>
        <v>P.3 (2)</v>
      </c>
      <c r="G12" s="16"/>
      <c r="H12" s="16" t="str">
        <f t="shared" ref="H12:H17" ca="1" si="56">IF(D12="Pendiente","-",INDEX($BZ$6:$BZ$53,MATCH($AA12,$BD$6:$BD$53,0)))</f>
        <v>P.1 (2)</v>
      </c>
      <c r="I12" s="16" t="str">
        <f t="shared" ref="I12:I17" ca="1" si="57">IF(D12="Pendiente","-",INDEX($BZ$6:$BZ$53,MATCH($AF12,$BD$6:$BD$53,0)))</f>
        <v>P.3 (2)</v>
      </c>
      <c r="J12" s="16"/>
      <c r="K12" s="16" t="str">
        <f t="shared" ref="K12:K17" ca="1" si="58">IF(D12="Pendiente","-",INDEX($CE$6:$CE$53,MATCH($AA12,$BD$6:$BD$53,0)))</f>
        <v>P.1 (2)</v>
      </c>
      <c r="L12" s="16" t="str">
        <f t="shared" ref="L12:L17" ca="1" si="59">IF(D12="Pendiente","-",INDEX($CE$6:$CE$53,MATCH($AF12,$BD$6:$BD$53,0)))</f>
        <v>P.3 (2)</v>
      </c>
      <c r="M12" s="16"/>
      <c r="N12" s="16" t="str">
        <f t="shared" ref="N12:N17" ca="1" si="60">IF(D12="Pendiente","-",INDEX($CH$6:$CH$53,MATCH($AA12,$BD$6:$BD$53,0)))</f>
        <v>P.1 (2)</v>
      </c>
      <c r="O12" s="16" t="str">
        <f t="shared" ref="O12:O17" ca="1" si="61">IF(D12="Pendiente","-",INDEX($CH$6:$CH$53,MATCH($AF12,$BD$6:$BD$53,0)))</f>
        <v>P.3 (2)</v>
      </c>
      <c r="P12" s="16"/>
      <c r="Q12" s="16" t="str">
        <f t="shared" ref="Q12:Q17" ca="1" si="62">IF(D12="Pendiente","-",INDEX($CN$6:$CN$53,MATCH($AA12,$BD$6:$BD$53,0)))</f>
        <v>P.1 (2)</v>
      </c>
      <c r="R12" s="16" t="str">
        <f t="shared" ref="R12:R17" ca="1" si="63">IF(D12="Pendiente","-",INDEX($CN$6:$CN$53,MATCH($AF12,$BD$6:$BD$53,0)))</f>
        <v>P.3 (2)</v>
      </c>
      <c r="S12" s="16"/>
      <c r="T12" s="16" t="str">
        <f t="shared" ref="T12:T17" ca="1" si="64">IF(D12="Pendiente","-",INDEX($CS$6:$CS$53,MATCH($AA12,$BD$6:$BD$53,0)))</f>
        <v>P.1 (2)</v>
      </c>
      <c r="U12" s="16" t="str">
        <f t="shared" ref="U12:U17" ca="1" si="65">IF(D12="Pendiente","-",INDEX($CS$6:$CS$53,MATCH($AF12,$BD$6:$BD$53,0)))</f>
        <v>P.3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2</v>
      </c>
      <c r="BG12" s="16">
        <f t="shared" ca="1" si="17"/>
        <v>0</v>
      </c>
      <c r="BH12" s="16">
        <f t="shared" ca="1" si="18"/>
        <v>1</v>
      </c>
      <c r="BI12" s="16">
        <f t="shared" ca="1" si="19"/>
        <v>1</v>
      </c>
      <c r="BJ12" s="16">
        <f t="shared" ca="1" si="20"/>
        <v>1</v>
      </c>
      <c r="BK12" s="16">
        <f t="shared" ca="1" si="21"/>
        <v>7</v>
      </c>
      <c r="BL12" s="16">
        <f t="shared" ca="1" si="42"/>
        <v>-6</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0</v>
      </c>
      <c r="BW12" s="16">
        <f t="shared" ca="1" si="26"/>
        <v>0</v>
      </c>
      <c r="BX12" s="16">
        <f t="shared" ca="1" si="48"/>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0</v>
      </c>
      <c r="CK12" s="16">
        <f t="shared" ca="1" si="32"/>
        <v>0</v>
      </c>
      <c r="CL12" s="16">
        <f t="shared" ca="1" si="50"/>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8</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P.3 (2)</v>
      </c>
      <c r="F13" s="16" t="str">
        <f t="shared" ca="1" si="55"/>
        <v>P.1 (2)</v>
      </c>
      <c r="G13" s="16"/>
      <c r="H13" s="16" t="str">
        <f t="shared" ca="1" si="56"/>
        <v>P.3 (2)</v>
      </c>
      <c r="I13" s="16" t="str">
        <f t="shared" ca="1" si="57"/>
        <v>P.1 (2)</v>
      </c>
      <c r="J13" s="16"/>
      <c r="K13" s="16" t="str">
        <f t="shared" ca="1" si="58"/>
        <v>P.3 (2)</v>
      </c>
      <c r="L13" s="16" t="str">
        <f t="shared" ca="1" si="59"/>
        <v>P.1 (2)</v>
      </c>
      <c r="M13" s="16"/>
      <c r="N13" s="16" t="str">
        <f t="shared" ca="1" si="60"/>
        <v>P.3 (2)</v>
      </c>
      <c r="O13" s="16" t="str">
        <f t="shared" ca="1" si="61"/>
        <v>P.1 (2)</v>
      </c>
      <c r="P13" s="16"/>
      <c r="Q13" s="16" t="str">
        <f t="shared" ca="1" si="62"/>
        <v>P.3 (2)</v>
      </c>
      <c r="R13" s="16" t="str">
        <f t="shared" ca="1" si="63"/>
        <v>P.1 (2)</v>
      </c>
      <c r="S13" s="16"/>
      <c r="T13" s="16" t="str">
        <f t="shared" ca="1" si="64"/>
        <v>P.3 (2)</v>
      </c>
      <c r="U13" s="16" t="str">
        <f t="shared" ca="1" si="65"/>
        <v>P.1 (2)</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8</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P.1 (2)</v>
      </c>
      <c r="F14" s="16" t="str">
        <f t="shared" ca="1" si="55"/>
        <v>P.3 (2)</v>
      </c>
      <c r="G14" s="16"/>
      <c r="H14" s="16" t="str">
        <f t="shared" ca="1" si="56"/>
        <v>P.1 (2)</v>
      </c>
      <c r="I14" s="16" t="str">
        <f t="shared" ca="1" si="57"/>
        <v>P.3 (2)</v>
      </c>
      <c r="J14" s="16"/>
      <c r="K14" s="16" t="str">
        <f t="shared" ca="1" si="58"/>
        <v>P.1 (2)</v>
      </c>
      <c r="L14" s="16" t="str">
        <f t="shared" ca="1" si="59"/>
        <v>P.3 (2)</v>
      </c>
      <c r="M14" s="16"/>
      <c r="N14" s="16" t="str">
        <f t="shared" ca="1" si="60"/>
        <v>P.1 (2)</v>
      </c>
      <c r="O14" s="16" t="str">
        <f t="shared" ca="1" si="61"/>
        <v>P.3 (2)</v>
      </c>
      <c r="P14" s="16"/>
      <c r="Q14" s="16" t="str">
        <f t="shared" ca="1" si="62"/>
        <v>P.1 (2)</v>
      </c>
      <c r="R14" s="16" t="str">
        <f t="shared" ca="1" si="63"/>
        <v>P.3 (2)</v>
      </c>
      <c r="S14" s="16"/>
      <c r="T14" s="16" t="str">
        <f t="shared" ca="1" si="64"/>
        <v>P.1 (2)</v>
      </c>
      <c r="U14" s="16" t="str">
        <f t="shared" ca="1" si="65"/>
        <v>P.3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4</v>
      </c>
      <c r="AN14" s="36">
        <f t="shared" ca="1" si="69"/>
        <v>2</v>
      </c>
      <c r="AO14" s="36">
        <f t="shared" ca="1" si="69"/>
        <v>1</v>
      </c>
      <c r="AP14" s="36">
        <f t="shared" ca="1" si="69"/>
        <v>1</v>
      </c>
      <c r="AQ14" s="36">
        <f t="shared" ca="1" si="69"/>
        <v>0</v>
      </c>
      <c r="AR14" s="36">
        <f t="shared" ca="1" si="69"/>
        <v>7</v>
      </c>
      <c r="AS14" s="36">
        <f t="shared" ca="1" si="69"/>
        <v>1</v>
      </c>
      <c r="AT14" s="70">
        <f t="shared" ca="1" si="69"/>
        <v>6</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4</v>
      </c>
      <c r="BF14" s="16">
        <f t="shared" ca="1" si="41"/>
        <v>2</v>
      </c>
      <c r="BG14" s="16">
        <f t="shared" ca="1" si="17"/>
        <v>1</v>
      </c>
      <c r="BH14" s="16">
        <f t="shared" ca="1" si="18"/>
        <v>1</v>
      </c>
      <c r="BI14" s="16">
        <f t="shared" ca="1" si="19"/>
        <v>0</v>
      </c>
      <c r="BJ14" s="16">
        <f t="shared" ca="1" si="20"/>
        <v>4</v>
      </c>
      <c r="BK14" s="16">
        <f t="shared" ca="1" si="21"/>
        <v>1</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8</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P.1 (2)</v>
      </c>
      <c r="F15" s="16" t="str">
        <f t="shared" ca="1" si="55"/>
        <v>P.3 (2)</v>
      </c>
      <c r="G15" s="16"/>
      <c r="H15" s="16" t="str">
        <f t="shared" ca="1" si="56"/>
        <v>P.1 (2)</v>
      </c>
      <c r="I15" s="16" t="str">
        <f t="shared" ca="1" si="57"/>
        <v>P.3 (2)</v>
      </c>
      <c r="J15" s="16"/>
      <c r="K15" s="16" t="str">
        <f t="shared" ca="1" si="58"/>
        <v>P.1 (2)</v>
      </c>
      <c r="L15" s="16" t="str">
        <f t="shared" ca="1" si="59"/>
        <v>P.3 (2)</v>
      </c>
      <c r="M15" s="16"/>
      <c r="N15" s="16" t="str">
        <f t="shared" ca="1" si="60"/>
        <v>P.1 (2)</v>
      </c>
      <c r="O15" s="16" t="str">
        <f t="shared" ca="1" si="61"/>
        <v>P.3 (2)</v>
      </c>
      <c r="P15" s="16"/>
      <c r="Q15" s="16" t="str">
        <f t="shared" ca="1" si="62"/>
        <v>P.1 (2)</v>
      </c>
      <c r="R15" s="16" t="str">
        <f t="shared" ca="1" si="63"/>
        <v>P.3 (2)</v>
      </c>
      <c r="S15" s="16"/>
      <c r="T15" s="16" t="str">
        <f t="shared" ca="1" si="64"/>
        <v>P.1 (2)</v>
      </c>
      <c r="U15" s="16" t="str">
        <f t="shared" ca="1" si="65"/>
        <v>P.3 (2)</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8">
        <f t="array" aca="1" ref="AK15" ca="1">Ver_flag_visit</f>
        <v>#VALUE!</v>
      </c>
      <c r="AL15" s="37" t="str">
        <f ca="1">IFERROR(INDEX($BD$6:$BD$53,MATCH(AI15,$BN$6:$BN$53,0)),"")</f>
        <v>Suiza</v>
      </c>
      <c r="AM15" s="38">
        <f t="shared" ca="1" si="69"/>
        <v>4</v>
      </c>
      <c r="AN15" s="39">
        <f t="shared" ca="1" si="69"/>
        <v>2</v>
      </c>
      <c r="AO15" s="39">
        <f t="shared" ca="1" si="69"/>
        <v>1</v>
      </c>
      <c r="AP15" s="39">
        <f t="shared" ca="1" si="69"/>
        <v>1</v>
      </c>
      <c r="AQ15" s="39">
        <f t="shared" ca="1" si="69"/>
        <v>0</v>
      </c>
      <c r="AR15" s="39">
        <f t="shared" ca="1" si="69"/>
        <v>5</v>
      </c>
      <c r="AS15" s="39">
        <f t="shared" ca="1" si="69"/>
        <v>2</v>
      </c>
      <c r="AT15" s="72">
        <f t="shared" ca="1" si="69"/>
        <v>3</v>
      </c>
      <c r="AU15" s="316">
        <f ca="1">INDEX($DL$6:$DL$53,MATCH(AI15,$DP$6:$DP$53,0))</f>
        <v>1</v>
      </c>
      <c r="AV15" s="174" t="str">
        <f ca="1">INDEX($BD$6:$BD$53,MATCH(AI15,$BM$6:$BM$53,0))</f>
        <v>Suiza</v>
      </c>
      <c r="AW15" s="202"/>
      <c r="AX15" s="163"/>
      <c r="AY15" s="195" t="str">
        <f ca="1">+A14</f>
        <v>Bosnia y Herzegovina</v>
      </c>
      <c r="AZ15" s="196"/>
      <c r="BA15" s="168"/>
      <c r="BC15" s="16" t="str">
        <f ca="1">+INDEX(T_Equipos[Grupo],MATCH(WORLDCUP!BD15,T_Equipos[NombreEquipo],0))</f>
        <v>C</v>
      </c>
      <c r="BD15" s="16" t="str">
        <f ca="1">+Equipos!B11</f>
        <v>Marruecos</v>
      </c>
      <c r="BE15" s="16">
        <f t="shared" ca="1" si="16"/>
        <v>4</v>
      </c>
      <c r="BF15" s="16">
        <f t="shared" ca="1" si="41"/>
        <v>2</v>
      </c>
      <c r="BG15" s="16">
        <f t="shared" ca="1" si="17"/>
        <v>1</v>
      </c>
      <c r="BH15" s="16">
        <f t="shared" ca="1" si="18"/>
        <v>1</v>
      </c>
      <c r="BI15" s="16">
        <f t="shared" ca="1" si="19"/>
        <v>0</v>
      </c>
      <c r="BJ15" s="16">
        <f t="shared" ca="1" si="20"/>
        <v>2</v>
      </c>
      <c r="BK15" s="16">
        <f t="shared" ca="1" si="21"/>
        <v>1</v>
      </c>
      <c r="BL15" s="16">
        <f t="shared" ca="1" si="42"/>
        <v>1</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8</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45"/>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2</v>
      </c>
      <c r="BG16" s="16">
        <f t="shared" ca="1" si="17"/>
        <v>0</v>
      </c>
      <c r="BH16" s="16">
        <f t="shared" ca="1" si="18"/>
        <v>0</v>
      </c>
      <c r="BI16" s="16">
        <f t="shared" ca="1" si="19"/>
        <v>2</v>
      </c>
      <c r="BJ16" s="16">
        <f t="shared" ca="1" si="20"/>
        <v>0</v>
      </c>
      <c r="BK16" s="16">
        <f t="shared" ca="1" si="21"/>
        <v>4</v>
      </c>
      <c r="BL16" s="16">
        <f t="shared" ca="1" si="42"/>
        <v>-4</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8</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2</v>
      </c>
      <c r="AO17" s="76">
        <f t="shared" ca="1" si="69"/>
        <v>0</v>
      </c>
      <c r="AP17" s="76">
        <f t="shared" ca="1" si="69"/>
        <v>1</v>
      </c>
      <c r="AQ17" s="76">
        <f t="shared" ca="1" si="69"/>
        <v>1</v>
      </c>
      <c r="AR17" s="76">
        <f t="shared" ca="1" si="69"/>
        <v>1</v>
      </c>
      <c r="AS17" s="76">
        <f t="shared" ca="1" si="69"/>
        <v>7</v>
      </c>
      <c r="AT17" s="77">
        <f t="shared" ca="1" si="69"/>
        <v>-6</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2</v>
      </c>
      <c r="BG17" s="16">
        <f t="shared" ca="1" si="17"/>
        <v>1</v>
      </c>
      <c r="BH17" s="16">
        <f t="shared" ca="1" si="18"/>
        <v>0</v>
      </c>
      <c r="BI17" s="16">
        <f t="shared" ca="1" si="19"/>
        <v>1</v>
      </c>
      <c r="BJ17" s="16">
        <f t="shared" ca="1" si="20"/>
        <v>1</v>
      </c>
      <c r="BK17" s="16">
        <f t="shared" ca="1" si="21"/>
        <v>1</v>
      </c>
      <c r="BL17" s="16">
        <f t="shared" ca="1" si="42"/>
        <v>0</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8</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4</v>
      </c>
      <c r="AN22" s="36">
        <f t="shared" ca="1" si="87"/>
        <v>2</v>
      </c>
      <c r="AO22" s="36">
        <f t="shared" ca="1" si="87"/>
        <v>1</v>
      </c>
      <c r="AP22" s="36">
        <f t="shared" ca="1" si="87"/>
        <v>1</v>
      </c>
      <c r="AQ22" s="36">
        <f t="shared" ca="1" si="87"/>
        <v>0</v>
      </c>
      <c r="AR22" s="36">
        <f t="shared" ca="1" si="87"/>
        <v>4</v>
      </c>
      <c r="AS22" s="36">
        <f t="shared" ca="1" si="87"/>
        <v>1</v>
      </c>
      <c r="AT22" s="41">
        <f t="shared" ca="1" si="87"/>
        <v>3</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2</v>
      </c>
      <c r="BG22" s="16">
        <f t="shared" ca="1" si="17"/>
        <v>2</v>
      </c>
      <c r="BH22" s="16">
        <f t="shared" ca="1" si="18"/>
        <v>0</v>
      </c>
      <c r="BI22" s="16">
        <f t="shared" ca="1" si="19"/>
        <v>0</v>
      </c>
      <c r="BJ22" s="16">
        <f t="shared" ca="1" si="20"/>
        <v>9</v>
      </c>
      <c r="BK22" s="16">
        <f t="shared" ca="1" si="21"/>
        <v>2</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8</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4</v>
      </c>
      <c r="AN23" s="39">
        <f t="shared" ca="1" si="87"/>
        <v>2</v>
      </c>
      <c r="AO23" s="39">
        <f t="shared" ca="1" si="87"/>
        <v>1</v>
      </c>
      <c r="AP23" s="39">
        <f t="shared" ca="1" si="87"/>
        <v>1</v>
      </c>
      <c r="AQ23" s="39">
        <f t="shared" ca="1" si="87"/>
        <v>0</v>
      </c>
      <c r="AR23" s="39">
        <f t="shared" ca="1" si="87"/>
        <v>2</v>
      </c>
      <c r="AS23" s="39">
        <f t="shared" ca="1" si="87"/>
        <v>1</v>
      </c>
      <c r="AT23" s="43">
        <f t="shared" ca="1" si="87"/>
        <v>1</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2</v>
      </c>
      <c r="BG23" s="16">
        <f t="shared" ca="1" si="17"/>
        <v>0</v>
      </c>
      <c r="BH23" s="16">
        <f t="shared" ca="1" si="18"/>
        <v>1</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1</v>
      </c>
      <c r="BW23" s="16">
        <f t="shared" ca="1" si="26"/>
        <v>0</v>
      </c>
      <c r="BX23" s="16">
        <f t="shared" ca="1" si="48"/>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1</v>
      </c>
      <c r="CK23" s="16">
        <f t="shared" ca="1" si="32"/>
        <v>0</v>
      </c>
      <c r="CL23" s="16">
        <f t="shared" ca="1" si="50"/>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8</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54"/>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2</v>
      </c>
      <c r="AO24" s="39">
        <f t="shared" ca="1" si="87"/>
        <v>1</v>
      </c>
      <c r="AP24" s="39">
        <f t="shared" ca="1" si="87"/>
        <v>0</v>
      </c>
      <c r="AQ24" s="39">
        <f t="shared" ca="1" si="87"/>
        <v>1</v>
      </c>
      <c r="AR24" s="39">
        <f t="shared" ca="1" si="87"/>
        <v>1</v>
      </c>
      <c r="AS24" s="39">
        <f t="shared" ca="1" si="87"/>
        <v>1</v>
      </c>
      <c r="AT24" s="43">
        <f t="shared" ca="1" si="87"/>
        <v>0</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2</v>
      </c>
      <c r="BG24" s="16">
        <f t="shared" ca="1" si="17"/>
        <v>1</v>
      </c>
      <c r="BH24" s="16">
        <f t="shared" ca="1" si="18"/>
        <v>0</v>
      </c>
      <c r="BI24" s="16">
        <f t="shared" ca="1" si="19"/>
        <v>1</v>
      </c>
      <c r="BJ24" s="16">
        <f t="shared" ca="1" si="20"/>
        <v>2</v>
      </c>
      <c r="BK24" s="16">
        <f t="shared" ca="1" si="21"/>
        <v>2</v>
      </c>
      <c r="BL24" s="16">
        <f t="shared" ca="1" si="42"/>
        <v>0</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8</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55"/>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2</v>
      </c>
      <c r="AO25" s="47">
        <f t="shared" ca="1" si="87"/>
        <v>0</v>
      </c>
      <c r="AP25" s="47">
        <f t="shared" ca="1" si="87"/>
        <v>0</v>
      </c>
      <c r="AQ25" s="47">
        <f t="shared" ca="1" si="87"/>
        <v>2</v>
      </c>
      <c r="AR25" s="47">
        <f t="shared" ca="1" si="87"/>
        <v>0</v>
      </c>
      <c r="AS25" s="47">
        <f t="shared" ca="1" si="87"/>
        <v>4</v>
      </c>
      <c r="AT25" s="48">
        <f t="shared" ca="1" si="87"/>
        <v>-4</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1</v>
      </c>
      <c r="BF25" s="16">
        <f t="shared" ca="1" si="41"/>
        <v>2</v>
      </c>
      <c r="BG25" s="16">
        <f t="shared" ca="1" si="17"/>
        <v>0</v>
      </c>
      <c r="BH25" s="16">
        <f t="shared" ca="1" si="18"/>
        <v>1</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1</v>
      </c>
      <c r="BW25" s="16">
        <f t="shared" ca="1" si="26"/>
        <v>0</v>
      </c>
      <c r="BX25" s="16">
        <f t="shared" ca="1" si="48"/>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1</v>
      </c>
      <c r="CK25" s="16">
        <f t="shared" ca="1" si="32"/>
        <v>0</v>
      </c>
      <c r="CL25" s="16">
        <f t="shared" ca="1" si="50"/>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8</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4"/>
        <v>0</v>
      </c>
      <c r="BV26" s="16">
        <f t="shared" ca="1" si="25"/>
        <v>1</v>
      </c>
      <c r="BW26" s="16">
        <f t="shared" ca="1" si="26"/>
        <v>0</v>
      </c>
      <c r="BX26" s="16">
        <f t="shared" ca="1" si="48"/>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27"/>
        <v>2</v>
      </c>
      <c r="CB26" s="16">
        <f t="shared" ca="1" si="28"/>
        <v>2</v>
      </c>
      <c r="CC26" s="16">
        <f t="shared" ca="1" si="49"/>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29"/>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0"/>
        <v>0</v>
      </c>
      <c r="CJ26" s="16">
        <f t="shared" ca="1" si="31"/>
        <v>1</v>
      </c>
      <c r="CK26" s="16">
        <f t="shared" ca="1" si="32"/>
        <v>0</v>
      </c>
      <c r="CL26" s="16">
        <f t="shared" ca="1" si="50"/>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33"/>
        <v>2</v>
      </c>
      <c r="CP26" s="16">
        <f t="shared" ca="1" si="34"/>
        <v>2</v>
      </c>
      <c r="CQ26" s="16">
        <f t="shared" ca="1" si="51"/>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35"/>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36"/>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37"/>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8</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4</v>
      </c>
      <c r="BF27" s="16">
        <f t="shared" ca="1" si="41"/>
        <v>2</v>
      </c>
      <c r="BG27" s="16">
        <f t="shared" ca="1" si="17"/>
        <v>1</v>
      </c>
      <c r="BH27" s="16">
        <f t="shared" ca="1" si="18"/>
        <v>1</v>
      </c>
      <c r="BI27" s="16">
        <f t="shared" ca="1" si="19"/>
        <v>0</v>
      </c>
      <c r="BJ27" s="16">
        <f t="shared" ca="1" si="20"/>
        <v>6</v>
      </c>
      <c r="BK27" s="16">
        <f t="shared" ca="1" si="21"/>
        <v>2</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4"/>
        <v>0</v>
      </c>
      <c r="BV27" s="16">
        <f t="shared" ca="1" si="25"/>
        <v>1</v>
      </c>
      <c r="BW27" s="16">
        <f t="shared" ca="1" si="26"/>
        <v>0</v>
      </c>
      <c r="BX27" s="16">
        <f t="shared" ca="1" si="48"/>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27"/>
        <v>2</v>
      </c>
      <c r="CB27" s="16">
        <f t="shared" ca="1" si="28"/>
        <v>2</v>
      </c>
      <c r="CC27" s="16">
        <f t="shared" ca="1" si="49"/>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29"/>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0"/>
        <v>0</v>
      </c>
      <c r="CJ27" s="16">
        <f t="shared" ca="1" si="31"/>
        <v>1</v>
      </c>
      <c r="CK27" s="16">
        <f t="shared" ca="1" si="32"/>
        <v>0</v>
      </c>
      <c r="CL27" s="16">
        <f t="shared" ca="1" si="50"/>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33"/>
        <v>2</v>
      </c>
      <c r="CP27" s="16">
        <f t="shared" ca="1" si="34"/>
        <v>2</v>
      </c>
      <c r="CQ27" s="16">
        <f t="shared" ca="1" si="51"/>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35"/>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36"/>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37"/>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8</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8</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2</v>
      </c>
      <c r="BG29" s="16">
        <f t="shared" ca="1" si="17"/>
        <v>0</v>
      </c>
      <c r="BH29" s="16">
        <f t="shared" ca="1" si="18"/>
        <v>0</v>
      </c>
      <c r="BI29" s="16">
        <f t="shared" ca="1" si="19"/>
        <v>2</v>
      </c>
      <c r="BJ29" s="16">
        <f t="shared" ca="1" si="20"/>
        <v>1</v>
      </c>
      <c r="BK29" s="16">
        <f t="shared" ca="1" si="21"/>
        <v>9</v>
      </c>
      <c r="BL29" s="16">
        <f t="shared" ca="1" si="42"/>
        <v>-8</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8</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2</v>
      </c>
      <c r="BF30" s="16">
        <f t="shared" ca="1" si="41"/>
        <v>2</v>
      </c>
      <c r="BG30" s="16">
        <f t="shared" ca="1" si="17"/>
        <v>0</v>
      </c>
      <c r="BH30" s="16">
        <f t="shared" ca="1" si="18"/>
        <v>2</v>
      </c>
      <c r="BI30" s="16">
        <f t="shared" ca="1" si="19"/>
        <v>0</v>
      </c>
      <c r="BJ30" s="16">
        <f t="shared" ca="1" si="20"/>
        <v>1</v>
      </c>
      <c r="BK30" s="16">
        <f t="shared" ca="1" si="21"/>
        <v>1</v>
      </c>
      <c r="BL30" s="16">
        <f t="shared" ca="1" si="42"/>
        <v>0</v>
      </c>
      <c r="BM30" s="16" t="str">
        <f t="shared" ca="1" si="22"/>
        <v>2G</v>
      </c>
      <c r="BN30" s="16" t="str">
        <f t="shared" ca="1" si="23"/>
        <v>2G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2</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0</v>
      </c>
      <c r="CB30" s="16">
        <f t="shared" ca="1" si="28"/>
        <v>0</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0</v>
      </c>
      <c r="CP30" s="16">
        <f t="shared" ca="1" si="34"/>
        <v>0</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(2)</v>
      </c>
      <c r="CZ30" s="16">
        <f t="shared" ca="1" si="37"/>
        <v>1</v>
      </c>
      <c r="DA30" s="16">
        <f ca="1">CX30+COUNTIFS($CY$6:$CY$53,CY30,$CZ$6:CZ$53,"&gt;"&amp;CZ30,$BC$6:$BC$53,INDEX(T_Equipos[Grupo],MATCH(BD30,T_Equipos[NombreEquipo],0)))</f>
        <v>2</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2</v>
      </c>
      <c r="DE30" s="16"/>
      <c r="DF30" s="16">
        <f t="shared" ca="1" si="52"/>
        <v>2</v>
      </c>
      <c r="DG30" s="16" t="str">
        <f ca="1">IF(DB30="-","-",COUNTIFS(DF$6:DF$53,"&lt;"&amp;DF30,$BC$6:$BC$53,INDEX(T_Equipos[Grupo],MATCH(BD30,T_Equipos[NombreEquipo],0))))</f>
        <v>-</v>
      </c>
      <c r="DH30" s="16">
        <f ca="1">DA30+COUNTIFS(DB$6:DB$53,DB30,DG$6:DG$53,"&lt;"&amp;DG30,$BC$6:$BC$53,INDEX(T_Equipos[Grupo],MATCH(BD30,T_Equipos[NombreEquipo],0)))</f>
        <v>2</v>
      </c>
      <c r="DI30" s="16"/>
      <c r="DJ30" s="16">
        <f t="shared" ca="1" si="38"/>
        <v>1</v>
      </c>
      <c r="DK30" s="16">
        <f t="shared" ca="1" si="39"/>
        <v>6</v>
      </c>
      <c r="DL30" s="16">
        <f t="shared" ca="1" si="40"/>
        <v>1</v>
      </c>
      <c r="DM30" s="16" t="str">
        <f t="shared" ca="1" si="46"/>
        <v>1.1</v>
      </c>
      <c r="DN30" s="16" cm="1">
        <f t="array" aca="1" ref="DN30" ca="1">OFFSET(Horarios!$P$3,DJ30-1,0,DL30,1)</f>
        <v>1</v>
      </c>
      <c r="DO30" s="16"/>
      <c r="DP30" s="16" t="s">
        <v>679</v>
      </c>
      <c r="DQ30" s="16" t="str">
        <f t="shared" ca="1" si="47"/>
        <v>Irán</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1</v>
      </c>
      <c r="BF31" s="16">
        <f t="shared" ca="1" si="41"/>
        <v>1</v>
      </c>
      <c r="BG31" s="16">
        <f t="shared" ca="1" si="17"/>
        <v>0</v>
      </c>
      <c r="BH31" s="16">
        <f t="shared" ca="1" si="18"/>
        <v>1</v>
      </c>
      <c r="BI31" s="16">
        <f t="shared" ca="1" si="19"/>
        <v>0</v>
      </c>
      <c r="BJ31" s="16">
        <f t="shared" ca="1" si="20"/>
        <v>1</v>
      </c>
      <c r="BK31" s="16">
        <f t="shared" ca="1" si="21"/>
        <v>1</v>
      </c>
      <c r="BL31" s="16">
        <f t="shared" ca="1" si="42"/>
        <v>0</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P.3 (2)</v>
      </c>
      <c r="BU31" s="16">
        <f t="shared" ca="1" si="24"/>
        <v>0</v>
      </c>
      <c r="BV31" s="16">
        <f t="shared" ca="1" si="25"/>
        <v>0</v>
      </c>
      <c r="BW31" s="16">
        <f t="shared" ca="1" si="26"/>
        <v>0</v>
      </c>
      <c r="BX31" s="16">
        <f t="shared" ca="1" si="48"/>
        <v>0</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P.3 (2)</v>
      </c>
      <c r="CA31" s="16">
        <f t="shared" ca="1" si="27"/>
        <v>0</v>
      </c>
      <c r="CB31" s="16">
        <f t="shared" ca="1" si="28"/>
        <v>0</v>
      </c>
      <c r="CC31" s="16">
        <f t="shared" ca="1" si="49"/>
        <v>0</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P.3 (2)</v>
      </c>
      <c r="CF31" s="16">
        <f t="shared" ca="1" si="29"/>
        <v>0</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0"/>
        <v>0</v>
      </c>
      <c r="CJ31" s="16">
        <f t="shared" ca="1" si="31"/>
        <v>0</v>
      </c>
      <c r="CK31" s="16">
        <f t="shared" ca="1" si="32"/>
        <v>0</v>
      </c>
      <c r="CL31" s="16">
        <f t="shared" ca="1" si="50"/>
        <v>0</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33"/>
        <v>0</v>
      </c>
      <c r="CP31" s="16">
        <f t="shared" ca="1" si="34"/>
        <v>0</v>
      </c>
      <c r="CQ31" s="16">
        <f t="shared" ca="1" si="51"/>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35"/>
        <v>0</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36"/>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37"/>
        <v>1</v>
      </c>
      <c r="DA31" s="16">
        <f ca="1">CX31+COUNTIFS($CY$6:$CY$53,CY31,$CZ$6:CZ$53,"&gt;"&amp;CZ31,$BC$6:$BC$53,INDEX(T_Equipos[Grupo],MATCH(BD31,T_Equipos[NombreEquipo],0)))</f>
        <v>4</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4</v>
      </c>
      <c r="DE31" s="16"/>
      <c r="DF31" s="16">
        <f t="shared" ca="1" si="52"/>
        <v>4</v>
      </c>
      <c r="DG31" s="16" t="str">
        <f ca="1">IF(DB31="-","-",COUNTIFS(DF$6:DF$53,"&lt;"&amp;DF31,$BC$6:$BC$53,INDEX(T_Equipos[Grupo],MATCH(BD31,T_Equipos[NombreEquipo],0))))</f>
        <v>-</v>
      </c>
      <c r="DH31" s="16">
        <f ca="1">DA31+COUNTIFS(DB$6:DB$53,DB31,DG$6:DG$53,"&lt;"&amp;DG31,$BC$6:$BC$53,INDEX(T_Equipos[Grupo],MATCH(BD31,T_Equipos[NombreEquipo],0)))</f>
        <v>4</v>
      </c>
      <c r="DI31" s="16"/>
      <c r="DJ31" s="16">
        <f t="shared" ca="1" si="38"/>
        <v>2</v>
      </c>
      <c r="DK31" s="16">
        <f t="shared" ca="1" si="39"/>
        <v>6</v>
      </c>
      <c r="DL31" s="16">
        <f t="shared" ca="1" si="40"/>
        <v>1</v>
      </c>
      <c r="DM31" s="16" t="str">
        <f t="shared" ca="1" si="46"/>
        <v>2.1</v>
      </c>
      <c r="DN31" s="16" cm="1">
        <f t="array" aca="1" ref="DN31" ca="1">OFFSET(Horarios!$P$3,DJ31-1,0,DL31,1)</f>
        <v>2</v>
      </c>
      <c r="DO31" s="16"/>
      <c r="DP31" s="16" t="s">
        <v>680</v>
      </c>
      <c r="DQ31" s="16" t="str">
        <f t="shared" ca="1" si="47"/>
        <v>Bélgica</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2</v>
      </c>
      <c r="BF32" s="16">
        <f t="shared" ca="1" si="41"/>
        <v>2</v>
      </c>
      <c r="BG32" s="16">
        <f t="shared" ca="1" si="17"/>
        <v>0</v>
      </c>
      <c r="BH32" s="16">
        <f t="shared" ca="1" si="18"/>
        <v>2</v>
      </c>
      <c r="BI32" s="16">
        <f t="shared" ca="1" si="19"/>
        <v>0</v>
      </c>
      <c r="BJ32" s="16">
        <f t="shared" ca="1" si="20"/>
        <v>2</v>
      </c>
      <c r="BK32" s="16">
        <f t="shared" ca="1" si="21"/>
        <v>2</v>
      </c>
      <c r="BL32" s="16">
        <f t="shared" ca="1" si="42"/>
        <v>0</v>
      </c>
      <c r="BM32" s="16" t="str">
        <f t="shared" ca="1" si="22"/>
        <v>1G</v>
      </c>
      <c r="BN32" s="16" t="str">
        <f t="shared" ca="1" si="23"/>
        <v>1G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2</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(2)</v>
      </c>
      <c r="BU32" s="16">
        <f t="shared" ca="1" si="24"/>
        <v>0</v>
      </c>
      <c r="BV32" s="16">
        <f t="shared" ca="1" si="25"/>
        <v>1</v>
      </c>
      <c r="BW32" s="16">
        <f t="shared" ca="1" si="26"/>
        <v>0</v>
      </c>
      <c r="BX32" s="16">
        <f t="shared" ca="1" si="48"/>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(2)</v>
      </c>
      <c r="CA32" s="16">
        <f t="shared" ca="1" si="27"/>
        <v>0</v>
      </c>
      <c r="CB32" s="16">
        <f t="shared" ca="1" si="28"/>
        <v>0</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(2)</v>
      </c>
      <c r="CF32" s="16">
        <f t="shared" ca="1" si="29"/>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0"/>
        <v>0</v>
      </c>
      <c r="CJ32" s="16">
        <f t="shared" ca="1" si="31"/>
        <v>1</v>
      </c>
      <c r="CK32" s="16">
        <f t="shared" ca="1" si="32"/>
        <v>0</v>
      </c>
      <c r="CL32" s="16">
        <f t="shared" ca="1" si="50"/>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33"/>
        <v>0</v>
      </c>
      <c r="CP32" s="16">
        <f t="shared" ca="1" si="34"/>
        <v>0</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35"/>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37"/>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1</v>
      </c>
      <c r="DE32" s="16"/>
      <c r="DF32" s="16">
        <f t="shared" ca="1" si="52"/>
        <v>1</v>
      </c>
      <c r="DG32" s="16" t="str">
        <f ca="1">IF(DB32="-","-",COUNTIFS(DF$6:DF$53,"&lt;"&amp;DF32,$BC$6:$BC$53,INDEX(T_Equipos[Grupo],MATCH(BD32,T_Equipos[NombreEquipo],0))))</f>
        <v>-</v>
      </c>
      <c r="DH32" s="16">
        <f ca="1">DA32+COUNTIFS(DB$6:DB$53,DB32,DG$6:DG$53,"&lt;"&amp;DG32,$BC$6:$BC$53,INDEX(T_Equipos[Grupo],MATCH(BD32,T_Equipos[NombreEquipo],0)))</f>
        <v>1</v>
      </c>
      <c r="DI32" s="16"/>
      <c r="DJ32" s="16">
        <f t="shared" ca="1" si="38"/>
        <v>3</v>
      </c>
      <c r="DK32" s="16">
        <f t="shared" ca="1" si="39"/>
        <v>6</v>
      </c>
      <c r="DL32" s="16">
        <f t="shared" ca="1" si="40"/>
        <v>1</v>
      </c>
      <c r="DM32" s="16" t="str">
        <f t="shared" ca="1" si="46"/>
        <v>3.1</v>
      </c>
      <c r="DN32" s="16" cm="1">
        <f t="array" aca="1" ref="DN32" ca="1">OFFSET(Horarios!$P$3,DJ32-1,0,DL32,1)</f>
        <v>3</v>
      </c>
      <c r="DO32" s="16"/>
      <c r="DP32" s="16" t="s">
        <v>445</v>
      </c>
      <c r="DQ32" s="16" t="str">
        <f t="shared" ca="1" si="47"/>
        <v>Nueva Zelanda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1</v>
      </c>
      <c r="BG33" s="16">
        <f t="shared" ca="1" si="17"/>
        <v>0</v>
      </c>
      <c r="BH33" s="16">
        <f t="shared" ca="1" si="18"/>
        <v>1</v>
      </c>
      <c r="BI33" s="16">
        <f t="shared" ca="1" si="19"/>
        <v>0</v>
      </c>
      <c r="BJ33" s="16">
        <f t="shared" ca="1" si="20"/>
        <v>2</v>
      </c>
      <c r="BK33" s="16">
        <f t="shared" ca="1" si="21"/>
        <v>2</v>
      </c>
      <c r="BL33" s="16">
        <f t="shared" ca="1" si="42"/>
        <v>0</v>
      </c>
      <c r="BM33" s="16" t="str">
        <f t="shared" ca="1" si="22"/>
        <v>3G</v>
      </c>
      <c r="BN33" s="16" t="str">
        <f t="shared" ca="1" si="23"/>
        <v>3G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4"/>
        <v>0</v>
      </c>
      <c r="BV33" s="16">
        <f t="shared" ca="1" si="25"/>
        <v>0</v>
      </c>
      <c r="BW33" s="16">
        <f t="shared" ca="1" si="26"/>
        <v>0</v>
      </c>
      <c r="BX33" s="16">
        <f t="shared" ca="1" si="48"/>
        <v>0</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27"/>
        <v>0</v>
      </c>
      <c r="CB33" s="16">
        <f t="shared" ca="1" si="28"/>
        <v>0</v>
      </c>
      <c r="CC33" s="16">
        <f t="shared" ca="1" si="49"/>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29"/>
        <v>0</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0"/>
        <v>0</v>
      </c>
      <c r="CJ33" s="16">
        <f t="shared" ca="1" si="31"/>
        <v>0</v>
      </c>
      <c r="CK33" s="16">
        <f t="shared" ca="1" si="32"/>
        <v>0</v>
      </c>
      <c r="CL33" s="16">
        <f t="shared" ca="1" si="50"/>
        <v>0</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33"/>
        <v>0</v>
      </c>
      <c r="CP33" s="16">
        <f t="shared" ca="1" si="34"/>
        <v>0</v>
      </c>
      <c r="CQ33" s="16">
        <f t="shared" ca="1" si="51"/>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35"/>
        <v>0</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36"/>
        <v>0</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P.3 (2)</v>
      </c>
      <c r="CZ33" s="16">
        <f t="shared" ca="1" si="37"/>
        <v>2</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52"/>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38"/>
        <v>4</v>
      </c>
      <c r="DK33" s="16">
        <f t="shared" ca="1" si="39"/>
        <v>6</v>
      </c>
      <c r="DL33" s="16">
        <f t="shared" ca="1" si="40"/>
        <v>1</v>
      </c>
      <c r="DM33" s="16" t="str">
        <f t="shared" ca="1" si="46"/>
        <v>4.1</v>
      </c>
      <c r="DN33" s="16" cm="1">
        <f t="array" aca="1" ref="DN33" ca="1">OFFSET(Horarios!$P$3,DJ33-1,0,DL33,1)</f>
        <v>4</v>
      </c>
      <c r="DO33" s="16"/>
      <c r="DP33" s="16" t="s">
        <v>681</v>
      </c>
      <c r="DQ33" s="16" t="str">
        <f t="shared" ca="1" si="47"/>
        <v>Egipto</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4</v>
      </c>
      <c r="BF34" s="16">
        <f t="shared" ca="1" si="41"/>
        <v>2</v>
      </c>
      <c r="BG34" s="16">
        <f t="shared" ca="1" si="17"/>
        <v>1</v>
      </c>
      <c r="BH34" s="16">
        <f t="shared" ca="1" si="18"/>
        <v>1</v>
      </c>
      <c r="BI34" s="16">
        <f t="shared" ca="1" si="19"/>
        <v>0</v>
      </c>
      <c r="BJ34" s="16">
        <f t="shared" ca="1" si="20"/>
        <v>4</v>
      </c>
      <c r="BK34" s="16">
        <f t="shared" ca="1" si="21"/>
        <v>0</v>
      </c>
      <c r="BL34" s="16">
        <f t="shared" ca="1" si="42"/>
        <v>4</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6</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1</v>
      </c>
      <c r="BF35" s="16">
        <f t="shared" ca="1" si="41"/>
        <v>1</v>
      </c>
      <c r="BG35" s="16">
        <f t="shared" ca="1" si="17"/>
        <v>0</v>
      </c>
      <c r="BH35" s="16">
        <f t="shared" ca="1" si="18"/>
        <v>1</v>
      </c>
      <c r="BI35" s="16">
        <f t="shared" ca="1" si="19"/>
        <v>0</v>
      </c>
      <c r="BJ35" s="16">
        <f t="shared" ca="1" si="20"/>
        <v>0</v>
      </c>
      <c r="BK35" s="16">
        <f t="shared" ca="1" si="21"/>
        <v>0</v>
      </c>
      <c r="BL35" s="16">
        <f t="shared" ca="1" si="42"/>
        <v>0</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(3)</v>
      </c>
      <c r="BU35" s="16">
        <f t="shared" ca="1" si="24"/>
        <v>0</v>
      </c>
      <c r="BV35" s="16">
        <f t="shared" ca="1" si="25"/>
        <v>0</v>
      </c>
      <c r="BW35" s="16">
        <f t="shared" ca="1" si="26"/>
        <v>0</v>
      </c>
      <c r="BX35" s="16">
        <f t="shared" ca="1" si="48"/>
        <v>0</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52"/>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38"/>
        <v>2</v>
      </c>
      <c r="DK35" s="16">
        <f t="shared" ca="1" si="39"/>
        <v>6</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P.3 (2)</v>
      </c>
      <c r="G36" s="16"/>
      <c r="H36" s="16" t="str">
        <f t="shared" ref="H36:H41" ca="1" si="114">IF(D36="Pendiente","-",INDEX($BZ$6:$BZ$53,MATCH($AA36,$BD$6:$BD$53,0)))</f>
        <v>-</v>
      </c>
      <c r="I36" s="16" t="str">
        <f t="shared" ref="I36:I41" ca="1" si="115">IF(D36="Pendiente","-",INDEX($BZ$6:$BZ$53,MATCH($AF36,$BD$6:$BD$53,0)))</f>
        <v>P.3 (2)</v>
      </c>
      <c r="J36" s="16"/>
      <c r="K36" s="16" t="str">
        <f t="shared" ref="K36:K41" ca="1" si="116">IF(D36="Pendiente","-",INDEX($CE$6:$CE$53,MATCH($AA36,$BD$6:$BD$53,0)))</f>
        <v>-</v>
      </c>
      <c r="L36" s="16" t="str">
        <f t="shared" ref="L36:L41" ca="1" si="117">IF(D36="Pendiente","-",INDEX($CE$6:$CE$53,MATCH($AF36,$BD$6:$BD$53,0)))</f>
        <v>P.3 (2)</v>
      </c>
      <c r="M36" s="16"/>
      <c r="N36" s="16" t="str">
        <f t="shared" ref="N36:N41" ca="1" si="118">IF(D36="Pendiente","-",INDEX($CH$6:$CH$53,MATCH($AA36,$BD$6:$BD$53,0)))</f>
        <v>-</v>
      </c>
      <c r="O36" s="16" t="str">
        <f t="shared" ref="O36:O41" ca="1" si="119">IF(D36="Pendiente","-",INDEX($CH$6:$CH$53,MATCH($AF36,$BD$6:$BD$53,0)))</f>
        <v>P.3 (2)</v>
      </c>
      <c r="P36" s="16"/>
      <c r="Q36" s="16" t="str">
        <f t="shared" ref="Q36:Q41" ca="1" si="120">IF(D36="Pendiente","-",INDEX($CN$6:$CN$53,MATCH($AA36,$BD$6:$BD$53,0)))</f>
        <v>-</v>
      </c>
      <c r="R36" s="16" t="str">
        <f t="shared" ref="R36:R41" ca="1" si="121">IF(D36="Pendiente","-",INDEX($CN$6:$CN$53,MATCH($AF36,$BD$6:$BD$53,0)))</f>
        <v>P.3 (2)</v>
      </c>
      <c r="S36" s="16"/>
      <c r="T36" s="16" t="str">
        <f t="shared" ref="T36:T41" ca="1" si="122">IF(D36="Pendiente","-",INDEX($CS$6:$CS$53,MATCH($AA36,$BD$6:$BD$53,0)))</f>
        <v>-</v>
      </c>
      <c r="U36" s="16" t="str">
        <f t="shared" ref="U36:U41" ca="1" si="123">IF(D36="Pendiente","-",INDEX($CS$6:$CS$53,MATCH($AF36,$BD$6:$BD$53,0)))</f>
        <v>P.3 (2)</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2</v>
      </c>
      <c r="BG36" s="16">
        <f t="shared" ca="1" si="17"/>
        <v>0</v>
      </c>
      <c r="BH36" s="16">
        <f t="shared" ca="1" si="18"/>
        <v>1</v>
      </c>
      <c r="BI36" s="16">
        <f t="shared" ca="1" si="19"/>
        <v>1</v>
      </c>
      <c r="BJ36" s="16">
        <f t="shared" ca="1" si="20"/>
        <v>1</v>
      </c>
      <c r="BK36" s="16">
        <f t="shared" ca="1" si="21"/>
        <v>5</v>
      </c>
      <c r="BL36" s="16">
        <f t="shared" ca="1" si="42"/>
        <v>-4</v>
      </c>
      <c r="BM36" s="16" t="str">
        <f t="shared" ca="1" si="22"/>
        <v>3H</v>
      </c>
      <c r="BN36" s="16" t="str">
        <f t="shared" ca="1" si="23"/>
        <v>3H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2</v>
      </c>
      <c r="BT36" s="16" t="str">
        <f ca="1">IF(COUNTIFS($BS$6:$BS$53,BS36,$BC$6:$BC$53,INDEX(T_Equipos[Grupo],MATCH(BD36,T_Equipos[NombreEquipo],0)))=1,"-","P."&amp;BS36&amp;" ("&amp;COUNTIFS($BS$6:$BS$53,BS36,$BC$6:$BC$53,INDEX(T_Equipos[Grupo],MATCH(BD36,T_Equipos[NombreEquipo],0)))&amp;")")</f>
        <v>P.2 (3)</v>
      </c>
      <c r="BU36" s="16">
        <f t="shared" ca="1" si="24"/>
        <v>0</v>
      </c>
      <c r="BV36" s="16">
        <f t="shared" ca="1" si="25"/>
        <v>1</v>
      </c>
      <c r="BW36" s="16">
        <f t="shared" ca="1" si="26"/>
        <v>0</v>
      </c>
      <c r="BX36" s="16">
        <f t="shared" ca="1" si="48"/>
        <v>1</v>
      </c>
      <c r="BY36" s="16">
        <f ca="1">BS36+COUNTIFS($BT$6:$BT$53,BT36,$BX$6:BX$53,"&gt;"&amp;BX36,$BC$6:$BC$53,INDEX(T_Equipos[Grupo],MATCH(BD36,T_Equipos[NombreEquipo],0)))</f>
        <v>2</v>
      </c>
      <c r="BZ36" s="16" t="str">
        <f ca="1">IF(COUNTIFS($BY$6:$BY$53,BY36,$BC$6:$BC$53,INDEX(T_Equipos[Grupo],MATCH(BD36,T_Equipos[NombreEquipo],0)))=1,"-","P."&amp;BY36&amp;" ("&amp;COUNTIFS($BY$6:$BY$53,BY36,$BC$6:$BC$53,INDEX(T_Equipos[Grupo],MATCH(BD36,T_Equipos[NombreEquipo],0)))&amp;")")</f>
        <v>P.2 (2)</v>
      </c>
      <c r="CA36" s="16">
        <f t="shared" ca="1" si="27"/>
        <v>1</v>
      </c>
      <c r="CB36" s="16">
        <f t="shared" ca="1" si="28"/>
        <v>1</v>
      </c>
      <c r="CC36" s="16">
        <f t="shared" ca="1" si="49"/>
        <v>0</v>
      </c>
      <c r="CD36" s="16">
        <f ca="1">BY36+COUNTIFS($BZ$6:$BZ$53,BZ36,$CC$6:CC$53,"&gt;"&amp;CC36,$BC$6:$BC$53,INDEX(T_Equipos[Grupo],MATCH(BD36,T_Equipos[NombreEquipo],0)))</f>
        <v>2</v>
      </c>
      <c r="CE36" s="16" t="str">
        <f ca="1">IF(COUNTIFS($CD$6:$CD$53,CD36,$BC$6:$BC$53,INDEX(T_Equipos[Grupo],MATCH(BD36,T_Equipos[NombreEquipo],0)))=1,"-","P."&amp;CD36&amp;" ("&amp;COUNTIFS($CD$6:$CD$53,CD36,$BC$6:$BC$53,INDEX(T_Equipos[Grupo],MATCH(BD36,T_Equipos[NombreEquipo],0)))&amp;")")</f>
        <v>P.2 (2)</v>
      </c>
      <c r="CF36" s="16">
        <f t="shared" ca="1" si="29"/>
        <v>1</v>
      </c>
      <c r="CG36" s="16">
        <f ca="1">CD36+COUNTIFS($CE$6:$CE$53,CE36,$CF$6:CF$53,"&gt;"&amp;CF36,$BC$6:$BC$53,INDEX(T_Equipos[Grupo],MATCH(BD36,T_Equipos[NombreEquipo],0)))</f>
        <v>2</v>
      </c>
      <c r="CH36" s="16" t="str">
        <f ca="1">IF(COUNTIFS($CG$6:$CG$53,CG36,$BC$6:$BC$53,INDEX(T_Equipos[Grupo],MATCH(BD36,T_Equipos[NombreEquipo],0)))=1,"-","P."&amp;CG36&amp;" ("&amp;COUNTIFS($CG$6:$CG$53,CG36,$BC$6:$BC$53,INDEX(T_Equipos[Grupo],MATCH(BD36,T_Equipos[NombreEquipo],0)))&amp;")")</f>
        <v>P.2 (2)</v>
      </c>
      <c r="CI36" s="16">
        <f t="shared" ca="1" si="30"/>
        <v>0</v>
      </c>
      <c r="CJ36" s="16">
        <f t="shared" ca="1" si="31"/>
        <v>1</v>
      </c>
      <c r="CK36" s="16">
        <f t="shared" ca="1" si="32"/>
        <v>0</v>
      </c>
      <c r="CL36" s="16">
        <f t="shared" ca="1" si="50"/>
        <v>1</v>
      </c>
      <c r="CM36" s="16">
        <f ca="1">CG36+COUNTIFS($CH$6:$CH$53,CH36,$CL$6:CL$53,"&gt;"&amp;CL36,$BC$6:$BC$53,INDEX(T_Equipos[Grupo],MATCH(BD36,T_Equipos[NombreEquipo],0)))</f>
        <v>2</v>
      </c>
      <c r="CN36" s="16" t="str">
        <f ca="1">IF(COUNTIFS($CM$6:$CM$53,CM36,$BC$6:$BC$53,INDEX(T_Equipos[Grupo],MATCH(BD36,T_Equipos[NombreEquipo],0)))=1,"-","P."&amp;CM36&amp;" ("&amp;COUNTIFS($CM$6:$CM$53,CM36,$BC$6:$BC$53,INDEX(T_Equipos[Grupo],MATCH(BD36,T_Equipos[NombreEquipo],0)))&amp;")")</f>
        <v>P.2 (2)</v>
      </c>
      <c r="CO36" s="16">
        <f t="shared" ca="1" si="33"/>
        <v>1</v>
      </c>
      <c r="CP36" s="16">
        <f t="shared" ca="1" si="34"/>
        <v>1</v>
      </c>
      <c r="CQ36" s="16">
        <f t="shared" ca="1" si="51"/>
        <v>0</v>
      </c>
      <c r="CR36" s="16">
        <f ca="1">CM36+COUNTIFS($CN$6:$CN$53,CN36,$CQ$6:CQ$53,"&gt;"&amp;CQ36,$BC$6:$BC$53,INDEX(T_Equipos[Grupo],MATCH(BD36,T_Equipos[NombreEquipo],0)))</f>
        <v>2</v>
      </c>
      <c r="CS36" s="16" t="str">
        <f ca="1">IF(COUNTIFS($CR$6:$CR$53,CR36,$BC$6:$BC$53,INDEX(T_Equipos[Grupo],MATCH(BD36,T_Equipos[NombreEquipo],0)))=1,"-","P."&amp;CR36&amp;" ("&amp;COUNTIFS($CR$6:$CR$53,CR36,$BC$6:$BC$53,INDEX(T_Equipos[Grupo],MATCH(BD36,T_Equipos[NombreEquipo],0)))&amp;")")</f>
        <v>P.2 (2)</v>
      </c>
      <c r="CT36" s="16">
        <f t="shared" ca="1" si="35"/>
        <v>1</v>
      </c>
      <c r="CU36" s="16">
        <f ca="1">CR36+COUNTIFS($CS$6:$CS$53,CS36,$CT$6:CT$53,"&gt;"&amp;CT36,$BC$6:$BC$53,INDEX(T_Equipos[Grupo],MATCH(BD36,T_Equipos[NombreEquipo],0)))</f>
        <v>2</v>
      </c>
      <c r="CV36" s="16" t="str">
        <f ca="1">IF(COUNTIFS($CU$6:$CU$53,CU36,$BC$6:$BC$53,INDEX(T_Equipos[Grupo],MATCH(BD36,T_Equipos[NombreEquipo],0)))=1,"-","P."&amp;CU36&amp;" ("&amp;COUNTIFS($CU$6:$CU$53,CU36,$BC$6:$BC$53,INDEX(T_Equipos[Grupo],MATCH(BD36,T_Equipos[NombreEquipo],0)))&amp;")")</f>
        <v>P.2 (2)</v>
      </c>
      <c r="CW36" s="16">
        <f t="shared" ca="1" si="36"/>
        <v>-4</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52"/>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38"/>
        <v>3</v>
      </c>
      <c r="DK36" s="16">
        <f t="shared" ca="1" si="39"/>
        <v>6</v>
      </c>
      <c r="DL36" s="16">
        <f t="shared" ca="1" si="40"/>
        <v>1</v>
      </c>
      <c r="DM36" s="16" t="str">
        <f t="shared" ca="1" si="46"/>
        <v>3.1</v>
      </c>
      <c r="DN36" s="16" cm="1">
        <f t="array" aca="1" ref="DN36" ca="1">OFFSET(Horarios!$P$3,DJ36-1,0,DL36,1)</f>
        <v>3</v>
      </c>
      <c r="DO36" s="16"/>
      <c r="DP36" s="16" t="s">
        <v>446</v>
      </c>
      <c r="DQ36" s="16" t="str">
        <f t="shared" ca="1" si="47"/>
        <v>Arabia Saudita</v>
      </c>
    </row>
    <row r="37" spans="1:121" ht="16" customHeight="1">
      <c r="A37" s="16" t="str">
        <f ca="1">+Equipos!B18</f>
        <v>Alemania</v>
      </c>
      <c r="B37" s="16"/>
      <c r="C37" s="16"/>
      <c r="D37" s="16" t="str">
        <f t="shared" si="111"/>
        <v>Local</v>
      </c>
      <c r="E37" s="16" t="str">
        <f t="shared" ca="1" si="112"/>
        <v>-</v>
      </c>
      <c r="F37" s="16" t="str">
        <f t="shared" ca="1" si="113"/>
        <v>P.3 (2)</v>
      </c>
      <c r="G37" s="16"/>
      <c r="H37" s="16" t="str">
        <f t="shared" ca="1" si="114"/>
        <v>-</v>
      </c>
      <c r="I37" s="16" t="str">
        <f t="shared" ca="1" si="115"/>
        <v>P.3 (2)</v>
      </c>
      <c r="J37" s="16"/>
      <c r="K37" s="16" t="str">
        <f t="shared" ca="1" si="116"/>
        <v>-</v>
      </c>
      <c r="L37" s="16" t="str">
        <f t="shared" ca="1" si="117"/>
        <v>P.3 (2)</v>
      </c>
      <c r="M37" s="16"/>
      <c r="N37" s="16" t="str">
        <f t="shared" ca="1" si="118"/>
        <v>-</v>
      </c>
      <c r="O37" s="16" t="str">
        <f t="shared" ca="1" si="119"/>
        <v>P.3 (2)</v>
      </c>
      <c r="P37" s="16"/>
      <c r="Q37" s="16" t="str">
        <f t="shared" ca="1" si="120"/>
        <v>-</v>
      </c>
      <c r="R37" s="16" t="str">
        <f t="shared" ca="1" si="121"/>
        <v>P.3 (2)</v>
      </c>
      <c r="S37" s="16"/>
      <c r="T37" s="16" t="str">
        <f t="shared" ca="1" si="122"/>
        <v>-</v>
      </c>
      <c r="U37" s="16" t="str">
        <f t="shared" ca="1" si="123"/>
        <v>P.3 (2)</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1</v>
      </c>
      <c r="BF37" s="16">
        <f t="shared" ca="1" si="41"/>
        <v>1</v>
      </c>
      <c r="BG37" s="16">
        <f t="shared" ca="1" si="17"/>
        <v>0</v>
      </c>
      <c r="BH37" s="16">
        <f t="shared" ca="1" si="18"/>
        <v>1</v>
      </c>
      <c r="BI37" s="16">
        <f t="shared" ca="1" si="19"/>
        <v>0</v>
      </c>
      <c r="BJ37" s="16">
        <f t="shared" ca="1" si="20"/>
        <v>1</v>
      </c>
      <c r="BK37" s="16">
        <f t="shared" ca="1" si="21"/>
        <v>1</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1</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(3)</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1</v>
      </c>
      <c r="CB37" s="16">
        <f t="shared" ca="1" si="28"/>
        <v>1</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1</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1</v>
      </c>
      <c r="CP37" s="16">
        <f t="shared" ca="1" si="34"/>
        <v>1</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1</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6</v>
      </c>
      <c r="DL37" s="16">
        <f t="shared" ca="1" si="40"/>
        <v>1</v>
      </c>
      <c r="DM37" s="16" t="str">
        <f t="shared" ca="1" si="46"/>
        <v>4.1</v>
      </c>
      <c r="DN37" s="16" cm="1">
        <f t="array" aca="1" ref="DN37" ca="1">OFFSET(Horarios!$P$3,DJ37-1,0,DL37,1)</f>
        <v>4</v>
      </c>
      <c r="DO37" s="16"/>
      <c r="DP37" s="16" t="s">
        <v>684</v>
      </c>
      <c r="DQ37" s="16" t="str">
        <f t="shared" ca="1" si="47"/>
        <v>Cabo Verde</v>
      </c>
    </row>
    <row r="38" spans="1:121" ht="16" customHeight="1">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2</v>
      </c>
      <c r="AO38" s="36">
        <f t="shared" ca="1" si="127"/>
        <v>2</v>
      </c>
      <c r="AP38" s="36">
        <f t="shared" ca="1" si="127"/>
        <v>0</v>
      </c>
      <c r="AQ38" s="36">
        <f t="shared" ca="1" si="127"/>
        <v>0</v>
      </c>
      <c r="AR38" s="36">
        <f t="shared" ca="1" si="127"/>
        <v>9</v>
      </c>
      <c r="AS38" s="36">
        <f t="shared" ca="1" si="127"/>
        <v>2</v>
      </c>
      <c r="AT38" s="41">
        <f t="shared" ca="1" si="127"/>
        <v>7</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Empate</v>
      </c>
      <c r="E39" s="16" t="str">
        <f t="shared" ca="1" si="112"/>
        <v>P.3 (2)</v>
      </c>
      <c r="F39" s="16" t="str">
        <f t="shared" ca="1" si="113"/>
        <v>P.3 (2)</v>
      </c>
      <c r="G39" s="16"/>
      <c r="H39" s="16" t="str">
        <f t="shared" ca="1" si="114"/>
        <v>P.3 (2)</v>
      </c>
      <c r="I39" s="16" t="str">
        <f t="shared" ca="1" si="115"/>
        <v>P.3 (2)</v>
      </c>
      <c r="J39" s="16"/>
      <c r="K39" s="16" t="str">
        <f t="shared" ca="1" si="116"/>
        <v>P.3 (2)</v>
      </c>
      <c r="L39" s="16" t="str">
        <f t="shared" ca="1" si="117"/>
        <v>P.3 (2)</v>
      </c>
      <c r="M39" s="16"/>
      <c r="N39" s="16" t="str">
        <f t="shared" ca="1" si="118"/>
        <v>P.3 (2)</v>
      </c>
      <c r="O39" s="16" t="str">
        <f t="shared" ca="1" si="119"/>
        <v>P.3 (2)</v>
      </c>
      <c r="P39" s="16"/>
      <c r="Q39" s="16" t="str">
        <f t="shared" ca="1" si="120"/>
        <v>P.3 (2)</v>
      </c>
      <c r="R39" s="16" t="str">
        <f t="shared" ca="1" si="121"/>
        <v>P.3 (2)</v>
      </c>
      <c r="S39" s="16"/>
      <c r="T39" s="16" t="str">
        <f t="shared" ca="1" si="122"/>
        <v>P.3 (2)</v>
      </c>
      <c r="U39" s="16" t="str">
        <f t="shared" ca="1" si="123"/>
        <v>P.3 (2)</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2</v>
      </c>
      <c r="AO39" s="39">
        <f t="shared" ca="1" si="127"/>
        <v>1</v>
      </c>
      <c r="AP39" s="39">
        <f t="shared" ca="1" si="127"/>
        <v>0</v>
      </c>
      <c r="AQ39" s="39">
        <f t="shared" ca="1" si="127"/>
        <v>1</v>
      </c>
      <c r="AR39" s="39">
        <f t="shared" ca="1" si="127"/>
        <v>2</v>
      </c>
      <c r="AS39" s="39">
        <f t="shared" ca="1" si="127"/>
        <v>2</v>
      </c>
      <c r="AT39" s="43">
        <f t="shared" ca="1" si="127"/>
        <v>0</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1</v>
      </c>
      <c r="AN40" s="39">
        <f t="shared" ca="1" si="127"/>
        <v>2</v>
      </c>
      <c r="AO40" s="39">
        <f t="shared" ca="1" si="127"/>
        <v>0</v>
      </c>
      <c r="AP40" s="39">
        <f t="shared" ca="1" si="127"/>
        <v>1</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2</v>
      </c>
      <c r="AO41" s="47">
        <f t="shared" ca="1" si="127"/>
        <v>0</v>
      </c>
      <c r="AP41" s="47">
        <f t="shared" ca="1" si="127"/>
        <v>1</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36"/>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4</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4</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P.1 (2)</v>
      </c>
      <c r="F44" s="16" t="str">
        <f t="shared" ref="F44:F49" ca="1" si="133">IF(D44="Pendiente","-",INDEX($BT$6:$BT$53,MATCH($AF44,$BD$6:$BD$53,0)))</f>
        <v>P.1 (2)</v>
      </c>
      <c r="G44" s="16"/>
      <c r="H44" s="16" t="str">
        <f t="shared" ref="H44:H49" ca="1" si="134">IF(D44="Pendiente","-",INDEX($BZ$6:$BZ$53,MATCH($AA44,$BD$6:$BD$53,0)))</f>
        <v>P.1 (2)</v>
      </c>
      <c r="I44" s="16" t="str">
        <f t="shared" ref="I44:I49" ca="1" si="135">IF(D44="Pendiente","-",INDEX($BZ$6:$BZ$53,MATCH($AF44,$BD$6:$BD$53,0)))</f>
        <v>P.1 (2)</v>
      </c>
      <c r="J44" s="16"/>
      <c r="K44" s="16" t="str">
        <f t="shared" ref="K44:K49" ca="1" si="136">IF(D44="Pendiente","-",INDEX($CE$6:$CE$53,MATCH($AA44,$BD$6:$BD$53,0)))</f>
        <v>P.1 (2)</v>
      </c>
      <c r="L44" s="16" t="str">
        <f t="shared" ref="L44:L49" ca="1" si="137">IF(D44="Pendiente","-",INDEX($CE$6:$CE$53,MATCH($AF44,$BD$6:$BD$53,0)))</f>
        <v>P.1 (2)</v>
      </c>
      <c r="M44" s="16"/>
      <c r="N44" s="16" t="str">
        <f t="shared" ref="N44:N49" ca="1" si="138">IF(D44="Pendiente","-",INDEX($CH$6:$CH$53,MATCH($AA44,$BD$6:$BD$53,0)))</f>
        <v>P.1 (2)</v>
      </c>
      <c r="O44" s="16" t="str">
        <f t="shared" ref="O44:O49" ca="1" si="139">IF(D44="Pendiente","-",INDEX($CH$6:$CH$53,MATCH($AF44,$BD$6:$BD$53,0)))</f>
        <v>P.1 (2)</v>
      </c>
      <c r="P44" s="16"/>
      <c r="Q44" s="16" t="str">
        <f t="shared" ref="Q44:Q49" ca="1" si="140">IF(D44="Pendiente","-",INDEX($CN$6:$CN$53,MATCH($AA44,$BD$6:$BD$53,0)))</f>
        <v>P.1 (2)</v>
      </c>
      <c r="R44" s="16" t="str">
        <f t="shared" ref="R44:R49" ca="1" si="141">IF(D44="Pendiente","-",INDEX($CN$6:$CN$53,MATCH($AF44,$BD$6:$BD$53,0)))</f>
        <v>P.1 (2)</v>
      </c>
      <c r="S44" s="16"/>
      <c r="T44" s="16" t="str">
        <f t="shared" ref="T44:T49" ca="1" si="142">IF(D44="Pendiente","-",INDEX($CS$6:$CS$53,MATCH($AA44,$BD$6:$BD$53,0)))</f>
        <v>P.1 (2)</v>
      </c>
      <c r="U44" s="16" t="str">
        <f t="shared" ref="U44:U49" ca="1" si="143">IF(D44="Pendiente","-",INDEX($CS$6:$CS$53,MATCH($AF44,$BD$6:$BD$53,0)))</f>
        <v>P.1 (2)</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1</v>
      </c>
      <c r="BG44" s="16">
        <f t="shared" ca="1" si="17"/>
        <v>1</v>
      </c>
      <c r="BH44" s="16">
        <f t="shared" ca="1" si="18"/>
        <v>0</v>
      </c>
      <c r="BI44" s="16">
        <f t="shared" ca="1" si="19"/>
        <v>0</v>
      </c>
      <c r="BJ44" s="16">
        <f t="shared" ca="1" si="20"/>
        <v>3</v>
      </c>
      <c r="BK44" s="16">
        <f t="shared" ca="1" si="21"/>
        <v>1</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36"/>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4</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4</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Local</v>
      </c>
      <c r="E46" s="16" t="str">
        <f t="shared" ca="1" si="132"/>
        <v>P.1 (2)</v>
      </c>
      <c r="F46" s="16" t="str">
        <f t="shared" ca="1" si="133"/>
        <v>-</v>
      </c>
      <c r="G46" s="16"/>
      <c r="H46" s="16" t="str">
        <f t="shared" ca="1" si="134"/>
        <v>P.1 (2)</v>
      </c>
      <c r="I46" s="16" t="str">
        <f t="shared" ca="1" si="135"/>
        <v>-</v>
      </c>
      <c r="J46" s="16"/>
      <c r="K46" s="16" t="str">
        <f t="shared" ca="1" si="136"/>
        <v>P.1 (2)</v>
      </c>
      <c r="L46" s="16" t="str">
        <f t="shared" ca="1" si="137"/>
        <v>-</v>
      </c>
      <c r="M46" s="16"/>
      <c r="N46" s="16" t="str">
        <f t="shared" ca="1" si="138"/>
        <v>P.1 (2)</v>
      </c>
      <c r="O46" s="16" t="str">
        <f t="shared" ca="1" si="139"/>
        <v>-</v>
      </c>
      <c r="P46" s="16"/>
      <c r="Q46" s="16" t="str">
        <f t="shared" ca="1" si="140"/>
        <v>P.1 (2)</v>
      </c>
      <c r="R46" s="16" t="str">
        <f t="shared" ca="1" si="141"/>
        <v>-</v>
      </c>
      <c r="S46" s="16"/>
      <c r="T46" s="16" t="str">
        <f t="shared" ca="1" si="142"/>
        <v>P.1 (2)</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4"/>
        <v>0</v>
      </c>
      <c r="BV46" s="16">
        <f t="shared" ca="1" si="25"/>
        <v>1</v>
      </c>
      <c r="BW46" s="16">
        <f t="shared" ca="1" si="26"/>
        <v>0</v>
      </c>
      <c r="BX46" s="16">
        <f t="shared" ca="1" si="48"/>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27"/>
        <v>1</v>
      </c>
      <c r="CB46" s="16">
        <f t="shared" ca="1" si="28"/>
        <v>1</v>
      </c>
      <c r="CC46" s="16">
        <f t="shared" ca="1" si="49"/>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29"/>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0"/>
        <v>0</v>
      </c>
      <c r="CJ46" s="16">
        <f t="shared" ca="1" si="31"/>
        <v>1</v>
      </c>
      <c r="CK46" s="16">
        <f t="shared" ca="1" si="32"/>
        <v>0</v>
      </c>
      <c r="CL46" s="16">
        <f t="shared" ca="1" si="50"/>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33"/>
        <v>1</v>
      </c>
      <c r="CP46" s="16">
        <f t="shared" ca="1" si="34"/>
        <v>1</v>
      </c>
      <c r="CQ46" s="16">
        <f t="shared" ca="1" si="51"/>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35"/>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36"/>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37"/>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52"/>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38"/>
        <v>1</v>
      </c>
      <c r="DK46" s="16">
        <f t="shared" ca="1" si="39"/>
        <v>4</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P.1 (2)</v>
      </c>
      <c r="G47" s="16"/>
      <c r="H47" s="16" t="str">
        <f t="shared" ca="1" si="134"/>
        <v>-</v>
      </c>
      <c r="I47" s="16" t="str">
        <f t="shared" ca="1" si="135"/>
        <v>P.1 (2)</v>
      </c>
      <c r="J47" s="16"/>
      <c r="K47" s="16" t="str">
        <f t="shared" ca="1" si="136"/>
        <v>-</v>
      </c>
      <c r="L47" s="16" t="str">
        <f t="shared" ca="1" si="137"/>
        <v>P.1 (2)</v>
      </c>
      <c r="M47" s="16"/>
      <c r="N47" s="16" t="str">
        <f t="shared" ca="1" si="138"/>
        <v>-</v>
      </c>
      <c r="O47" s="16" t="str">
        <f t="shared" ca="1" si="139"/>
        <v>P.1 (2)</v>
      </c>
      <c r="P47" s="16"/>
      <c r="Q47" s="16" t="str">
        <f t="shared" ca="1" si="140"/>
        <v>-</v>
      </c>
      <c r="R47" s="16" t="str">
        <f t="shared" ca="1" si="141"/>
        <v>P.1 (2)</v>
      </c>
      <c r="S47" s="16"/>
      <c r="T47" s="16" t="str">
        <f t="shared" ca="1" si="142"/>
        <v>-</v>
      </c>
      <c r="U47" s="16" t="str">
        <f t="shared" ca="1" si="143"/>
        <v>P.1 (2)</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4</v>
      </c>
      <c r="AN47" s="39">
        <f t="shared" ca="1" si="147"/>
        <v>2</v>
      </c>
      <c r="AO47" s="39">
        <f t="shared" ca="1" si="147"/>
        <v>1</v>
      </c>
      <c r="AP47" s="39">
        <f t="shared" ca="1" si="147"/>
        <v>1</v>
      </c>
      <c r="AQ47" s="39">
        <f t="shared" ca="1" si="147"/>
        <v>0</v>
      </c>
      <c r="AR47" s="39">
        <f t="shared" ca="1" si="147"/>
        <v>6</v>
      </c>
      <c r="AS47" s="39">
        <f t="shared" ca="1" si="147"/>
        <v>2</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4"/>
        <v>0</v>
      </c>
      <c r="BV47" s="16">
        <f t="shared" ca="1" si="25"/>
        <v>1</v>
      </c>
      <c r="BW47" s="16">
        <f t="shared" ca="1" si="26"/>
        <v>0</v>
      </c>
      <c r="BX47" s="16">
        <f t="shared" ca="1" si="48"/>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27"/>
        <v>1</v>
      </c>
      <c r="CB47" s="16">
        <f t="shared" ca="1" si="28"/>
        <v>1</v>
      </c>
      <c r="CC47" s="16">
        <f t="shared" ca="1" si="49"/>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29"/>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0"/>
        <v>0</v>
      </c>
      <c r="CJ47" s="16">
        <f t="shared" ca="1" si="31"/>
        <v>1</v>
      </c>
      <c r="CK47" s="16">
        <f t="shared" ca="1" si="32"/>
        <v>0</v>
      </c>
      <c r="CL47" s="16">
        <f t="shared" ca="1" si="50"/>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33"/>
        <v>1</v>
      </c>
      <c r="CP47" s="16">
        <f t="shared" ca="1" si="34"/>
        <v>1</v>
      </c>
      <c r="CQ47" s="16">
        <f t="shared" ca="1" si="51"/>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35"/>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36"/>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37"/>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52"/>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38"/>
        <v>2</v>
      </c>
      <c r="DK47" s="16">
        <f t="shared" ca="1" si="39"/>
        <v>4</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3">
        <f t="array" aca="1" ref="AK48" ca="1">Ver_flag_visit</f>
        <v>#VALUE!</v>
      </c>
      <c r="AL48" s="37" t="str">
        <f ca="1">IFERROR(INDEX($BD$6:$BD$53,MATCH(AI48,$BN$6:$BN$53,0)),"")</f>
        <v>Suecia</v>
      </c>
      <c r="AM48" s="38">
        <f t="shared" ca="1" si="147"/>
        <v>3</v>
      </c>
      <c r="AN48" s="39">
        <f t="shared" ca="1" si="147"/>
        <v>2</v>
      </c>
      <c r="AO48" s="39">
        <f t="shared" ca="1" si="147"/>
        <v>1</v>
      </c>
      <c r="AP48" s="39">
        <f t="shared" ca="1" si="147"/>
        <v>0</v>
      </c>
      <c r="AQ48" s="39">
        <f t="shared" ca="1" si="147"/>
        <v>1</v>
      </c>
      <c r="AR48" s="39">
        <f t="shared" ca="1" si="147"/>
        <v>6</v>
      </c>
      <c r="AS48" s="39">
        <f t="shared" ca="1" si="147"/>
        <v>6</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1</v>
      </c>
      <c r="BG48" s="16">
        <f t="shared" ca="1" si="17"/>
        <v>0</v>
      </c>
      <c r="BH48" s="16">
        <f t="shared" ca="1" si="18"/>
        <v>0</v>
      </c>
      <c r="BI48" s="16">
        <f t="shared" ca="1" si="19"/>
        <v>1</v>
      </c>
      <c r="BJ48" s="16">
        <f t="shared" ca="1" si="20"/>
        <v>1</v>
      </c>
      <c r="BK48" s="16">
        <f t="shared" ca="1" si="21"/>
        <v>3</v>
      </c>
      <c r="BL48" s="16">
        <f t="shared" ca="1" si="42"/>
        <v>-2</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2</v>
      </c>
      <c r="DK48" s="16">
        <f t="shared" ca="1" si="39"/>
        <v>4</v>
      </c>
      <c r="DL48" s="16">
        <f t="shared" ca="1" si="40"/>
        <v>1</v>
      </c>
      <c r="DM48" s="16" t="str">
        <f t="shared" ca="1" si="46"/>
        <v>2.1</v>
      </c>
      <c r="DN48" s="16" cm="1">
        <f t="array" aca="1" ref="DN48" ca="1">OFFSET(Horarios!$P$3,DJ48-1,0,DL48,1)</f>
        <v>2</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2</v>
      </c>
      <c r="AO49" s="47">
        <f t="shared" ca="1" si="147"/>
        <v>0</v>
      </c>
      <c r="AP49" s="47">
        <f t="shared" ca="1" si="147"/>
        <v>0</v>
      </c>
      <c r="AQ49" s="47">
        <f t="shared" ca="1" si="147"/>
        <v>2</v>
      </c>
      <c r="AR49" s="47">
        <f t="shared" ca="1" si="147"/>
        <v>1</v>
      </c>
      <c r="AS49" s="47">
        <f t="shared" ca="1" si="147"/>
        <v>9</v>
      </c>
      <c r="AT49" s="48">
        <f t="shared" ca="1" si="147"/>
        <v>-8</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4</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4</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4</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P.3 (2)</v>
      </c>
      <c r="G52" s="16"/>
      <c r="H52" s="16" t="str">
        <f t="shared" ref="H52:H57" ca="1" si="152">IF(D52="Pendiente","-",INDEX($BZ$6:$BZ$53,MATCH($AA52,$BD$6:$BD$53,0)))</f>
        <v>P.1 (2)</v>
      </c>
      <c r="I52" s="16" t="str">
        <f t="shared" ref="I52:I57" ca="1" si="153">IF(D52="Pendiente","-",INDEX($BZ$6:$BZ$53,MATCH($AF52,$BD$6:$BD$53,0)))</f>
        <v>P.3 (2)</v>
      </c>
      <c r="J52" s="16"/>
      <c r="K52" s="16" t="str">
        <f t="shared" ref="K52:K57" ca="1" si="154">IF(D52="Pendiente","-",INDEX($CE$6:$CE$53,MATCH($AA52,$BD$6:$BD$53,0)))</f>
        <v>P.1 (2)</v>
      </c>
      <c r="L52" s="16" t="str">
        <f t="shared" ref="L52:L57" ca="1" si="155">IF(D52="Pendiente","-",INDEX($CE$6:$CE$53,MATCH($AF52,$BD$6:$BD$53,0)))</f>
        <v>P.3 (2)</v>
      </c>
      <c r="M52" s="16"/>
      <c r="N52" s="16" t="str">
        <f t="shared" ref="N52:N57" ca="1" si="156">IF(D52="Pendiente","-",INDEX($CH$6:$CH$53,MATCH($AA52,$BD$6:$BD$53,0)))</f>
        <v>P.1 (2)</v>
      </c>
      <c r="O52" s="16" t="str">
        <f t="shared" ref="O52:O57" ca="1" si="157">IF(D52="Pendiente","-",INDEX($CH$6:$CH$53,MATCH($AF52,$BD$6:$BD$53,0)))</f>
        <v>P.3 (2)</v>
      </c>
      <c r="P52" s="16"/>
      <c r="Q52" s="16" t="str">
        <f t="shared" ref="Q52:Q57" ca="1" si="158">IF(D52="Pendiente","-",INDEX($CN$6:$CN$53,MATCH($AA52,$BD$6:$BD$53,0)))</f>
        <v>P.1 (2)</v>
      </c>
      <c r="R52" s="16" t="str">
        <f t="shared" ref="R52:R57" ca="1" si="159">IF(D52="Pendiente","-",INDEX($CN$6:$CN$53,MATCH($AF52,$BD$6:$BD$53,0)))</f>
        <v>P.3 (2)</v>
      </c>
      <c r="S52" s="16"/>
      <c r="T52" s="16" t="str">
        <f t="shared" ref="T52:T57" ca="1" si="160">IF(D52="Pendiente","-",INDEX($CS$6:$CS$53,MATCH($AA52,$BD$6:$BD$53,0)))</f>
        <v>P.1 (2)</v>
      </c>
      <c r="U52" s="16" t="str">
        <f t="shared" ref="U52:U57" ca="1" si="161">IF(D52="Pendiente","-",INDEX($CS$6:$CS$53,MATCH($AF52,$BD$6:$BD$53,0)))</f>
        <v>P.3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3</v>
      </c>
      <c r="BF52" s="16">
        <f t="shared" ca="1" si="41"/>
        <v>1</v>
      </c>
      <c r="BG52" s="16">
        <f t="shared" ca="1" si="17"/>
        <v>1</v>
      </c>
      <c r="BH52" s="16">
        <f t="shared" ca="1" si="18"/>
        <v>0</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4</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P.1 (2)</v>
      </c>
      <c r="F53" s="16" t="str">
        <f t="shared" ca="1" si="151"/>
        <v>P.3 (2)</v>
      </c>
      <c r="G53" s="16"/>
      <c r="H53" s="16" t="str">
        <f t="shared" ca="1" si="152"/>
        <v>P.1 (2)</v>
      </c>
      <c r="I53" s="16" t="str">
        <f t="shared" ca="1" si="153"/>
        <v>P.3 (2)</v>
      </c>
      <c r="J53" s="16"/>
      <c r="K53" s="16" t="str">
        <f t="shared" ca="1" si="154"/>
        <v>P.1 (2)</v>
      </c>
      <c r="L53" s="16" t="str">
        <f t="shared" ca="1" si="155"/>
        <v>P.3 (2)</v>
      </c>
      <c r="M53" s="16"/>
      <c r="N53" s="16" t="str">
        <f t="shared" ca="1" si="156"/>
        <v>P.1 (2)</v>
      </c>
      <c r="O53" s="16" t="str">
        <f t="shared" ca="1" si="157"/>
        <v>P.3 (2)</v>
      </c>
      <c r="P53" s="16"/>
      <c r="Q53" s="16" t="str">
        <f t="shared" ca="1" si="158"/>
        <v>P.1 (2)</v>
      </c>
      <c r="R53" s="16" t="str">
        <f t="shared" ca="1" si="159"/>
        <v>P.3 (2)</v>
      </c>
      <c r="S53" s="16"/>
      <c r="T53" s="16" t="str">
        <f t="shared" ca="1" si="160"/>
        <v>P.1 (2)</v>
      </c>
      <c r="U53" s="16" t="str">
        <f t="shared" ca="1" si="161"/>
        <v>P.3 (2)</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4</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Empate</v>
      </c>
      <c r="E54" s="16" t="str">
        <f t="shared" ca="1" si="150"/>
        <v>P.1 (2)</v>
      </c>
      <c r="F54" s="16" t="str">
        <f t="shared" ca="1" si="151"/>
        <v>P.1 (2)</v>
      </c>
      <c r="G54" s="16"/>
      <c r="H54" s="16" t="str">
        <f t="shared" ca="1" si="152"/>
        <v>P.1 (2)</v>
      </c>
      <c r="I54" s="16" t="str">
        <f t="shared" ca="1" si="153"/>
        <v>P.1 (2)</v>
      </c>
      <c r="J54" s="16"/>
      <c r="K54" s="16" t="str">
        <f t="shared" ca="1" si="154"/>
        <v>P.1 (2)</v>
      </c>
      <c r="L54" s="16" t="str">
        <f t="shared" ca="1" si="155"/>
        <v>P.1 (2)</v>
      </c>
      <c r="M54" s="16"/>
      <c r="N54" s="16" t="str">
        <f t="shared" ca="1" si="156"/>
        <v>P.1 (2)</v>
      </c>
      <c r="O54" s="16" t="str">
        <f t="shared" ca="1" si="157"/>
        <v>P.1 (2)</v>
      </c>
      <c r="P54" s="16"/>
      <c r="Q54" s="16" t="str">
        <f t="shared" ca="1" si="158"/>
        <v>P.1 (2)</v>
      </c>
      <c r="R54" s="16" t="str">
        <f t="shared" ca="1" si="159"/>
        <v>P.1 (2)</v>
      </c>
      <c r="S54" s="16"/>
      <c r="T54" s="16" t="str">
        <f t="shared" ca="1" si="160"/>
        <v>P.1 (2)</v>
      </c>
      <c r="U54" s="16" t="str">
        <f t="shared" ca="1" si="161"/>
        <v>P.1 (2)</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7">
        <f t="array" aca="1" ref="AK54" ca="1">Ver_flag_visit</f>
        <v>#VALUE!</v>
      </c>
      <c r="AL54" s="34" t="str">
        <f ca="1">IFERROR(INDEX($BD$6:$BD$53,MATCH(AI54,$BN$6:$BN$53,0)),"")</f>
        <v>Irán</v>
      </c>
      <c r="AM54" s="35">
        <f t="shared" ref="AM54:AT57" ca="1" si="165">INDEX($BE$6:$BN$53,MATCH($AL54,$BD$6:$BD$53,0),MATCH(AM$5,$BE$5:$BN$5,0))</f>
        <v>2</v>
      </c>
      <c r="AN54" s="36">
        <f t="shared" ca="1" si="165"/>
        <v>2</v>
      </c>
      <c r="AO54" s="36">
        <f t="shared" ca="1" si="165"/>
        <v>0</v>
      </c>
      <c r="AP54" s="36">
        <f t="shared" ca="1" si="165"/>
        <v>2</v>
      </c>
      <c r="AQ54" s="36">
        <f t="shared" ca="1" si="165"/>
        <v>0</v>
      </c>
      <c r="AR54" s="36">
        <f t="shared" ca="1" si="165"/>
        <v>2</v>
      </c>
      <c r="AS54" s="36">
        <f t="shared" ca="1" si="165"/>
        <v>2</v>
      </c>
      <c r="AT54" s="41">
        <f t="shared" ca="1" si="165"/>
        <v>0</v>
      </c>
      <c r="AU54" s="316">
        <f ca="1">INDEX($DL$6:$DL$53,MATCH(AI54,$DP$6:$DP$53,0))</f>
        <v>1</v>
      </c>
      <c r="AV54" s="174" t="str">
        <f ca="1">INDEX($BD$6:$BD$53,MATCH(AI54,$BM$6:$BM$53,0))</f>
        <v>Irán</v>
      </c>
      <c r="AW54" s="202"/>
      <c r="AX54" s="163"/>
      <c r="AY54" s="193" t="str">
        <f ca="1">+A53</f>
        <v>Bélgica</v>
      </c>
      <c r="AZ54" s="194"/>
      <c r="BA54" s="168"/>
    </row>
    <row r="55" spans="1:121" ht="16"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41"/>
      <c r="X55" s="24">
        <f ca="1">Horarios!C55</f>
        <v>46195.125</v>
      </c>
      <c r="Y55" s="25">
        <f ca="1">Horarios!C55</f>
        <v>46195.125</v>
      </c>
      <c r="Z55" s="26" t="str">
        <f>$Z$6</f>
        <v>J2</v>
      </c>
      <c r="AA55" s="27" t="str">
        <f ca="1">A56</f>
        <v>Nueva Zelanda</v>
      </c>
      <c r="AB55" s="49" t="e" cm="1" vm="28">
        <f t="array" aca="1" ref="AB55" ca="1">Ver_flag_local</f>
        <v>#VALUE!</v>
      </c>
      <c r="AC55" s="50"/>
      <c r="AD55" s="51"/>
      <c r="AE55" s="574" t="e" cm="1" vm="26">
        <f t="array" aca="1" ref="AE55" ca="1">Ver_flag_visit</f>
        <v>#VALUE!</v>
      </c>
      <c r="AF55" s="32" t="str">
        <f ca="1">A54</f>
        <v>Egipto</v>
      </c>
      <c r="AG55" s="309">
        <f t="shared" si="162"/>
        <v>0</v>
      </c>
      <c r="AH55" s="187">
        <v>40</v>
      </c>
      <c r="AI55" s="173" t="str">
        <f t="shared" ref="AI55:AI57" si="166">AJ55&amp;$B$52</f>
        <v>2G</v>
      </c>
      <c r="AJ55" s="42">
        <v>2</v>
      </c>
      <c r="AK55" s="581" t="e" cm="1" vm="25">
        <f t="array" aca="1" ref="AK55" ca="1">Ver_flag_visit</f>
        <v>#VALUE!</v>
      </c>
      <c r="AL55" s="37" t="str">
        <f ca="1">IFERROR(INDEX($BD$6:$BD$53,MATCH(AI55,$BN$6:$BN$53,0)),"")</f>
        <v>Bélgica</v>
      </c>
      <c r="AM55" s="38">
        <f t="shared" ca="1" si="165"/>
        <v>2</v>
      </c>
      <c r="AN55" s="39">
        <f t="shared" ca="1" si="165"/>
        <v>2</v>
      </c>
      <c r="AO55" s="39">
        <f t="shared" ca="1" si="165"/>
        <v>0</v>
      </c>
      <c r="AP55" s="39">
        <f t="shared" ca="1" si="165"/>
        <v>2</v>
      </c>
      <c r="AQ55" s="39">
        <f t="shared" ca="1" si="165"/>
        <v>0</v>
      </c>
      <c r="AR55" s="39">
        <f t="shared" ca="1" si="165"/>
        <v>1</v>
      </c>
      <c r="AS55" s="39">
        <f t="shared" ca="1" si="165"/>
        <v>1</v>
      </c>
      <c r="AT55" s="43">
        <f t="shared" ca="1" si="165"/>
        <v>0</v>
      </c>
      <c r="AU55" s="316">
        <f ca="1">INDEX($DL$6:$DL$53,MATCH(AI55,$DP$6:$DP$53,0))</f>
        <v>1</v>
      </c>
      <c r="AV55" s="174" t="str">
        <f ca="1">INDEX($BD$6:$BD$53,MATCH(AI55,$BM$6:$BM$53,0))</f>
        <v>Bélgica</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8">
        <f t="array" aca="1" ref="AK56" ca="1">Ver_flag_visit</f>
        <v>#VALUE!</v>
      </c>
      <c r="AL56" s="37" t="str">
        <f ca="1">IFERROR(INDEX($BD$6:$BD$53,MATCH(AI56,$BN$6:$BN$53,0)),"")</f>
        <v>Nueva Zelanda</v>
      </c>
      <c r="AM56" s="38">
        <f t="shared" ca="1" si="165"/>
        <v>1</v>
      </c>
      <c r="AN56" s="39">
        <f t="shared" ca="1" si="165"/>
        <v>1</v>
      </c>
      <c r="AO56" s="39">
        <f t="shared" ca="1" si="165"/>
        <v>0</v>
      </c>
      <c r="AP56" s="39">
        <f t="shared" ca="1" si="165"/>
        <v>1</v>
      </c>
      <c r="AQ56" s="39">
        <f t="shared" ca="1" si="165"/>
        <v>0</v>
      </c>
      <c r="AR56" s="39">
        <f t="shared" ca="1" si="165"/>
        <v>2</v>
      </c>
      <c r="AS56" s="39">
        <f t="shared" ca="1" si="165"/>
        <v>2</v>
      </c>
      <c r="AT56" s="43">
        <f t="shared" ca="1" si="165"/>
        <v>0</v>
      </c>
      <c r="AU56" s="316">
        <f ca="1">INDEX($DL$6:$DL$53,MATCH(AI56,$DP$6:$DP$53,0))</f>
        <v>1</v>
      </c>
      <c r="AV56" s="174" t="str">
        <f ca="1">INDEX($BD$6:$BD$53,MATCH(AI56,$BM$6:$BM$53,0))</f>
        <v>Nueva Zelanda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6">
        <f t="array" aca="1" ref="AK57" ca="1">Ver_flag_visit</f>
        <v>#VALUE!</v>
      </c>
      <c r="AL57" s="45" t="str">
        <f ca="1">IFERROR(INDEX($BD$6:$BD$53,MATCH(AI57,$BN$6:$BN$53,0)),"")</f>
        <v>Egipto</v>
      </c>
      <c r="AM57" s="46">
        <f t="shared" ca="1" si="165"/>
        <v>1</v>
      </c>
      <c r="AN57" s="47">
        <f t="shared" ca="1" si="165"/>
        <v>1</v>
      </c>
      <c r="AO57" s="47">
        <f t="shared" ca="1" si="165"/>
        <v>0</v>
      </c>
      <c r="AP57" s="47">
        <f t="shared" ca="1" si="165"/>
        <v>1</v>
      </c>
      <c r="AQ57" s="47">
        <f t="shared" ca="1" si="165"/>
        <v>0</v>
      </c>
      <c r="AR57" s="47">
        <f t="shared" ca="1" si="165"/>
        <v>1</v>
      </c>
      <c r="AS57" s="47">
        <f t="shared" ca="1" si="165"/>
        <v>1</v>
      </c>
      <c r="AT57" s="48">
        <f t="shared" ca="1" si="165"/>
        <v>0</v>
      </c>
      <c r="AU57" s="316">
        <f ca="1">INDEX($DL$6:$DL$53,MATCH(AI57,$DP$6:$DP$53,0))</f>
        <v>1</v>
      </c>
      <c r="AV57" s="174" t="str">
        <f ca="1">INDEX($BD$6:$BD$53,MATCH(AI57,$BM$6:$BM$53,0))</f>
        <v>Egipto</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6</v>
      </c>
      <c r="BN58" s="16">
        <f ca="1">CF58</f>
        <v>6</v>
      </c>
      <c r="BO58" s="16" t="str">
        <f t="shared" ref="BO58:BO69" si="174">"4"&amp;BC58</f>
        <v>4A</v>
      </c>
      <c r="BP58" s="16"/>
      <c r="BQ58" s="16"/>
      <c r="BR58" s="16">
        <f t="shared" ref="BR58:BR69" ca="1" si="175">+BE58</f>
        <v>1</v>
      </c>
      <c r="BS58" s="16">
        <f ca="1">COUNTIFS(BR$58:BR$69,"&gt;"&amp;BR58)+1</f>
        <v>4</v>
      </c>
      <c r="BT58" s="16" t="str">
        <f ca="1">IF(COUNTIF(BS$58:BS$69,BS58)=1,"-","Pos. "&amp;BS58&amp;" ("&amp;COUNTIF(BS$58:BS$69,BS58)&amp;")")</f>
        <v>Pos. 4 (6)</v>
      </c>
      <c r="BU58" s="16">
        <f t="shared" ref="BU58:BU69" ca="1" si="176">IF(BT58="-","-",BL58)</f>
        <v>-1</v>
      </c>
      <c r="BV58" s="16">
        <f t="shared" ref="BV58:BV69" ca="1" si="177">BS58+COUNTIFS(BT$58:BT$69,BT58,BU$58:BU$69,"&gt;"&amp;BU58)</f>
        <v>6</v>
      </c>
      <c r="BW58" s="16" t="str">
        <f t="shared" ref="BW58:BW69" ca="1" si="178">IF(COUNTIF(BV$58:BV$69,BV58)=1,"-","Pos. "&amp;BV58&amp;" ("&amp;COUNTIF(BV$58:BV$69,BV58)&amp;")")</f>
        <v>Pos. 6 (2)</v>
      </c>
      <c r="BX58" s="16">
        <f t="shared" ref="BX58:BX69" ca="1" si="179">IF(BW58="-","-",BJ58)</f>
        <v>2</v>
      </c>
      <c r="BY58" s="16">
        <f t="shared" ref="BY58:BY69" ca="1" si="180">BV58+COUNTIFS(BW$58:BW$69,BW58,BX$58:BX$69,"&gt;"&amp;BX58)</f>
        <v>6</v>
      </c>
      <c r="BZ58" s="16" t="str">
        <f t="shared" ref="BZ58:BZ69" ca="1" si="181">IF(COUNTIF(BY$58:BY$69,BY58)=1,"-","Pos. "&amp;BY58&amp;" ("&amp;COUNTIF(BY$58:BY$69,BY58)&amp;")")</f>
        <v>-</v>
      </c>
      <c r="CA58" s="16" t="str">
        <f t="shared" ref="CA58:CA69" ca="1" si="182">IF(BZ58="-","-",COUNTIF($BD$58:$BD$69,"&gt;"&amp;BD58))</f>
        <v>-</v>
      </c>
      <c r="CB58" s="16">
        <f ca="1">BY58+COUNTIFS(BZ$58:BZ$69,BZ58,CA$58:CA$69,"&gt;"&amp;CA58)</f>
        <v>6</v>
      </c>
      <c r="CC58" s="16"/>
      <c r="CD58" s="16">
        <f t="shared" ref="CD58:CD69" ca="1" si="183">IF(OR(INDEX($AW$102:$AW$113,MATCH($BD58,$AV$102:$AV$113,0))="",BZ58="-"),CB58,INDEX($AW$102:$AW$113,MATCH($BD58,$AV$102:$AV$113,0))+CB58/1000)</f>
        <v>6</v>
      </c>
      <c r="CE58" s="16" t="str">
        <f ca="1">IF(BZ58="-","-",COUNTIF(CD$58:CD$69,"&lt;"&amp;CD58))</f>
        <v>-</v>
      </c>
      <c r="CF58" s="16">
        <f ca="1">BY58+COUNTIFS(BZ$58:BZ$69,BZ58,CE$58:CE$69,"&lt;"&amp;CE58)</f>
        <v>6</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8</v>
      </c>
      <c r="BN59" s="16">
        <f t="shared" ref="BN59:BN69" ca="1" si="192">CF59</f>
        <v>8</v>
      </c>
      <c r="BO59" s="16" t="str">
        <f t="shared" si="174"/>
        <v>4B</v>
      </c>
      <c r="BP59" s="16"/>
      <c r="BQ59" s="16"/>
      <c r="BR59" s="16">
        <f t="shared" ca="1" si="175"/>
        <v>1</v>
      </c>
      <c r="BS59" s="16">
        <f t="shared" ref="BS59:BS69" ca="1" si="193">COUNTIFS(BR$58:BR$69,"&gt;"&amp;BR59)+1</f>
        <v>4</v>
      </c>
      <c r="BT59" s="16" t="str">
        <f t="shared" ref="BT59:BT69" ca="1" si="194">IF(COUNTIF(BS$58:BS$69,BS59)=1,"-","Pos. "&amp;BS59&amp;" ("&amp;COUNTIF(BS$58:BS$69,BS59)&amp;")")</f>
        <v>Pos. 4 (6)</v>
      </c>
      <c r="BU59" s="16">
        <f t="shared" ca="1" si="176"/>
        <v>-3</v>
      </c>
      <c r="BV59" s="16">
        <f t="shared" ca="1" si="177"/>
        <v>8</v>
      </c>
      <c r="BW59" s="16" t="str">
        <f t="shared" ca="1" si="178"/>
        <v>-</v>
      </c>
      <c r="BX59" s="16" t="str">
        <f t="shared" ca="1" si="179"/>
        <v>-</v>
      </c>
      <c r="BY59" s="16">
        <f t="shared" ca="1" si="180"/>
        <v>8</v>
      </c>
      <c r="BZ59" s="16" t="str">
        <f t="shared" ca="1" si="181"/>
        <v>-</v>
      </c>
      <c r="CA59" s="16" t="str">
        <f t="shared" ca="1" si="182"/>
        <v>-</v>
      </c>
      <c r="CB59" s="16">
        <f t="shared" ref="CB59:CB68" ca="1" si="195">BY59+COUNTIFS(BZ$58:BZ$69,BZ59,CA$58:CA$69,"&gt;"&amp;CA59)</f>
        <v>8</v>
      </c>
      <c r="CC59" s="16"/>
      <c r="CD59" s="16">
        <f t="shared" ca="1" si="183"/>
        <v>8</v>
      </c>
      <c r="CE59" s="16" t="str">
        <f t="shared" ref="CE59:CE69" ca="1" si="196">IF(BZ59="-","-",COUNTIF(CD$58:CD$69,"&lt;"&amp;CD59))</f>
        <v>-</v>
      </c>
      <c r="CF59" s="16">
        <f t="shared" ref="CF59:CF69" ca="1" si="197">BY59+COUNTIFS(BZ$58:BZ$69,BZ59,CE$58:CE$69,"&lt;"&amp;CE59)</f>
        <v>8</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Escocia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P.2 (3)</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2</v>
      </c>
      <c r="BG60" s="16">
        <f t="shared" ca="1" si="169"/>
        <v>1</v>
      </c>
      <c r="BH60" s="16">
        <f t="shared" ca="1" si="170"/>
        <v>0</v>
      </c>
      <c r="BI60" s="16">
        <f t="shared" ca="1" si="171"/>
        <v>1</v>
      </c>
      <c r="BJ60" s="16">
        <f t="shared" ca="1" si="172"/>
        <v>1</v>
      </c>
      <c r="BK60" s="16">
        <f t="shared" ca="1" si="173"/>
        <v>1</v>
      </c>
      <c r="BL60" s="16">
        <f t="shared" ca="1" si="190"/>
        <v>0</v>
      </c>
      <c r="BM60" s="16">
        <f t="shared" ca="1" si="191"/>
        <v>2</v>
      </c>
      <c r="BN60" s="16">
        <f t="shared" ca="1" si="192"/>
        <v>2</v>
      </c>
      <c r="BO60" s="16" t="str">
        <f t="shared" si="174"/>
        <v>4C</v>
      </c>
      <c r="BP60" s="16"/>
      <c r="BQ60" s="16"/>
      <c r="BR60" s="16">
        <f t="shared" ca="1" si="175"/>
        <v>3</v>
      </c>
      <c r="BS60" s="16">
        <f t="shared" ca="1" si="193"/>
        <v>1</v>
      </c>
      <c r="BT60" s="16" t="str">
        <f t="shared" ca="1" si="194"/>
        <v>Pos. 1 (3)</v>
      </c>
      <c r="BU60" s="16">
        <f t="shared" ca="1" si="176"/>
        <v>0</v>
      </c>
      <c r="BV60" s="16">
        <f t="shared" ca="1" si="177"/>
        <v>1</v>
      </c>
      <c r="BW60" s="16" t="str">
        <f t="shared" ca="1" si="178"/>
        <v>Pos. 1 (2)</v>
      </c>
      <c r="BX60" s="16">
        <f t="shared" ca="1" si="179"/>
        <v>1</v>
      </c>
      <c r="BY60" s="16">
        <f t="shared" ca="1" si="180"/>
        <v>2</v>
      </c>
      <c r="BZ60" s="16" t="str">
        <f t="shared" ca="1" si="181"/>
        <v>-</v>
      </c>
      <c r="CA60" s="16" t="str">
        <f t="shared" ca="1" si="182"/>
        <v>-</v>
      </c>
      <c r="CB60" s="16">
        <f t="shared" ca="1" si="195"/>
        <v>2</v>
      </c>
      <c r="CC60" s="16"/>
      <c r="CD60" s="16">
        <f t="shared" ca="1" si="183"/>
        <v>2</v>
      </c>
      <c r="CE60" s="16" t="str">
        <f t="shared" ca="1" si="196"/>
        <v>-</v>
      </c>
      <c r="CF60" s="16">
        <f t="shared" ca="1" si="197"/>
        <v>2</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Paraguay</v>
      </c>
    </row>
    <row r="61" spans="1:121" ht="16" customHeight="1">
      <c r="A61" s="16" t="str">
        <f ca="1">+Equipos!B30</f>
        <v>España</v>
      </c>
      <c r="B61" s="16"/>
      <c r="C61" s="16"/>
      <c r="D61" s="16" t="str">
        <f t="shared" si="199"/>
        <v>Empate</v>
      </c>
      <c r="E61" s="16" t="str">
        <f t="shared" ca="1" si="200"/>
        <v>P.2 (3)</v>
      </c>
      <c r="F61" s="16" t="str">
        <f t="shared" ca="1" si="201"/>
        <v>P.2 (3)</v>
      </c>
      <c r="G61" s="16"/>
      <c r="H61" s="16" t="str">
        <f t="shared" ca="1" si="202"/>
        <v>P.2 (2)</v>
      </c>
      <c r="I61" s="16" t="str">
        <f t="shared" ca="1" si="203"/>
        <v>P.2 (2)</v>
      </c>
      <c r="J61" s="16"/>
      <c r="K61" s="16" t="str">
        <f t="shared" ca="1" si="204"/>
        <v>P.2 (2)</v>
      </c>
      <c r="L61" s="16" t="str">
        <f t="shared" ca="1" si="205"/>
        <v>P.2 (2)</v>
      </c>
      <c r="M61" s="16"/>
      <c r="N61" s="16" t="str">
        <f t="shared" ca="1" si="206"/>
        <v>P.2 (2)</v>
      </c>
      <c r="O61" s="16" t="str">
        <f t="shared" ca="1" si="207"/>
        <v>P.2 (2)</v>
      </c>
      <c r="P61" s="16"/>
      <c r="Q61" s="16" t="str">
        <f t="shared" ca="1" si="208"/>
        <v>P.2 (2)</v>
      </c>
      <c r="R61" s="16" t="str">
        <f t="shared" ca="1" si="209"/>
        <v>P.2 (2)</v>
      </c>
      <c r="S61" s="16"/>
      <c r="T61" s="16" t="str">
        <f t="shared" ca="1" si="210"/>
        <v>P.2 (2)</v>
      </c>
      <c r="U61" s="16" t="str">
        <f t="shared" ca="1" si="211"/>
        <v>P.2 (2)</v>
      </c>
      <c r="V61" s="17"/>
      <c r="W61" s="623"/>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3</v>
      </c>
      <c r="BN61" s="16">
        <f t="shared" ca="1" si="192"/>
        <v>3</v>
      </c>
      <c r="BO61" s="16" t="str">
        <f t="shared" si="174"/>
        <v>4D</v>
      </c>
      <c r="BP61" s="16"/>
      <c r="BQ61" s="16"/>
      <c r="BR61" s="16">
        <f t="shared" ca="1" si="175"/>
        <v>3</v>
      </c>
      <c r="BS61" s="16">
        <f t="shared" ca="1" si="193"/>
        <v>1</v>
      </c>
      <c r="BT61" s="16" t="str">
        <f t="shared" ca="1" si="194"/>
        <v>Pos. 1 (3)</v>
      </c>
      <c r="BU61" s="16">
        <f t="shared" ca="1" si="176"/>
        <v>-2</v>
      </c>
      <c r="BV61" s="16">
        <f t="shared" ca="1" si="177"/>
        <v>3</v>
      </c>
      <c r="BW61" s="16" t="str">
        <f t="shared" ca="1" si="178"/>
        <v>-</v>
      </c>
      <c r="BX61" s="16" t="str">
        <f t="shared" ca="1" si="179"/>
        <v>-</v>
      </c>
      <c r="BY61" s="16">
        <f t="shared" ca="1" si="180"/>
        <v>3</v>
      </c>
      <c r="BZ61" s="16" t="str">
        <f t="shared" ca="1" si="181"/>
        <v>-</v>
      </c>
      <c r="CA61" s="16" t="str">
        <f t="shared" ca="1" si="182"/>
        <v>-</v>
      </c>
      <c r="CB61" s="16">
        <f t="shared" ca="1" si="195"/>
        <v>3</v>
      </c>
      <c r="CC61" s="16"/>
      <c r="CD61" s="16">
        <f t="shared" ca="1" si="183"/>
        <v>3</v>
      </c>
      <c r="CE61" s="16" t="str">
        <f t="shared" ca="1" si="196"/>
        <v>-</v>
      </c>
      <c r="CF61" s="16">
        <f t="shared" ca="1" si="197"/>
        <v>3</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Nueva Zelanda</v>
      </c>
    </row>
    <row r="62" spans="1:121" ht="16" customHeight="1">
      <c r="A62" s="16" t="str">
        <f ca="1">+Equipos!B31</f>
        <v>Cabo Verde</v>
      </c>
      <c r="B62" s="16"/>
      <c r="C62" s="16"/>
      <c r="D62" s="16" t="str">
        <f t="shared" si="199"/>
        <v>Local</v>
      </c>
      <c r="E62" s="16" t="str">
        <f t="shared" ca="1" si="200"/>
        <v>-</v>
      </c>
      <c r="F62" s="16" t="str">
        <f t="shared" ca="1" si="201"/>
        <v>P.2 (3)</v>
      </c>
      <c r="G62" s="16"/>
      <c r="H62" s="16" t="str">
        <f t="shared" ca="1" si="202"/>
        <v>-</v>
      </c>
      <c r="I62" s="16" t="str">
        <f t="shared" ca="1" si="203"/>
        <v>P.2 (2)</v>
      </c>
      <c r="J62" s="16"/>
      <c r="K62" s="16" t="str">
        <f t="shared" ca="1" si="204"/>
        <v>-</v>
      </c>
      <c r="L62" s="16" t="str">
        <f t="shared" ca="1" si="205"/>
        <v>P.2 (2)</v>
      </c>
      <c r="M62" s="16"/>
      <c r="N62" s="16" t="str">
        <f t="shared" ca="1" si="206"/>
        <v>-</v>
      </c>
      <c r="O62" s="16" t="str">
        <f t="shared" ca="1" si="207"/>
        <v>P.2 (2)</v>
      </c>
      <c r="P62" s="16"/>
      <c r="Q62" s="16" t="str">
        <f t="shared" ca="1" si="208"/>
        <v>-</v>
      </c>
      <c r="R62" s="16" t="str">
        <f t="shared" ca="1" si="209"/>
        <v>P.2 (2)</v>
      </c>
      <c r="S62" s="16"/>
      <c r="T62" s="16" t="str">
        <f t="shared" ca="1" si="210"/>
        <v>-</v>
      </c>
      <c r="U62" s="16" t="str">
        <f t="shared" ca="1" si="211"/>
        <v>P.2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4</v>
      </c>
      <c r="AN62" s="36">
        <f t="shared" ca="1" si="215"/>
        <v>2</v>
      </c>
      <c r="AO62" s="36">
        <f t="shared" ca="1" si="215"/>
        <v>1</v>
      </c>
      <c r="AP62" s="36">
        <f t="shared" ca="1" si="215"/>
        <v>1</v>
      </c>
      <c r="AQ62" s="36">
        <f t="shared" ca="1" si="215"/>
        <v>0</v>
      </c>
      <c r="AR62" s="36">
        <f t="shared" ca="1" si="215"/>
        <v>4</v>
      </c>
      <c r="AS62" s="36">
        <f t="shared" ca="1" si="215"/>
        <v>0</v>
      </c>
      <c r="AT62" s="41">
        <f t="shared" ca="1" si="215"/>
        <v>4</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1</v>
      </c>
      <c r="BF62" s="16">
        <f t="shared" ca="1" si="189"/>
        <v>2</v>
      </c>
      <c r="BG62" s="16">
        <f t="shared" ca="1" si="169"/>
        <v>0</v>
      </c>
      <c r="BH62" s="16">
        <f t="shared" ca="1" si="170"/>
        <v>1</v>
      </c>
      <c r="BI62" s="16">
        <f t="shared" ca="1" si="171"/>
        <v>1</v>
      </c>
      <c r="BJ62" s="16">
        <f t="shared" ca="1" si="172"/>
        <v>0</v>
      </c>
      <c r="BK62" s="16">
        <f t="shared" ca="1" si="173"/>
        <v>1</v>
      </c>
      <c r="BL62" s="16">
        <f t="shared" ca="1" si="190"/>
        <v>-1</v>
      </c>
      <c r="BM62" s="16">
        <f t="shared" ca="1" si="191"/>
        <v>7</v>
      </c>
      <c r="BN62" s="16">
        <f t="shared" ca="1" si="192"/>
        <v>7</v>
      </c>
      <c r="BO62" s="16" t="str">
        <f t="shared" si="174"/>
        <v>4E</v>
      </c>
      <c r="BP62" s="16"/>
      <c r="BQ62" s="16"/>
      <c r="BR62" s="16">
        <f t="shared" ca="1" si="175"/>
        <v>1</v>
      </c>
      <c r="BS62" s="16">
        <f t="shared" ca="1" si="193"/>
        <v>4</v>
      </c>
      <c r="BT62" s="16" t="str">
        <f t="shared" ca="1" si="194"/>
        <v>Pos. 4 (6)</v>
      </c>
      <c r="BU62" s="16">
        <f t="shared" ca="1" si="176"/>
        <v>-1</v>
      </c>
      <c r="BV62" s="16">
        <f t="shared" ca="1" si="177"/>
        <v>6</v>
      </c>
      <c r="BW62" s="16" t="str">
        <f t="shared" ca="1" si="178"/>
        <v>Pos. 6 (2)</v>
      </c>
      <c r="BX62" s="16">
        <f t="shared" ca="1" si="179"/>
        <v>0</v>
      </c>
      <c r="BY62" s="16">
        <f t="shared" ca="1" si="180"/>
        <v>7</v>
      </c>
      <c r="BZ62" s="16" t="str">
        <f t="shared" ca="1" si="181"/>
        <v>-</v>
      </c>
      <c r="CA62" s="16" t="str">
        <f t="shared" ca="1" si="182"/>
        <v>-</v>
      </c>
      <c r="CB62" s="16">
        <f t="shared" ca="1" si="195"/>
        <v>7</v>
      </c>
      <c r="CC62" s="16"/>
      <c r="CD62" s="16">
        <f t="shared" ca="1" si="183"/>
        <v>7</v>
      </c>
      <c r="CE62" s="16" t="str">
        <f t="shared" ca="1" si="196"/>
        <v>-</v>
      </c>
      <c r="CF62" s="16">
        <f t="shared" ca="1" si="197"/>
        <v>7</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RD Congo</v>
      </c>
    </row>
    <row r="63" spans="1:121" ht="16"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23"/>
      <c r="X63" s="24">
        <f ca="1">Horarios!C63</f>
        <v>46195</v>
      </c>
      <c r="Y63" s="25">
        <f ca="1">Horarios!C63</f>
        <v>46195</v>
      </c>
      <c r="Z63" s="26" t="str">
        <f>$Z$6</f>
        <v>J2</v>
      </c>
      <c r="AA63" s="27" t="str">
        <f ca="1">A64</f>
        <v>Uruguay</v>
      </c>
      <c r="AB63" s="49" t="e" cm="1" vm="32">
        <f t="array" aca="1" ref="AB63" ca="1">Ver_flag_local</f>
        <v>#VALUE!</v>
      </c>
      <c r="AC63" s="50"/>
      <c r="AD63" s="51"/>
      <c r="AE63" s="574" t="e" cm="1" vm="30">
        <f t="array" aca="1" ref="AE63" ca="1">Ver_flag_visit</f>
        <v>#VALUE!</v>
      </c>
      <c r="AF63" s="32" t="str">
        <f ca="1">A62</f>
        <v>Cabo Verde</v>
      </c>
      <c r="AG63" s="309">
        <f t="shared" si="212"/>
        <v>0</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1</v>
      </c>
      <c r="AN63" s="39">
        <f t="shared" ca="1" si="215"/>
        <v>1</v>
      </c>
      <c r="AO63" s="39">
        <f t="shared" ca="1" si="215"/>
        <v>0</v>
      </c>
      <c r="AP63" s="39">
        <f t="shared" ca="1" si="215"/>
        <v>1</v>
      </c>
      <c r="AQ63" s="39">
        <f t="shared" ca="1" si="215"/>
        <v>0</v>
      </c>
      <c r="AR63" s="39">
        <f t="shared" ca="1" si="215"/>
        <v>1</v>
      </c>
      <c r="AS63" s="39">
        <f t="shared" ca="1" si="215"/>
        <v>1</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3</v>
      </c>
      <c r="BF63" s="16">
        <f t="shared" ca="1" si="189"/>
        <v>2</v>
      </c>
      <c r="BG63" s="16">
        <f t="shared" ca="1" si="169"/>
        <v>1</v>
      </c>
      <c r="BH63" s="16">
        <f t="shared" ca="1" si="170"/>
        <v>0</v>
      </c>
      <c r="BI63" s="16">
        <f t="shared" ca="1" si="171"/>
        <v>1</v>
      </c>
      <c r="BJ63" s="16">
        <f t="shared" ca="1" si="172"/>
        <v>6</v>
      </c>
      <c r="BK63" s="16">
        <f t="shared" ca="1" si="173"/>
        <v>6</v>
      </c>
      <c r="BL63" s="16">
        <f t="shared" ca="1" si="190"/>
        <v>0</v>
      </c>
      <c r="BM63" s="16">
        <f t="shared" ca="1" si="191"/>
        <v>1</v>
      </c>
      <c r="BN63" s="16">
        <f t="shared" ca="1" si="192"/>
        <v>1</v>
      </c>
      <c r="BO63" s="16" t="str">
        <f t="shared" si="174"/>
        <v>4F</v>
      </c>
      <c r="BP63" s="16"/>
      <c r="BQ63" s="16"/>
      <c r="BR63" s="16">
        <f t="shared" ca="1" si="175"/>
        <v>3</v>
      </c>
      <c r="BS63" s="16">
        <f t="shared" ca="1" si="193"/>
        <v>1</v>
      </c>
      <c r="BT63" s="16" t="str">
        <f t="shared" ca="1" si="194"/>
        <v>Pos. 1 (3)</v>
      </c>
      <c r="BU63" s="16">
        <f t="shared" ca="1" si="176"/>
        <v>0</v>
      </c>
      <c r="BV63" s="16">
        <f t="shared" ca="1" si="177"/>
        <v>1</v>
      </c>
      <c r="BW63" s="16" t="str">
        <f t="shared" ca="1" si="178"/>
        <v>Pos. 1 (2)</v>
      </c>
      <c r="BX63" s="16">
        <f t="shared" ca="1" si="179"/>
        <v>6</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República Checa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31">
        <f t="array" aca="1" ref="AK64" ca="1">Ver_flag_visit</f>
        <v>#VALUE!</v>
      </c>
      <c r="AL64" s="37" t="str">
        <f ca="1">IFERROR(INDEX($BD$6:$BD$53,MATCH(AI64,$BN$6:$BN$53,0)),"")</f>
        <v>Arabia Saudita</v>
      </c>
      <c r="AM64" s="38">
        <f t="shared" ca="1" si="215"/>
        <v>1</v>
      </c>
      <c r="AN64" s="39">
        <f t="shared" ca="1" si="215"/>
        <v>2</v>
      </c>
      <c r="AO64" s="39">
        <f t="shared" ca="1" si="215"/>
        <v>0</v>
      </c>
      <c r="AP64" s="39">
        <f t="shared" ca="1" si="215"/>
        <v>1</v>
      </c>
      <c r="AQ64" s="39">
        <f t="shared" ca="1" si="215"/>
        <v>1</v>
      </c>
      <c r="AR64" s="39">
        <f t="shared" ca="1" si="215"/>
        <v>1</v>
      </c>
      <c r="AS64" s="39">
        <f t="shared" ca="1" si="215"/>
        <v>5</v>
      </c>
      <c r="AT64" s="43">
        <f t="shared" ca="1" si="215"/>
        <v>-4</v>
      </c>
      <c r="AU64" s="316">
        <f ca="1">INDEX($DL$6:$DL$53,MATCH(AI64,$DP$6:$DP$53,0))</f>
        <v>1</v>
      </c>
      <c r="AV64" s="174" t="str">
        <f ca="1">INDEX($BD$6:$BD$53,MATCH(AI64,$BM$6:$BM$53,0))</f>
        <v>Arabia Saudita</v>
      </c>
      <c r="AW64" s="202"/>
      <c r="AX64" s="163"/>
      <c r="AY64" s="193" t="str">
        <f ca="1">+A63</f>
        <v>Arabia Saudita</v>
      </c>
      <c r="AZ64" s="194"/>
      <c r="BA64" s="168"/>
      <c r="BB64" s="16" t="str">
        <f t="shared" si="187"/>
        <v>3G</v>
      </c>
      <c r="BC64" s="16" t="s">
        <v>6</v>
      </c>
      <c r="BD64" s="16" t="str">
        <f t="shared" ca="1" si="168"/>
        <v>Nueva Zelanda</v>
      </c>
      <c r="BE64" s="16">
        <f t="shared" ca="1" si="188"/>
        <v>1</v>
      </c>
      <c r="BF64" s="16">
        <f t="shared" ca="1" si="189"/>
        <v>1</v>
      </c>
      <c r="BG64" s="16">
        <f t="shared" ca="1" si="169"/>
        <v>0</v>
      </c>
      <c r="BH64" s="16">
        <f t="shared" ca="1" si="170"/>
        <v>1</v>
      </c>
      <c r="BI64" s="16">
        <f t="shared" ca="1" si="171"/>
        <v>0</v>
      </c>
      <c r="BJ64" s="16">
        <f t="shared" ca="1" si="172"/>
        <v>2</v>
      </c>
      <c r="BK64" s="16">
        <f t="shared" ca="1" si="173"/>
        <v>2</v>
      </c>
      <c r="BL64" s="16">
        <f t="shared" ca="1" si="190"/>
        <v>0</v>
      </c>
      <c r="BM64" s="16">
        <f t="shared" ca="1" si="191"/>
        <v>4</v>
      </c>
      <c r="BN64" s="16">
        <f t="shared" ca="1" si="192"/>
        <v>4</v>
      </c>
      <c r="BO64" s="16" t="str">
        <f t="shared" si="174"/>
        <v>4G</v>
      </c>
      <c r="BP64" s="16"/>
      <c r="BQ64" s="16"/>
      <c r="BR64" s="16">
        <f t="shared" ca="1" si="175"/>
        <v>1</v>
      </c>
      <c r="BS64" s="16">
        <f t="shared" ca="1" si="193"/>
        <v>4</v>
      </c>
      <c r="BT64" s="16" t="str">
        <f t="shared" ca="1" si="194"/>
        <v>Pos. 4 (6)</v>
      </c>
      <c r="BU64" s="16">
        <f t="shared" ca="1" si="176"/>
        <v>0</v>
      </c>
      <c r="BV64" s="16">
        <f t="shared" ca="1" si="177"/>
        <v>4</v>
      </c>
      <c r="BW64" s="16" t="str">
        <f t="shared" ca="1" si="178"/>
        <v>Pos. 4 (2)</v>
      </c>
      <c r="BX64" s="16">
        <f t="shared" ca="1" si="179"/>
        <v>2</v>
      </c>
      <c r="BY64" s="16">
        <f t="shared" ca="1" si="180"/>
        <v>4</v>
      </c>
      <c r="BZ64" s="16" t="str">
        <f t="shared" ca="1" si="181"/>
        <v>-</v>
      </c>
      <c r="CA64" s="16" t="str">
        <f t="shared" ca="1" si="182"/>
        <v>-</v>
      </c>
      <c r="CB64" s="16">
        <f t="shared" ca="1" si="195"/>
        <v>4</v>
      </c>
      <c r="CC64" s="16"/>
      <c r="CD64" s="16">
        <f t="shared" ca="1" si="183"/>
        <v>4</v>
      </c>
      <c r="CE64" s="16" t="str">
        <f t="shared" ca="1" si="196"/>
        <v>-</v>
      </c>
      <c r="CF64" s="16">
        <f t="shared" ca="1" si="197"/>
        <v>4</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Ecuador</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24"/>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0">
        <f t="array" aca="1" ref="AK65" ca="1">Ver_flag_visit</f>
        <v>#VALUE!</v>
      </c>
      <c r="AL65" s="45" t="str">
        <f ca="1">IFERROR(INDEX($BD$6:$BD$53,MATCH(AI65,$BN$6:$BN$53,0)),"")</f>
        <v>Cabo Verde</v>
      </c>
      <c r="AM65" s="46">
        <f t="shared" ca="1" si="215"/>
        <v>1</v>
      </c>
      <c r="AN65" s="47">
        <f t="shared" ca="1" si="215"/>
        <v>1</v>
      </c>
      <c r="AO65" s="47">
        <f t="shared" ca="1" si="215"/>
        <v>0</v>
      </c>
      <c r="AP65" s="47">
        <f t="shared" ca="1" si="215"/>
        <v>1</v>
      </c>
      <c r="AQ65" s="47">
        <f t="shared" ca="1" si="215"/>
        <v>0</v>
      </c>
      <c r="AR65" s="47">
        <f t="shared" ca="1" si="215"/>
        <v>0</v>
      </c>
      <c r="AS65" s="47">
        <f t="shared" ca="1" si="215"/>
        <v>0</v>
      </c>
      <c r="AT65" s="48">
        <f t="shared" ca="1" si="215"/>
        <v>0</v>
      </c>
      <c r="AU65" s="316">
        <f ca="1">INDEX($DL$6:$DL$53,MATCH(AI65,$DP$6:$DP$53,0))</f>
        <v>1</v>
      </c>
      <c r="AV65" s="174" t="str">
        <f ca="1">INDEX($BD$6:$BD$53,MATCH(AI65,$BM$6:$BM$53,0))</f>
        <v>Cabo Verde</v>
      </c>
      <c r="AW65" s="202"/>
      <c r="AX65" s="163"/>
      <c r="AY65" s="197" t="str">
        <f ca="1">+A64</f>
        <v>Uruguay</v>
      </c>
      <c r="AZ65" s="198"/>
      <c r="BA65" s="168"/>
      <c r="BB65" s="16" t="str">
        <f t="shared" si="187"/>
        <v>3H</v>
      </c>
      <c r="BC65" s="16" t="s">
        <v>447</v>
      </c>
      <c r="BD65" s="16" t="str">
        <f t="shared" ca="1" si="168"/>
        <v>Arabia Saudita</v>
      </c>
      <c r="BE65" s="16">
        <f t="shared" ca="1" si="188"/>
        <v>1</v>
      </c>
      <c r="BF65" s="16">
        <f t="shared" ca="1" si="189"/>
        <v>2</v>
      </c>
      <c r="BG65" s="16">
        <f t="shared" ca="1" si="169"/>
        <v>0</v>
      </c>
      <c r="BH65" s="16">
        <f t="shared" ca="1" si="170"/>
        <v>1</v>
      </c>
      <c r="BI65" s="16">
        <f t="shared" ca="1" si="171"/>
        <v>1</v>
      </c>
      <c r="BJ65" s="16">
        <f t="shared" ca="1" si="172"/>
        <v>1</v>
      </c>
      <c r="BK65" s="16">
        <f t="shared" ca="1" si="173"/>
        <v>5</v>
      </c>
      <c r="BL65" s="16">
        <f t="shared" ca="1" si="190"/>
        <v>-4</v>
      </c>
      <c r="BM65" s="16">
        <f t="shared" ca="1" si="191"/>
        <v>9</v>
      </c>
      <c r="BN65" s="16">
        <f t="shared" ca="1" si="192"/>
        <v>9</v>
      </c>
      <c r="BO65" s="16" t="str">
        <f t="shared" si="174"/>
        <v>4H</v>
      </c>
      <c r="BP65" s="16"/>
      <c r="BQ65" s="16"/>
      <c r="BR65" s="16">
        <f t="shared" ca="1" si="175"/>
        <v>1</v>
      </c>
      <c r="BS65" s="16">
        <f t="shared" ca="1" si="193"/>
        <v>4</v>
      </c>
      <c r="BT65" s="16" t="str">
        <f t="shared" ca="1" si="194"/>
        <v>Pos. 4 (6)</v>
      </c>
      <c r="BU65" s="16">
        <f t="shared" ca="1" si="176"/>
        <v>-4</v>
      </c>
      <c r="BV65" s="16">
        <f t="shared" ca="1" si="177"/>
        <v>9</v>
      </c>
      <c r="BW65" s="16" t="str">
        <f t="shared" ca="1" si="178"/>
        <v>-</v>
      </c>
      <c r="BX65" s="16" t="str">
        <f t="shared" ca="1" si="179"/>
        <v>-</v>
      </c>
      <c r="BY65" s="16">
        <f t="shared" ca="1" si="180"/>
        <v>9</v>
      </c>
      <c r="BZ65" s="16" t="str">
        <f t="shared" ca="1" si="181"/>
        <v>-</v>
      </c>
      <c r="CA65" s="16" t="str">
        <f t="shared" ca="1" si="182"/>
        <v>-</v>
      </c>
      <c r="CB65" s="16">
        <f t="shared" ca="1" si="195"/>
        <v>9</v>
      </c>
      <c r="CC65" s="16"/>
      <c r="CD65" s="16">
        <f t="shared" ca="1" si="183"/>
        <v>9</v>
      </c>
      <c r="CE65" s="16" t="str">
        <f t="shared" ca="1" si="196"/>
        <v>-</v>
      </c>
      <c r="CF65" s="16">
        <f t="shared" ca="1" si="197"/>
        <v>9</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Bosnia y Herzegovina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12</v>
      </c>
      <c r="BN66" s="16">
        <f t="shared" ca="1" si="192"/>
        <v>12</v>
      </c>
      <c r="BO66" s="16" t="str">
        <f t="shared" si="174"/>
        <v>4I</v>
      </c>
      <c r="BP66" s="16"/>
      <c r="BQ66" s="16"/>
      <c r="BR66" s="16">
        <f t="shared" ca="1" si="175"/>
        <v>0</v>
      </c>
      <c r="BS66" s="16">
        <f t="shared" ca="1" si="193"/>
        <v>10</v>
      </c>
      <c r="BT66" s="16" t="str">
        <f t="shared" ca="1" si="194"/>
        <v>Pos. 10 (3)</v>
      </c>
      <c r="BU66" s="16">
        <f t="shared" ca="1" si="176"/>
        <v>-2</v>
      </c>
      <c r="BV66" s="16">
        <f t="shared" ca="1" si="177"/>
        <v>11</v>
      </c>
      <c r="BW66" s="16" t="str">
        <f t="shared" ca="1" si="178"/>
        <v>Pos. 11 (2)</v>
      </c>
      <c r="BX66" s="16">
        <f t="shared" ca="1" si="179"/>
        <v>1</v>
      </c>
      <c r="BY66" s="16">
        <f t="shared" ca="1" si="180"/>
        <v>11</v>
      </c>
      <c r="BZ66" s="16" t="str">
        <f t="shared" ca="1" si="181"/>
        <v>Pos. 11 (2)</v>
      </c>
      <c r="CA66" s="16">
        <f t="shared" ca="1" si="182"/>
        <v>1</v>
      </c>
      <c r="CB66" s="16">
        <f t="shared" ca="1" si="195"/>
        <v>12</v>
      </c>
      <c r="CC66" s="16"/>
      <c r="CD66" s="16">
        <f t="shared" ca="1" si="183"/>
        <v>12</v>
      </c>
      <c r="CE66" s="16">
        <f t="shared" ca="1" si="196"/>
        <v>11</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Arabia Saudita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11</v>
      </c>
      <c r="BN67" s="16">
        <f t="shared" ca="1" si="192"/>
        <v>11</v>
      </c>
      <c r="BO67" s="16" t="str">
        <f t="shared" si="174"/>
        <v>4J</v>
      </c>
      <c r="BP67" s="16"/>
      <c r="BQ67" s="16"/>
      <c r="BR67" s="16">
        <f t="shared" ca="1" si="175"/>
        <v>0</v>
      </c>
      <c r="BS67" s="16">
        <f t="shared" ca="1" si="193"/>
        <v>10</v>
      </c>
      <c r="BT67" s="16" t="str">
        <f t="shared" ca="1" si="194"/>
        <v>Pos. 10 (3)</v>
      </c>
      <c r="BU67" s="16">
        <f t="shared" ca="1" si="176"/>
        <v>-2</v>
      </c>
      <c r="BV67" s="16">
        <f t="shared" ca="1" si="177"/>
        <v>11</v>
      </c>
      <c r="BW67" s="16" t="str">
        <f t="shared" ca="1" si="178"/>
        <v>Pos. 11 (2)</v>
      </c>
      <c r="BX67" s="16">
        <f t="shared" ca="1" si="179"/>
        <v>1</v>
      </c>
      <c r="BY67" s="16">
        <f t="shared" ca="1" si="180"/>
        <v>11</v>
      </c>
      <c r="BZ67" s="16" t="str">
        <f t="shared" ca="1" si="181"/>
        <v>Pos. 11 (2)</v>
      </c>
      <c r="CA67" s="16">
        <f t="shared" ca="1" si="182"/>
        <v>7</v>
      </c>
      <c r="CB67" s="16">
        <f t="shared" ca="1" si="195"/>
        <v>11</v>
      </c>
      <c r="CC67" s="16"/>
      <c r="CD67" s="16">
        <f t="shared" ca="1" si="183"/>
        <v>11</v>
      </c>
      <c r="CE67" s="16">
        <f t="shared" ca="1" si="196"/>
        <v>10</v>
      </c>
      <c r="CF67" s="16">
        <f t="shared" ca="1" si="197"/>
        <v>11</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Panamá</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29"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5</v>
      </c>
      <c r="BN68" s="16">
        <f t="shared" ca="1" si="192"/>
        <v>5</v>
      </c>
      <c r="BO68" s="16" t="str">
        <f t="shared" si="174"/>
        <v>4K</v>
      </c>
      <c r="BP68" s="16"/>
      <c r="BQ68" s="16"/>
      <c r="BR68" s="16">
        <f t="shared" ca="1" si="175"/>
        <v>1</v>
      </c>
      <c r="BS68" s="16">
        <f t="shared" ca="1" si="193"/>
        <v>4</v>
      </c>
      <c r="BT68" s="16" t="str">
        <f t="shared" ca="1" si="194"/>
        <v>Pos. 4 (6)</v>
      </c>
      <c r="BU68" s="16">
        <f t="shared" ca="1" si="176"/>
        <v>0</v>
      </c>
      <c r="BV68" s="16">
        <f t="shared" ca="1" si="177"/>
        <v>4</v>
      </c>
      <c r="BW68" s="16" t="str">
        <f t="shared" ca="1" si="178"/>
        <v>Pos. 4 (2)</v>
      </c>
      <c r="BX68" s="16">
        <f t="shared" ca="1" si="179"/>
        <v>1</v>
      </c>
      <c r="BY68" s="16">
        <f t="shared" ca="1" si="180"/>
        <v>5</v>
      </c>
      <c r="BZ68" s="16" t="str">
        <f t="shared" ca="1" si="181"/>
        <v>-</v>
      </c>
      <c r="CA68" s="16" t="str">
        <f t="shared" ca="1" si="182"/>
        <v>-</v>
      </c>
      <c r="CB68" s="16">
        <f t="shared" ca="1" si="195"/>
        <v>5</v>
      </c>
      <c r="CC68" s="16"/>
      <c r="CD68" s="16">
        <f t="shared" ca="1" si="183"/>
        <v>5</v>
      </c>
      <c r="CE68" s="16" t="str">
        <f t="shared" ca="1" si="196"/>
        <v>-</v>
      </c>
      <c r="CF68" s="16">
        <f t="shared" ca="1" si="197"/>
        <v>5</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Jordania</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29"/>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10</v>
      </c>
      <c r="BN69" s="16">
        <f t="shared" ca="1" si="192"/>
        <v>10</v>
      </c>
      <c r="BO69" s="16" t="str">
        <f t="shared" si="174"/>
        <v>4L</v>
      </c>
      <c r="BP69" s="16"/>
      <c r="BQ69" s="16"/>
      <c r="BR69" s="16">
        <f t="shared" ca="1" si="175"/>
        <v>0</v>
      </c>
      <c r="BS69" s="16">
        <f t="shared" ca="1" si="193"/>
        <v>10</v>
      </c>
      <c r="BT69" s="16" t="str">
        <f t="shared" ca="1" si="194"/>
        <v>Pos. 10 (3)</v>
      </c>
      <c r="BU69" s="16">
        <f t="shared" ca="1" si="176"/>
        <v>-1</v>
      </c>
      <c r="BV69" s="16">
        <f t="shared" ca="1" si="177"/>
        <v>10</v>
      </c>
      <c r="BW69" s="16" t="str">
        <f t="shared" ca="1" si="178"/>
        <v>-</v>
      </c>
      <c r="BX69" s="16" t="str">
        <f t="shared" ca="1" si="179"/>
        <v>-</v>
      </c>
      <c r="BY69" s="16">
        <f t="shared" ca="1" si="180"/>
        <v>10</v>
      </c>
      <c r="BZ69" s="16" t="str">
        <f t="shared" ca="1" si="181"/>
        <v>-</v>
      </c>
      <c r="CA69" s="16" t="str">
        <f t="shared" ca="1" si="182"/>
        <v>-</v>
      </c>
      <c r="CB69" s="16">
        <f ca="1">BY69+COUNTIFS(BZ$58:BZ$69,BZ69,CA$58:CA$69,"&gt;"&amp;CA69)</f>
        <v>10</v>
      </c>
      <c r="CC69" s="16"/>
      <c r="CD69" s="16">
        <f t="shared" ca="1" si="183"/>
        <v>10</v>
      </c>
      <c r="CE69" s="16" t="str">
        <f t="shared" ca="1" si="196"/>
        <v>-</v>
      </c>
      <c r="CF69" s="16">
        <f t="shared" ca="1" si="197"/>
        <v>10</v>
      </c>
      <c r="DJ69" s="16">
        <f t="shared" ca="1" si="184"/>
        <v>11</v>
      </c>
      <c r="DK69" s="16"/>
      <c r="DL69" s="16">
        <f t="shared" ca="1" si="185"/>
        <v>1</v>
      </c>
      <c r="DM69" s="16" t="str">
        <f t="shared" ca="1" si="186"/>
        <v>11.1</v>
      </c>
      <c r="DN69" s="16" cm="1">
        <f t="array" aca="1" ref="DN69" ca="1">OFFSET(Horarios!$P$3,DJ69-1,0,DL69,1)</f>
        <v>11</v>
      </c>
      <c r="DO69" s="16"/>
      <c r="DP69" s="16">
        <v>12</v>
      </c>
      <c r="DQ69" s="16" t="str">
        <f t="shared" ca="1" si="198"/>
        <v>Senegal</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29"/>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29"/>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29"/>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30"/>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P.1 (2)</v>
      </c>
      <c r="F76" s="16" t="str">
        <f t="shared" ref="F76:F81" ca="1" si="237">IF(D76="Pendiente","-",INDEX($BT$6:$BT$53,MATCH($AF76,$BD$6:$BD$53,0)))</f>
        <v>P.3 (2)</v>
      </c>
      <c r="G76" s="16"/>
      <c r="H76" s="16" t="str">
        <f t="shared" ref="H76:H81" ca="1" si="238">IF(D76="Pendiente","-",INDEX($BZ$6:$BZ$53,MATCH($AA76,$BD$6:$BD$53,0)))</f>
        <v>P.1 (2)</v>
      </c>
      <c r="I76" s="16" t="str">
        <f t="shared" ref="I76:I81" ca="1" si="239">IF(D76="Pendiente","-",INDEX($BZ$6:$BZ$53,MATCH($AF76,$BD$6:$BD$53,0)))</f>
        <v>P.3 (2)</v>
      </c>
      <c r="J76" s="16"/>
      <c r="K76" s="16" t="str">
        <f t="shared" ref="K76:K81" ca="1" si="240">IF(D76="Pendiente","-",INDEX($CE$6:$CE$53,MATCH($AA76,$BD$6:$BD$53,0)))</f>
        <v>P.1 (2)</v>
      </c>
      <c r="L76" s="16" t="str">
        <f t="shared" ref="L76:L81" ca="1" si="241">IF(D76="Pendiente","-",INDEX($CE$6:$CE$53,MATCH($AF76,$BD$6:$BD$53,0)))</f>
        <v>P.3 (2)</v>
      </c>
      <c r="M76" s="16"/>
      <c r="N76" s="16" t="str">
        <f t="shared" ref="N76:N81" ca="1" si="242">IF(D76="Pendiente","-",INDEX($CH$6:$CH$53,MATCH($AA76,$BD$6:$BD$53,0)))</f>
        <v>P.1 (2)</v>
      </c>
      <c r="O76" s="16" t="str">
        <f t="shared" ref="O76:O81" ca="1" si="243">IF(D76="Pendiente","-",INDEX($CH$6:$CH$53,MATCH($AF76,$BD$6:$BD$53,0)))</f>
        <v>P.3 (2)</v>
      </c>
      <c r="P76" s="16"/>
      <c r="Q76" s="16" t="str">
        <f t="shared" ref="Q76:Q81" ca="1" si="244">IF(D76="Pendiente","-",INDEX($CN$6:$CN$53,MATCH($AA76,$BD$6:$BD$53,0)))</f>
        <v>P.1 (2)</v>
      </c>
      <c r="R76" s="16" t="str">
        <f t="shared" ref="R76:R81" ca="1" si="245">IF(D76="Pendiente","-",INDEX($CN$6:$CN$53,MATCH($AF76,$BD$6:$BD$53,0)))</f>
        <v>P.3 (2)</v>
      </c>
      <c r="S76" s="16"/>
      <c r="T76" s="16" t="str">
        <f t="shared" ref="T76:T81" ca="1" si="246">IF(D76="Pendiente","-",INDEX($CS$6:$CS$53,MATCH($AA76,$BD$6:$BD$53,0)))</f>
        <v>P.1 (2)</v>
      </c>
      <c r="U76" s="16" t="str">
        <f t="shared" ref="U76:U81" ca="1" si="247">IF(D76="Pendiente","-",INDEX($CS$6:$CS$53,MATCH($AF76,$BD$6:$BD$53,0)))</f>
        <v>P.3 (2)</v>
      </c>
      <c r="V76" s="17"/>
      <c r="W76" s="625"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P.1 (2)</v>
      </c>
      <c r="F77" s="16" t="str">
        <f t="shared" ca="1" si="237"/>
        <v>P.3 (2)</v>
      </c>
      <c r="G77" s="16"/>
      <c r="H77" s="16" t="str">
        <f t="shared" ca="1" si="238"/>
        <v>P.1 (2)</v>
      </c>
      <c r="I77" s="16" t="str">
        <f t="shared" ca="1" si="239"/>
        <v>P.3 (2)</v>
      </c>
      <c r="J77" s="16"/>
      <c r="K77" s="16" t="str">
        <f t="shared" ca="1" si="240"/>
        <v>P.1 (2)</v>
      </c>
      <c r="L77" s="16" t="str">
        <f t="shared" ca="1" si="241"/>
        <v>P.3 (2)</v>
      </c>
      <c r="M77" s="16"/>
      <c r="N77" s="16" t="str">
        <f t="shared" ca="1" si="242"/>
        <v>P.1 (2)</v>
      </c>
      <c r="O77" s="16" t="str">
        <f t="shared" ca="1" si="243"/>
        <v>P.3 (2)</v>
      </c>
      <c r="P77" s="16"/>
      <c r="Q77" s="16" t="str">
        <f t="shared" ca="1" si="244"/>
        <v>P.1 (2)</v>
      </c>
      <c r="R77" s="16" t="str">
        <f t="shared" ca="1" si="245"/>
        <v>P.3 (2)</v>
      </c>
      <c r="S77" s="16"/>
      <c r="T77" s="16" t="str">
        <f t="shared" ca="1" si="246"/>
        <v>P.1 (2)</v>
      </c>
      <c r="U77" s="16" t="str">
        <f t="shared" ca="1" si="247"/>
        <v>P.3 (2)</v>
      </c>
      <c r="V77" s="17"/>
      <c r="W77" s="625"/>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25"/>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25"/>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1</v>
      </c>
      <c r="AO79" s="39">
        <f t="shared" ca="1" si="251"/>
        <v>1</v>
      </c>
      <c r="AP79" s="39">
        <f t="shared" ca="1" si="251"/>
        <v>0</v>
      </c>
      <c r="AQ79" s="39">
        <f t="shared" ca="1" si="251"/>
        <v>0</v>
      </c>
      <c r="AR79" s="39">
        <f t="shared" ca="1" si="251"/>
        <v>3</v>
      </c>
      <c r="AS79" s="39">
        <f t="shared" ca="1" si="251"/>
        <v>1</v>
      </c>
      <c r="AT79" s="43">
        <f t="shared" ca="1" si="251"/>
        <v>2</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25"/>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26"/>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P.2 (2)</v>
      </c>
      <c r="F84" s="16" t="str">
        <f t="shared" ref="F84:F89" ca="1" si="255">IF(D84="Pendiente","-",INDEX($BT$6:$BT$53,MATCH($AF84,$BD$6:$BD$53,0)))</f>
        <v>P.2 (2)</v>
      </c>
      <c r="G84" s="16"/>
      <c r="H84" s="16" t="str">
        <f t="shared" ref="H84:H89" ca="1" si="256">IF(D84="Pendiente","-",INDEX($BZ$6:$BZ$53,MATCH($AA84,$BD$6:$BD$53,0)))</f>
        <v>P.2 (2)</v>
      </c>
      <c r="I84" s="16" t="str">
        <f t="shared" ref="I84:I89" ca="1" si="257">IF(D84="Pendiente","-",INDEX($BZ$6:$BZ$53,MATCH($AF84,$BD$6:$BD$53,0)))</f>
        <v>P.2 (2)</v>
      </c>
      <c r="J84" s="16"/>
      <c r="K84" s="16" t="str">
        <f t="shared" ref="K84:K89" ca="1" si="258">IF(D84="Pendiente","-",INDEX($CE$6:$CE$53,MATCH($AA84,$BD$6:$BD$53,0)))</f>
        <v>P.2 (2)</v>
      </c>
      <c r="L84" s="16" t="str">
        <f t="shared" ref="L84:L89" ca="1" si="259">IF(D84="Pendiente","-",INDEX($CE$6:$CE$53,MATCH($AF84,$BD$6:$BD$53,0)))</f>
        <v>P.2 (2)</v>
      </c>
      <c r="M84" s="16"/>
      <c r="N84" s="16" t="str">
        <f t="shared" ref="N84:N89" ca="1" si="260">IF(D84="Pendiente","-",INDEX($CH$6:$CH$53,MATCH($AA84,$BD$6:$BD$53,0)))</f>
        <v>P.2 (2)</v>
      </c>
      <c r="O84" s="16" t="str">
        <f t="shared" ref="O84:O89" ca="1" si="261">IF(D84="Pendiente","-",INDEX($CH$6:$CH$53,MATCH($AF84,$BD$6:$BD$53,0)))</f>
        <v>P.2 (2)</v>
      </c>
      <c r="P84" s="16"/>
      <c r="Q84" s="16" t="str">
        <f t="shared" ref="Q84:Q89" ca="1" si="262">IF(D84="Pendiente","-",INDEX($CN$6:$CN$53,MATCH($AA84,$BD$6:$BD$53,0)))</f>
        <v>P.2 (2)</v>
      </c>
      <c r="R84" s="16" t="str">
        <f t="shared" ref="R84:R89" ca="1" si="263">IF(D84="Pendiente","-",INDEX($CN$6:$CN$53,MATCH($AF84,$BD$6:$BD$53,0)))</f>
        <v>P.2 (2)</v>
      </c>
      <c r="S84" s="16"/>
      <c r="T84" s="16" t="str">
        <f t="shared" ref="T84:T89" ca="1" si="264">IF(D84="Pendiente","-",INDEX($CS$6:$CS$53,MATCH($AA84,$BD$6:$BD$53,0)))</f>
        <v>P.2 (2)</v>
      </c>
      <c r="U84" s="16" t="str">
        <f t="shared" ref="U84:U89" ca="1" si="265">IF(D84="Pendiente","-",INDEX($CS$6:$CS$53,MATCH($AF84,$BD$6:$BD$53,0)))</f>
        <v>P.2 (2)</v>
      </c>
      <c r="V84" s="17"/>
      <c r="W84" s="631"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31"/>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3</v>
      </c>
      <c r="AN86" s="36">
        <f t="shared" ca="1" si="269"/>
        <v>1</v>
      </c>
      <c r="AO86" s="36">
        <f t="shared" ca="1" si="269"/>
        <v>1</v>
      </c>
      <c r="AP86" s="36">
        <f t="shared" ca="1" si="269"/>
        <v>0</v>
      </c>
      <c r="AQ86" s="36">
        <f t="shared" ca="1" si="269"/>
        <v>0</v>
      </c>
      <c r="AR86" s="36">
        <f t="shared" ca="1" si="269"/>
        <v>3</v>
      </c>
      <c r="AS86" s="36">
        <f t="shared" ca="1" si="269"/>
        <v>1</v>
      </c>
      <c r="AT86" s="41">
        <f t="shared" ca="1" si="269"/>
        <v>2</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31"/>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31"/>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32"/>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1</v>
      </c>
      <c r="AO89" s="47">
        <f t="shared" ca="1" si="269"/>
        <v>0</v>
      </c>
      <c r="AP89" s="47">
        <f t="shared" ca="1" si="269"/>
        <v>0</v>
      </c>
      <c r="AQ89" s="47">
        <f t="shared" ca="1" si="269"/>
        <v>1</v>
      </c>
      <c r="AR89" s="47">
        <f t="shared" ca="1" si="269"/>
        <v>1</v>
      </c>
      <c r="AS89" s="47">
        <f t="shared" ca="1" si="269"/>
        <v>3</v>
      </c>
      <c r="AT89" s="48">
        <f t="shared" ca="1" si="269"/>
        <v>-2</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27"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27"/>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27"/>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27"/>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3</v>
      </c>
      <c r="AN95" s="39">
        <f t="shared" ca="1" si="287"/>
        <v>1</v>
      </c>
      <c r="AO95" s="39">
        <f t="shared" ca="1" si="287"/>
        <v>1</v>
      </c>
      <c r="AP95" s="39">
        <f t="shared" ca="1" si="287"/>
        <v>0</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27"/>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28"/>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ABCDEFGK</v>
      </c>
      <c r="BA101" s="168"/>
    </row>
    <row r="102" spans="1:62" ht="16" customHeight="1">
      <c r="A102" s="16" t="s">
        <v>673</v>
      </c>
      <c r="B102" s="16" t="s">
        <v>734</v>
      </c>
      <c r="C102" s="16"/>
      <c r="D102" s="16" t="str">
        <f t="shared" si="289"/>
        <v>W76</v>
      </c>
      <c r="E102" s="16" t="s">
        <v>3</v>
      </c>
      <c r="F102" s="16" t="s">
        <v>733</v>
      </c>
      <c r="G102" s="16" t="s">
        <v>1</v>
      </c>
      <c r="H102" s="16">
        <f t="shared" ca="1" si="290"/>
        <v>8</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23">
        <f t="array" aca="1" ref="AK102" ca="1">Ver_flag_visit</f>
        <v>#VALUE!</v>
      </c>
      <c r="AL102" s="79" t="str">
        <f t="shared" ref="AL102:AL113" ca="1" si="297">+IF($H$113&gt;=48,INDEX($BD$58:$BD$69,MATCH(AI102,$BN$58:$BN$69,0)),BB58)</f>
        <v>Suecia</v>
      </c>
      <c r="AM102" s="567">
        <f ca="1">+IF($H$113&gt;=48,INDEX($BE$58:$BN$69,MATCH($AL102,$BD$58:$BD$69,0),MATCH(AM$5,$BE$57:$BN$57,0)),$BB58)</f>
        <v>3</v>
      </c>
      <c r="AN102" s="80">
        <f ca="1">+IF($H$113&gt;=48,INDEX($BE$58:$BN$69,MATCH($AL102,$BD$58:$BD$69,0),MATCH(AN$5,$BE$57:$BN$57,0)),$BB58)</f>
        <v>2</v>
      </c>
      <c r="AO102" s="80">
        <f t="shared" ref="AO102:AT102" ca="1" si="298">+IF($H$113&gt;=48,INDEX($BE$58:$BN$69,MATCH($AL102,$BD$58:$BD$69,0),MATCH(AO$5,$BE$57:$BN$57,0)),$BB58)</f>
        <v>1</v>
      </c>
      <c r="AP102" s="80">
        <f t="shared" ca="1" si="298"/>
        <v>0</v>
      </c>
      <c r="AQ102" s="81">
        <f t="shared" ca="1" si="298"/>
        <v>1</v>
      </c>
      <c r="AR102" s="81">
        <f t="shared" ca="1" si="298"/>
        <v>6</v>
      </c>
      <c r="AS102" s="81">
        <f t="shared" ca="1" si="298"/>
        <v>6</v>
      </c>
      <c r="AT102" s="82">
        <f t="shared" ca="1" si="298"/>
        <v>0</v>
      </c>
      <c r="AU102" s="316" t="str">
        <f t="shared" ref="AU102:AU113" ca="1" si="299">IF($H$113=144,INDEX($DL$58:$DL$69,MATCH(AI102,$DP$58:$DP$69,0)),"")</f>
        <v/>
      </c>
      <c r="AV102" s="174" t="str">
        <f t="shared" ref="AV102:AV113" ca="1" si="300">INDEX($BD$58:$BD$69,MATCH(AI102,$BM$58:$BM$69,0))</f>
        <v>Suecia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8</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33"/>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12">
        <f t="array" aca="1" ref="AK103" ca="1">Ver_flag_visit</f>
        <v>#VALUE!</v>
      </c>
      <c r="AL103" s="83" t="str">
        <f t="shared" ca="1" si="297"/>
        <v>Escocia</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1</v>
      </c>
      <c r="AS103" s="84">
        <f t="shared" ca="1" si="302"/>
        <v>1</v>
      </c>
      <c r="AT103" s="85">
        <f t="shared" ca="1" si="302"/>
        <v>0</v>
      </c>
      <c r="AU103" s="316" t="str">
        <f t="shared" ca="1" si="299"/>
        <v/>
      </c>
      <c r="AV103" s="174" t="str">
        <f t="shared" ca="1" si="300"/>
        <v>Escocia</v>
      </c>
      <c r="AW103" s="207"/>
      <c r="AX103" s="162"/>
      <c r="AY103" s="263"/>
      <c r="AZ103" s="265" t="str">
        <f t="shared" ref="AZ103:AZ110" ca="1" si="303">+IF(OR($H$113&gt;=48,$AJ$99=144),BF117&amp;" - "&amp;BG117,"")</f>
        <v>1A - 3C</v>
      </c>
      <c r="BA103" s="168"/>
      <c r="BF103" t="str">
        <f t="shared" ref="BF103:BF110" ca="1" si="304">IFERROR(INDEX($BC$6:$BC$53,MATCH(AL102,$BD$6:$BD$53,0)),"")</f>
        <v>F</v>
      </c>
      <c r="BG103">
        <f t="shared" ref="BG103:BG110" ca="1" si="305">COUNTIF($BF$103:$BF$110,"&lt;="&amp;BF103)</f>
        <v>6</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33"/>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14">
        <f t="array" aca="1" ref="AK104" ca="1">Ver_flag_visit</f>
        <v>#VALUE!</v>
      </c>
      <c r="AL104" s="83" t="str">
        <f t="shared" ca="1" si="297"/>
        <v>Paraguay</v>
      </c>
      <c r="AM104" s="568">
        <f t="shared" ca="1" si="301"/>
        <v>3</v>
      </c>
      <c r="AN104" s="84">
        <f t="shared" ref="AN104:AT104" ca="1" si="307">+IF($H$113&gt;=48,INDEX($BE$58:$BN$69,MATCH($AL104,$BD$58:$BD$69,0),MATCH(AN$5,$BE$57:$BN$57,0)),$BB60)</f>
        <v>2</v>
      </c>
      <c r="AO104" s="84">
        <f t="shared" ca="1" si="307"/>
        <v>1</v>
      </c>
      <c r="AP104" s="84">
        <f t="shared" ca="1" si="307"/>
        <v>0</v>
      </c>
      <c r="AQ104" s="84">
        <f t="shared" ca="1" si="307"/>
        <v>1</v>
      </c>
      <c r="AR104" s="84">
        <f t="shared" ca="1" si="307"/>
        <v>2</v>
      </c>
      <c r="AS104" s="84">
        <f t="shared" ca="1" si="307"/>
        <v>4</v>
      </c>
      <c r="AT104" s="85">
        <f t="shared" ca="1" si="307"/>
        <v>-2</v>
      </c>
      <c r="AU104" s="316" t="str">
        <f t="shared" ca="1" si="299"/>
        <v/>
      </c>
      <c r="AV104" s="174" t="str">
        <f t="shared" ca="1" si="300"/>
        <v>Paraguay</v>
      </c>
      <c r="AW104" s="207"/>
      <c r="AX104" s="162"/>
      <c r="AY104" s="263"/>
      <c r="AZ104" s="265" t="str">
        <f t="shared" ca="1" si="303"/>
        <v>1B - 3G</v>
      </c>
      <c r="BA104" s="168"/>
      <c r="BF104" t="str">
        <f t="shared" ca="1" si="304"/>
        <v>C</v>
      </c>
      <c r="BG104">
        <f t="shared" ca="1" si="305"/>
        <v>3</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8</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28">
        <f t="array" aca="1" ref="AK105" ca="1">Ver_flag_visit</f>
        <v>#VALUE!</v>
      </c>
      <c r="AL105" s="83" t="str">
        <f t="shared" ca="1" si="297"/>
        <v>Nueva Zelanda</v>
      </c>
      <c r="AM105" s="568">
        <f t="shared" ca="1" si="301"/>
        <v>1</v>
      </c>
      <c r="AN105" s="84">
        <f t="shared" ref="AN105:AT105" ca="1" si="308">+IF($H$113&gt;=48,INDEX($BE$58:$BN$69,MATCH($AL105,$BD$58:$BD$69,0),MATCH(AN$5,$BE$57:$BN$57,0)),$BB61)</f>
        <v>1</v>
      </c>
      <c r="AO105" s="84">
        <f t="shared" ca="1" si="308"/>
        <v>0</v>
      </c>
      <c r="AP105" s="84">
        <f t="shared" ca="1" si="308"/>
        <v>1</v>
      </c>
      <c r="AQ105" s="84">
        <f t="shared" ca="1" si="308"/>
        <v>0</v>
      </c>
      <c r="AR105" s="84">
        <f t="shared" ca="1" si="308"/>
        <v>2</v>
      </c>
      <c r="AS105" s="84">
        <f t="shared" ca="1" si="308"/>
        <v>2</v>
      </c>
      <c r="AT105" s="85">
        <f t="shared" ca="1" si="308"/>
        <v>0</v>
      </c>
      <c r="AU105" s="316" t="str">
        <f t="shared" ca="1" si="299"/>
        <v/>
      </c>
      <c r="AV105" s="174" t="str">
        <f t="shared" ca="1" si="300"/>
        <v>Nueva Zelanda</v>
      </c>
      <c r="AW105" s="207"/>
      <c r="AX105" s="162"/>
      <c r="AY105" s="263"/>
      <c r="AZ105" s="265" t="str">
        <f t="shared" ca="1" si="303"/>
        <v>1D - 3B</v>
      </c>
      <c r="BA105" s="168"/>
      <c r="BF105" t="str">
        <f t="shared" ca="1" si="304"/>
        <v>D</v>
      </c>
      <c r="BG105">
        <f t="shared" ca="1" si="305"/>
        <v>4</v>
      </c>
      <c r="BI105">
        <v>3</v>
      </c>
      <c r="BJ105" t="str">
        <f t="shared" ca="1" si="306"/>
        <v>C</v>
      </c>
    </row>
    <row r="106" spans="1:62" ht="16" customHeight="1">
      <c r="A106" s="16" t="s">
        <v>674</v>
      </c>
      <c r="B106" s="16" t="s">
        <v>686</v>
      </c>
      <c r="C106" s="16"/>
      <c r="D106" s="16" t="str">
        <f t="shared" si="289"/>
        <v>W77</v>
      </c>
      <c r="E106" s="16" t="s">
        <v>3</v>
      </c>
      <c r="F106" s="16" t="s">
        <v>448</v>
      </c>
      <c r="G106" s="16" t="s">
        <v>4</v>
      </c>
      <c r="H106" s="16">
        <f t="shared" ca="1" si="290"/>
        <v>8</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42">
        <f t="array" aca="1" ref="AK106" ca="1">Ver_flag_visit</f>
        <v>#VALUE!</v>
      </c>
      <c r="AL106" s="83" t="str">
        <f t="shared" ca="1" si="297"/>
        <v>RD Congo</v>
      </c>
      <c r="AM106" s="568">
        <f t="shared" ca="1" si="301"/>
        <v>1</v>
      </c>
      <c r="AN106" s="84">
        <f t="shared" ref="AN106:AT106" ca="1" si="309">+IF($H$113&gt;=48,INDEX($BE$58:$BN$69,MATCH($AL106,$BD$58:$BD$69,0),MATCH(AN$5,$BE$57:$BN$57,0)),$BB62)</f>
        <v>1</v>
      </c>
      <c r="AO106" s="84">
        <f t="shared" ca="1" si="309"/>
        <v>0</v>
      </c>
      <c r="AP106" s="84">
        <f t="shared" ca="1" si="309"/>
        <v>1</v>
      </c>
      <c r="AQ106" s="84">
        <f t="shared" ca="1" si="309"/>
        <v>0</v>
      </c>
      <c r="AR106" s="84">
        <f t="shared" ca="1" si="309"/>
        <v>1</v>
      </c>
      <c r="AS106" s="84">
        <f t="shared" ca="1" si="309"/>
        <v>1</v>
      </c>
      <c r="AT106" s="85">
        <f t="shared" ca="1" si="309"/>
        <v>0</v>
      </c>
      <c r="AU106" s="316" t="str">
        <f t="shared" ca="1" si="299"/>
        <v/>
      </c>
      <c r="AV106" s="174" t="str">
        <f t="shared" ca="1" si="300"/>
        <v>RD Congo</v>
      </c>
      <c r="AW106" s="207"/>
      <c r="AX106" s="162"/>
      <c r="AY106" s="263"/>
      <c r="AZ106" s="265" t="str">
        <f t="shared" ca="1" si="303"/>
        <v>1E - 3D</v>
      </c>
      <c r="BA106" s="168"/>
      <c r="BF106" t="str">
        <f t="shared" ca="1" si="304"/>
        <v>G</v>
      </c>
      <c r="BG106">
        <f t="shared" ca="1" si="305"/>
        <v>7</v>
      </c>
      <c r="BI106">
        <v>4</v>
      </c>
      <c r="BJ106" t="str">
        <f t="shared" ca="1" si="306"/>
        <v>D</v>
      </c>
    </row>
    <row r="107" spans="1:62" ht="16" customHeight="1">
      <c r="A107" s="16" t="s">
        <v>657</v>
      </c>
      <c r="B107" s="16" t="s">
        <v>736</v>
      </c>
      <c r="C107" s="16"/>
      <c r="D107" s="16" t="str">
        <f t="shared" si="289"/>
        <v>W79</v>
      </c>
      <c r="E107" s="16" t="s">
        <v>0</v>
      </c>
      <c r="F107" s="16" t="s">
        <v>733</v>
      </c>
      <c r="G107" s="16" t="s">
        <v>6</v>
      </c>
      <c r="H107" s="16">
        <f t="shared" ca="1" si="290"/>
        <v>6</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33"/>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4">
        <f t="array" aca="1" ref="AK107" ca="1">Ver_flag_visit</f>
        <v>#VALUE!</v>
      </c>
      <c r="AL107" s="83" t="str">
        <f t="shared" ca="1" si="297"/>
        <v>República Checa</v>
      </c>
      <c r="AM107" s="568">
        <f t="shared" ca="1" si="301"/>
        <v>1</v>
      </c>
      <c r="AN107" s="84">
        <f t="shared" ref="AN107:AT107" ca="1" si="310">+IF($H$113&gt;=48,INDEX($BE$58:$BN$69,MATCH($AL107,$BD$58:$BD$69,0),MATCH(AN$5,$BE$57:$BN$57,0)),$BB63)</f>
        <v>2</v>
      </c>
      <c r="AO107" s="84">
        <f t="shared" ca="1" si="310"/>
        <v>0</v>
      </c>
      <c r="AP107" s="84">
        <f t="shared" ca="1" si="310"/>
        <v>1</v>
      </c>
      <c r="AQ107" s="84">
        <f t="shared" ca="1" si="310"/>
        <v>1</v>
      </c>
      <c r="AR107" s="84">
        <f t="shared" ca="1" si="310"/>
        <v>2</v>
      </c>
      <c r="AS107" s="84">
        <f t="shared" ca="1" si="310"/>
        <v>3</v>
      </c>
      <c r="AT107" s="85">
        <f t="shared" ca="1" si="310"/>
        <v>-1</v>
      </c>
      <c r="AU107" s="316" t="str">
        <f t="shared" ca="1" si="299"/>
        <v/>
      </c>
      <c r="AV107" s="174" t="str">
        <f ca="1">INDEX($BD$58:$BD$69,MATCH(AI107,$BM$58:$BM$69,0))</f>
        <v>República Checa</v>
      </c>
      <c r="AW107" s="207"/>
      <c r="AX107" s="162"/>
      <c r="AY107" s="263"/>
      <c r="AZ107" s="265" t="str">
        <f t="shared" ca="1" si="303"/>
        <v>1G - 3A</v>
      </c>
      <c r="BA107" s="168"/>
      <c r="BF107" t="str">
        <f t="shared" ca="1" si="304"/>
        <v>K</v>
      </c>
      <c r="BG107">
        <f t="shared" ca="1" si="305"/>
        <v>8</v>
      </c>
      <c r="BI107">
        <v>5</v>
      </c>
      <c r="BJ107" t="str">
        <f t="shared" ca="1" si="306"/>
        <v>E</v>
      </c>
    </row>
    <row r="108" spans="1:62" ht="16" customHeight="1">
      <c r="A108" s="16" t="s">
        <v>694</v>
      </c>
      <c r="B108" s="16" t="s">
        <v>737</v>
      </c>
      <c r="C108" s="16"/>
      <c r="D108" s="16" t="str">
        <f t="shared" si="289"/>
        <v>W80</v>
      </c>
      <c r="E108" s="16" t="s">
        <v>247</v>
      </c>
      <c r="F108" s="16" t="s">
        <v>733</v>
      </c>
      <c r="G108" s="16" t="s">
        <v>447</v>
      </c>
      <c r="H108" s="16">
        <f t="shared" ca="1" si="290"/>
        <v>6</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33"/>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20">
        <f t="array" aca="1" ref="AK108" ca="1">Ver_flag_visit</f>
        <v>#VALUE!</v>
      </c>
      <c r="AL108" s="83" t="str">
        <f t="shared" ca="1" si="297"/>
        <v>Ecuador</v>
      </c>
      <c r="AM108" s="568">
        <f t="shared" ca="1" si="301"/>
        <v>1</v>
      </c>
      <c r="AN108" s="84">
        <f t="shared" ref="AN108:AT108" ca="1" si="311">+IF($H$113&gt;=48,INDEX($BE$58:$BN$69,MATCH($AL108,$BD$58:$BD$69,0),MATCH(AN$5,$BE$57:$BN$57,0)),$BB64)</f>
        <v>2</v>
      </c>
      <c r="AO108" s="84">
        <f t="shared" ca="1" si="311"/>
        <v>0</v>
      </c>
      <c r="AP108" s="84">
        <f t="shared" ca="1" si="311"/>
        <v>1</v>
      </c>
      <c r="AQ108" s="84">
        <f t="shared" ca="1" si="311"/>
        <v>1</v>
      </c>
      <c r="AR108" s="84">
        <f t="shared" ca="1" si="311"/>
        <v>0</v>
      </c>
      <c r="AS108" s="84">
        <f t="shared" ca="1" si="311"/>
        <v>1</v>
      </c>
      <c r="AT108" s="85">
        <f t="shared" ca="1" si="311"/>
        <v>-1</v>
      </c>
      <c r="AU108" s="316" t="str">
        <f t="shared" ca="1" si="299"/>
        <v/>
      </c>
      <c r="AV108" s="174" t="str">
        <f t="shared" ca="1" si="300"/>
        <v>Ecuador</v>
      </c>
      <c r="AW108" s="207"/>
      <c r="AX108" s="162"/>
      <c r="AY108" s="263"/>
      <c r="AZ108" s="265" t="str">
        <f t="shared" ca="1" si="303"/>
        <v>1I - 3F</v>
      </c>
      <c r="BA108" s="168"/>
      <c r="BF108" t="str">
        <f t="shared" ca="1" si="304"/>
        <v>A</v>
      </c>
      <c r="BG108">
        <f t="shared" ca="1" si="305"/>
        <v>1</v>
      </c>
      <c r="BI108">
        <v>6</v>
      </c>
      <c r="BJ108" t="str">
        <f t="shared" ca="1" si="306"/>
        <v>F</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6">
        <f t="array" aca="1" ref="AK109" ca="1">Ver_flag_visit</f>
        <v>#VALUE!</v>
      </c>
      <c r="AL109" s="83" t="str">
        <f t="shared" ca="1" si="297"/>
        <v>Bosnia y Herzegovina</v>
      </c>
      <c r="AM109" s="568">
        <f t="shared" ca="1" si="301"/>
        <v>1</v>
      </c>
      <c r="AN109" s="84">
        <f t="shared" ref="AN109:AT109" ca="1" si="312">+IF($H$113&gt;=48,INDEX($BE$58:$BN$69,MATCH($AL109,$BD$58:$BD$69,0),MATCH(AN$5,$BE$57:$BN$57,0)),$BB65)</f>
        <v>2</v>
      </c>
      <c r="AO109" s="84">
        <f t="shared" ca="1" si="312"/>
        <v>0</v>
      </c>
      <c r="AP109" s="84">
        <f t="shared" ca="1" si="312"/>
        <v>1</v>
      </c>
      <c r="AQ109" s="84">
        <f t="shared" ca="1" si="312"/>
        <v>1</v>
      </c>
      <c r="AR109" s="84">
        <f t="shared" ca="1" si="312"/>
        <v>2</v>
      </c>
      <c r="AS109" s="84">
        <f t="shared" ca="1" si="312"/>
        <v>5</v>
      </c>
      <c r="AT109" s="85">
        <f t="shared" ca="1" si="312"/>
        <v>-3</v>
      </c>
      <c r="AU109" s="316" t="str">
        <f t="shared" ca="1" si="299"/>
        <v/>
      </c>
      <c r="AV109" s="174" t="str">
        <f t="shared" ca="1" si="300"/>
        <v>Bosnia y Herzegovina</v>
      </c>
      <c r="AW109" s="207"/>
      <c r="AX109" s="162"/>
      <c r="AY109" s="263"/>
      <c r="AZ109" s="265" t="str">
        <f t="shared" ca="1" si="303"/>
        <v>1K - 3E</v>
      </c>
      <c r="BA109" s="168"/>
      <c r="BF109" t="str">
        <f t="shared" ca="1" si="304"/>
        <v>E</v>
      </c>
      <c r="BG109">
        <f t="shared" ca="1" si="305"/>
        <v>5</v>
      </c>
      <c r="BI109">
        <v>7</v>
      </c>
      <c r="BJ109" t="str">
        <f t="shared" ca="1" si="306"/>
        <v>G</v>
      </c>
    </row>
    <row r="110" spans="1:62" ht="16" customHeight="1">
      <c r="A110" s="16" t="s">
        <v>679</v>
      </c>
      <c r="B110" s="16" t="s">
        <v>739</v>
      </c>
      <c r="C110" s="16"/>
      <c r="D110" s="16" t="str">
        <f t="shared" si="289"/>
        <v>W81</v>
      </c>
      <c r="E110" s="16" t="s">
        <v>6</v>
      </c>
      <c r="F110" s="16" t="s">
        <v>733</v>
      </c>
      <c r="G110" s="16" t="s">
        <v>5</v>
      </c>
      <c r="H110" s="16">
        <f t="shared" ca="1" si="290"/>
        <v>4</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31">
        <f t="array" aca="1" ref="AK110" ca="1">Ver_flag_visit</f>
        <v>#VALUE!</v>
      </c>
      <c r="AL110" s="83" t="str">
        <f t="shared" ca="1" si="297"/>
        <v>Arabia Saudita</v>
      </c>
      <c r="AM110" s="568">
        <f t="shared" ca="1" si="301"/>
        <v>1</v>
      </c>
      <c r="AN110" s="84">
        <f t="shared" ref="AN110:AT110" ca="1" si="313">+IF($H$113&gt;=48,INDEX($BE$58:$BN$69,MATCH($AL110,$BD$58:$BD$69,0),MATCH(AN$5,$BE$57:$BN$57,0)),$BB66)</f>
        <v>2</v>
      </c>
      <c r="AO110" s="84">
        <f t="shared" ca="1" si="313"/>
        <v>0</v>
      </c>
      <c r="AP110" s="84">
        <f t="shared" ca="1" si="313"/>
        <v>1</v>
      </c>
      <c r="AQ110" s="84">
        <f t="shared" ca="1" si="313"/>
        <v>1</v>
      </c>
      <c r="AR110" s="84">
        <f t="shared" ca="1" si="313"/>
        <v>1</v>
      </c>
      <c r="AS110" s="84">
        <f t="shared" ca="1" si="313"/>
        <v>5</v>
      </c>
      <c r="AT110" s="85">
        <f t="shared" ca="1" si="313"/>
        <v>-4</v>
      </c>
      <c r="AU110" s="316" t="str">
        <f t="shared" ca="1" si="299"/>
        <v/>
      </c>
      <c r="AV110" s="174" t="str">
        <f t="shared" ca="1" si="300"/>
        <v>Arabia Saudita</v>
      </c>
      <c r="AW110" s="207"/>
      <c r="AX110" s="162"/>
      <c r="AY110" s="263"/>
      <c r="AZ110" s="265" t="str">
        <f t="shared" ca="1" si="303"/>
        <v>1L - 3K</v>
      </c>
      <c r="BA110" s="168"/>
      <c r="BF110" t="str">
        <f t="shared" ca="1" si="304"/>
        <v>B</v>
      </c>
      <c r="BG110">
        <f t="shared" ca="1" si="305"/>
        <v>2</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4</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33"/>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48">
        <f t="array" aca="1" ref="AK111" ca="1">Ver_flag_visit</f>
        <v>#VALUE!</v>
      </c>
      <c r="AL111" s="83" t="str">
        <f t="shared" ca="1" si="297"/>
        <v>Panamá</v>
      </c>
      <c r="AM111" s="568">
        <f t="shared" ca="1" si="301"/>
        <v>0</v>
      </c>
      <c r="AN111" s="84">
        <f t="shared" ref="AN111:AT111" ca="1" si="314">+IF($H$113&gt;=48,INDEX($BE$58:$BN$69,MATCH($AL111,$BD$58:$BD$69,0),MATCH(AN$5,$BE$57:$BN$57,0)),$BB67)</f>
        <v>1</v>
      </c>
      <c r="AO111" s="84">
        <f t="shared" ca="1" si="314"/>
        <v>0</v>
      </c>
      <c r="AP111" s="84">
        <f t="shared" ca="1" si="314"/>
        <v>0</v>
      </c>
      <c r="AQ111" s="84">
        <f t="shared" ca="1" si="314"/>
        <v>1</v>
      </c>
      <c r="AR111" s="84">
        <f t="shared" ca="1" si="314"/>
        <v>0</v>
      </c>
      <c r="AS111" s="84">
        <f t="shared" ca="1" si="314"/>
        <v>1</v>
      </c>
      <c r="AT111" s="85">
        <f t="shared" ca="1" si="314"/>
        <v>-1</v>
      </c>
      <c r="AU111" s="316" t="str">
        <f t="shared" ca="1" si="299"/>
        <v/>
      </c>
      <c r="AV111" s="174" t="str">
        <f t="shared" ca="1" si="300"/>
        <v>Panamá</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4</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40">
        <f t="array" aca="1" ref="AK112" ca="1">Ver_flag_visit</f>
        <v>#VALUE!</v>
      </c>
      <c r="AL112" s="83" t="str">
        <f t="shared" ca="1" si="297"/>
        <v>Jordania</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1</v>
      </c>
      <c r="AS112" s="84">
        <f t="shared" ca="1" si="315"/>
        <v>3</v>
      </c>
      <c r="AT112" s="85">
        <f t="shared" ca="1" si="315"/>
        <v>-2</v>
      </c>
      <c r="AU112" s="316" t="str">
        <f t="shared" ca="1" si="299"/>
        <v/>
      </c>
      <c r="AV112" s="174" t="str">
        <f t="shared" ca="1" si="300"/>
        <v>Jordania</v>
      </c>
      <c r="AW112" s="207"/>
      <c r="AX112" s="162"/>
      <c r="AY112" s="262"/>
      <c r="AZ112" s="262"/>
      <c r="BA112" s="168"/>
      <c r="BI112" t="str">
        <f ca="1">IFERROR(CONCATENATE(BJ103,BJ104,BJ105,BJ106,BJ107,BJ108,BJ109,BJ110),"¿A/B/C/D/E/F/G/H/I/J/K/L?")</f>
        <v>ABCDEFGK</v>
      </c>
    </row>
    <row r="113" spans="1:59" ht="16" customHeight="1" thickBot="1">
      <c r="A113" s="16" t="s">
        <v>660</v>
      </c>
      <c r="B113" s="16" t="s">
        <v>740</v>
      </c>
      <c r="C113" s="16"/>
      <c r="D113" s="16" t="str">
        <f t="shared" si="289"/>
        <v>W85</v>
      </c>
      <c r="E113" s="16" t="s">
        <v>1</v>
      </c>
      <c r="F113" s="16" t="s">
        <v>733</v>
      </c>
      <c r="G113" s="16" t="s">
        <v>733</v>
      </c>
      <c r="H113" s="16">
        <f ca="1">+IF($AJ$99&lt;&gt;144,SUM(H101:H112),$AJ$99)</f>
        <v>76</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1</v>
      </c>
      <c r="AO113" s="47">
        <f t="shared" ca="1" si="316"/>
        <v>0</v>
      </c>
      <c r="AP113" s="47">
        <f t="shared" ca="1" si="316"/>
        <v>0</v>
      </c>
      <c r="AQ113" s="47">
        <f t="shared" ca="1" si="316"/>
        <v>1</v>
      </c>
      <c r="AR113" s="47">
        <f t="shared" ca="1" si="316"/>
        <v>1</v>
      </c>
      <c r="AS113" s="47">
        <f t="shared" ca="1" si="316"/>
        <v>3</v>
      </c>
      <c r="AT113" s="48">
        <f t="shared" ca="1" si="316"/>
        <v>-2</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33"/>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3C</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3E</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5"/>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5"/>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0</v>
      </c>
      <c r="H6" s="7">
        <f>IF(AND(NOT(ISBLANK(WORLDCUP!AC8)),NOT(ISBLANK(WORLDCUP!AD8))),1,0)</f>
        <v>0</v>
      </c>
      <c r="J6" s="613">
        <f ca="1">WORLDCUP!X8</f>
        <v>46198.125</v>
      </c>
      <c r="K6" s="614">
        <f ca="1">WORLDCUP!Y8</f>
        <v>46198.125</v>
      </c>
    </row>
    <row r="7" spans="1:11">
      <c r="A7" s="7">
        <v>6</v>
      </c>
      <c r="B7" s="611" t="str">
        <f ca="1">WORLDCUP!AA9</f>
        <v>Sudáfrica</v>
      </c>
      <c r="C7" t="str">
        <f ca="1">WORLDCUP!AF9</f>
        <v>Corea del Sur</v>
      </c>
      <c r="D7" s="7">
        <f>WORLDCUP!AC9</f>
        <v>0</v>
      </c>
      <c r="E7" s="7">
        <f>WORLDCUP!AD9</f>
        <v>0</v>
      </c>
      <c r="H7" s="7">
        <f>IF(AND(NOT(ISBLANK(WORLDCUP!AC9)),NOT(ISBLANK(WORLDCUP!AD9))),1,0)</f>
        <v>0</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0</v>
      </c>
      <c r="E12" s="7">
        <f>WORLDCUP!AD16</f>
        <v>0</v>
      </c>
      <c r="H12" s="7">
        <f>IF(AND(NOT(ISBLANK(WORLDCUP!AC16)),NOT(ISBLANK(WORLDCUP!AD16))),1,0)</f>
        <v>0</v>
      </c>
      <c r="J12" s="613">
        <f ca="1">WORLDCUP!X16</f>
        <v>46197.875</v>
      </c>
      <c r="K12" s="614">
        <f ca="1">WORLDCUP!Y16</f>
        <v>46197.875</v>
      </c>
    </row>
    <row r="13" spans="1:11">
      <c r="A13" s="7">
        <v>12</v>
      </c>
      <c r="B13" s="611" t="str">
        <f ca="1">WORLDCUP!AA17</f>
        <v>Bosnia y Herzegovina</v>
      </c>
      <c r="C13" t="str">
        <f ca="1">WORLDCUP!AF17</f>
        <v>Catar</v>
      </c>
      <c r="D13" s="7">
        <f>WORLDCUP!AC17</f>
        <v>0</v>
      </c>
      <c r="E13" s="7">
        <f>WORLDCUP!AD17</f>
        <v>0</v>
      </c>
      <c r="H13" s="7">
        <f>IF(AND(NOT(ISBLANK(WORLDCUP!AC17)),NOT(ISBLANK(WORLDCUP!AD17))),1,0)</f>
        <v>0</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0</v>
      </c>
      <c r="H18" s="7">
        <f>IF(AND(NOT(ISBLANK(WORLDCUP!AC24)),NOT(ISBLANK(WORLDCUP!AD24))),1,0)</f>
        <v>0</v>
      </c>
      <c r="J18" s="613">
        <f ca="1">WORLDCUP!X24</f>
        <v>46198</v>
      </c>
      <c r="K18" s="614">
        <f ca="1">WORLDCUP!Y24</f>
        <v>46198</v>
      </c>
    </row>
    <row r="19" spans="1:11">
      <c r="A19" s="7">
        <v>18</v>
      </c>
      <c r="B19" s="611" t="str">
        <f ca="1">WORLDCUP!AA25</f>
        <v>Marruecos</v>
      </c>
      <c r="C19" t="str">
        <f ca="1">WORLDCUP!AF25</f>
        <v>Haití</v>
      </c>
      <c r="D19" s="7">
        <f>WORLDCUP!AC25</f>
        <v>0</v>
      </c>
      <c r="E19" s="7">
        <f>WORLDCUP!AD25</f>
        <v>0</v>
      </c>
      <c r="H19" s="7">
        <f>IF(AND(NOT(ISBLANK(WORLDCUP!AC25)),NOT(ISBLANK(WORLDCUP!AD25))),1,0)</f>
        <v>0</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0</v>
      </c>
      <c r="E24" s="7">
        <f>WORLDCUP!AD32</f>
        <v>0</v>
      </c>
      <c r="H24" s="7">
        <f>IF(AND(NOT(ISBLANK(WORLDCUP!AC32)),NOT(ISBLANK(WORLDCUP!AD32))),1,0)</f>
        <v>0</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0</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0</v>
      </c>
      <c r="H30" s="7">
        <f>IF(AND(NOT(ISBLANK(WORLDCUP!AC40)),NOT(ISBLANK(WORLDCUP!AD40))),1,0)</f>
        <v>0</v>
      </c>
      <c r="J30" s="613">
        <f ca="1">WORLDCUP!X40</f>
        <v>46198.916666666664</v>
      </c>
      <c r="K30" s="614">
        <f ca="1">WORLDCUP!Y40</f>
        <v>46198.916666666664</v>
      </c>
    </row>
    <row r="31" spans="1:11">
      <c r="A31" s="7">
        <v>30</v>
      </c>
      <c r="B31" s="611" t="str">
        <f ca="1">WORLDCUP!AA41</f>
        <v>Ecuador</v>
      </c>
      <c r="C31" t="str">
        <f ca="1">WORLDCUP!AF41</f>
        <v>Alemania</v>
      </c>
      <c r="D31" s="7">
        <f>WORLDCUP!AC41</f>
        <v>0</v>
      </c>
      <c r="E31" s="7">
        <f>WORLDCUP!AD41</f>
        <v>0</v>
      </c>
      <c r="H31" s="7">
        <f>IF(AND(NOT(ISBLANK(WORLDCUP!AC41)),NOT(ISBLANK(WORLDCUP!AD41))),1,0)</f>
        <v>0</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0</v>
      </c>
      <c r="E36" s="7">
        <f>WORLDCUP!AD48</f>
        <v>0</v>
      </c>
      <c r="H36" s="7">
        <f>IF(AND(NOT(ISBLANK(WORLDCUP!AC48)),NOT(ISBLANK(WORLDCUP!AD48))),1,0)</f>
        <v>0</v>
      </c>
      <c r="J36" s="613">
        <f ca="1">WORLDCUP!X48</f>
        <v>46199.041666666664</v>
      </c>
      <c r="K36" s="614">
        <f ca="1">WORLDCUP!Y48</f>
        <v>46199.041666666664</v>
      </c>
    </row>
    <row r="37" spans="1:11">
      <c r="A37" s="7">
        <v>36</v>
      </c>
      <c r="B37" s="611" t="str">
        <f ca="1">WORLDCUP!AA49</f>
        <v>Túnez</v>
      </c>
      <c r="C37" t="str">
        <f ca="1">WORLDCUP!AF49</f>
        <v>Países Bajos</v>
      </c>
      <c r="D37" s="7">
        <f>WORLDCUP!AC49</f>
        <v>0</v>
      </c>
      <c r="E37" s="7">
        <f>WORLDCUP!AD49</f>
        <v>0</v>
      </c>
      <c r="H37" s="7">
        <f>IF(AND(NOT(ISBLANK(WORLDCUP!AC49)),NOT(ISBLANK(WORLDCUP!AD49))),1,0)</f>
        <v>0</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0</v>
      </c>
      <c r="E41" s="7">
        <f>WORLDCUP!AD55</f>
        <v>0</v>
      </c>
      <c r="H41" s="7">
        <f>IF(AND(NOT(ISBLANK(WORLDCUP!AC55)),NOT(ISBLANK(WORLDCUP!AD55))),1,0)</f>
        <v>0</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0</v>
      </c>
      <c r="E47" s="7">
        <f>WORLDCUP!AD63</f>
        <v>0</v>
      </c>
      <c r="H47" s="7">
        <f>IF(AND(NOT(ISBLANK(WORLDCUP!AC63)),NOT(ISBLANK(WORLDCUP!AD63))),1,0)</f>
        <v>0</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0</v>
      </c>
      <c r="E52" s="7">
        <f>WORLDCUP!AD70</f>
        <v>0</v>
      </c>
      <c r="H52" s="7">
        <f>IF(AND(NOT(ISBLANK(WORLDCUP!AC70)),NOT(ISBLANK(WORLDCUP!AD70))),1,0)</f>
        <v>0</v>
      </c>
      <c r="J52" s="613">
        <f ca="1">WORLDCUP!X70</f>
        <v>46195.958333333336</v>
      </c>
      <c r="K52" s="614">
        <f ca="1">WORLDCUP!Y70</f>
        <v>46195.958333333336</v>
      </c>
    </row>
    <row r="53" spans="1:11">
      <c r="A53" s="7">
        <v>52</v>
      </c>
      <c r="B53" s="611" t="str">
        <f ca="1">WORLDCUP!AA71</f>
        <v>Noruega</v>
      </c>
      <c r="C53" t="str">
        <f ca="1">WORLDCUP!AF71</f>
        <v>Senegal</v>
      </c>
      <c r="D53" s="7">
        <f>WORLDCUP!AC71</f>
        <v>0</v>
      </c>
      <c r="E53" s="7">
        <f>WORLDCUP!AD71</f>
        <v>0</v>
      </c>
      <c r="H53" s="7">
        <f>IF(AND(NOT(ISBLANK(WORLDCUP!AC71)),NOT(ISBLANK(WORLDCUP!AD71))),1,0)</f>
        <v>0</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0</v>
      </c>
      <c r="E58" s="7">
        <f>WORLDCUP!AD78</f>
        <v>0</v>
      </c>
      <c r="H58" s="7">
        <f>IF(AND(NOT(ISBLANK(WORLDCUP!AC78)),NOT(ISBLANK(WORLDCUP!AD78))),1,0)</f>
        <v>0</v>
      </c>
      <c r="J58" s="613">
        <f ca="1">WORLDCUP!X78</f>
        <v>46195.791666666664</v>
      </c>
      <c r="K58" s="614">
        <f ca="1">WORLDCUP!Y78</f>
        <v>46195.791666666664</v>
      </c>
    </row>
    <row r="59" spans="1:11">
      <c r="A59" s="7">
        <v>58</v>
      </c>
      <c r="B59" s="611" t="str">
        <f ca="1">WORLDCUP!AA79</f>
        <v>Jordania</v>
      </c>
      <c r="C59" t="str">
        <f ca="1">WORLDCUP!AF79</f>
        <v>Argelia</v>
      </c>
      <c r="D59" s="7">
        <f>WORLDCUP!AC79</f>
        <v>0</v>
      </c>
      <c r="E59" s="7">
        <f>WORLDCUP!AD79</f>
        <v>0</v>
      </c>
      <c r="H59" s="7">
        <f>IF(AND(NOT(ISBLANK(WORLDCUP!AC79)),NOT(ISBLANK(WORLDCUP!AD79))),1,0)</f>
        <v>0</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0</v>
      </c>
      <c r="E64" s="7">
        <f>WORLDCUP!AD86</f>
        <v>0</v>
      </c>
      <c r="H64" s="7">
        <f>IF(AND(NOT(ISBLANK(WORLDCUP!AC86)),NOT(ISBLANK(WORLDCUP!AD86))),1,0)</f>
        <v>0</v>
      </c>
      <c r="J64" s="613">
        <f ca="1">WORLDCUP!X86</f>
        <v>46196.791666666664</v>
      </c>
      <c r="K64" s="614">
        <f ca="1">WORLDCUP!Y86</f>
        <v>46196.791666666664</v>
      </c>
    </row>
    <row r="65" spans="1:11">
      <c r="A65" s="7">
        <v>64</v>
      </c>
      <c r="B65" s="611" t="str">
        <f ca="1">WORLDCUP!AA87</f>
        <v>Colombia</v>
      </c>
      <c r="C65" t="str">
        <f ca="1">WORLDCUP!AF87</f>
        <v>RD Congo</v>
      </c>
      <c r="D65" s="7">
        <f>WORLDCUP!AC87</f>
        <v>0</v>
      </c>
      <c r="E65" s="7">
        <f>WORLDCUP!AD87</f>
        <v>0</v>
      </c>
      <c r="H65" s="7">
        <f>IF(AND(NOT(ISBLANK(WORLDCUP!AC87)),NOT(ISBLANK(WORLDCUP!AD87))),1,0)</f>
        <v>0</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0</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0</v>
      </c>
      <c r="H71" s="7">
        <f>IF(AND(NOT(ISBLANK(WORLDCUP!AC95)),NOT(ISBLANK(WORLDCUP!AD95))),1,0)</f>
        <v>0</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2A</v>
      </c>
      <c r="C74" t="str">
        <f ca="1">WORLDCUP!AF101</f>
        <v>2B</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1C</v>
      </c>
      <c r="C75" t="str">
        <f ca="1">WORLDCUP!AF102</f>
        <v>2F</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1E</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1F</v>
      </c>
      <c r="C77" t="str">
        <f ca="1">WORLDCUP!AF104</f>
        <v>2C</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2E</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1A</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1D</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1B</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2D</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Corea del Sur</v>
      </c>
      <c r="J115" s="613"/>
    </row>
    <row r="116" spans="1:10">
      <c r="A116" s="7">
        <v>1002</v>
      </c>
      <c r="B116" t="s">
        <v>1521</v>
      </c>
      <c r="C116" s="7">
        <v>3</v>
      </c>
      <c r="D116" t="str">
        <f ca="1">WORLDCUP!AL8</f>
        <v>República Checa</v>
      </c>
      <c r="J116" s="613"/>
    </row>
    <row r="117" spans="1:10">
      <c r="A117" s="7">
        <v>1003</v>
      </c>
      <c r="B117" t="s">
        <v>1521</v>
      </c>
      <c r="C117" s="7">
        <v>4</v>
      </c>
      <c r="D117" t="str">
        <f ca="1">WORLDCUP!AL9</f>
        <v>Sudáfrica</v>
      </c>
      <c r="J117" s="613"/>
    </row>
    <row r="118" spans="1:10">
      <c r="A118" s="7">
        <v>1004</v>
      </c>
      <c r="B118" t="s">
        <v>1522</v>
      </c>
      <c r="C118" s="7">
        <v>1</v>
      </c>
      <c r="D118" t="str">
        <f ca="1">WORLDCUP!AL14</f>
        <v>Canadá</v>
      </c>
      <c r="J118" s="613"/>
    </row>
    <row r="119" spans="1:10">
      <c r="A119" s="7">
        <v>1005</v>
      </c>
      <c r="B119" t="s">
        <v>1522</v>
      </c>
      <c r="C119" s="7">
        <v>2</v>
      </c>
      <c r="D119" t="str">
        <f ca="1">WORLDCUP!AL15</f>
        <v>Suiza</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Irán</v>
      </c>
      <c r="J138" s="613"/>
    </row>
    <row r="139" spans="1:10">
      <c r="A139" s="7">
        <v>1025</v>
      </c>
      <c r="B139" t="s">
        <v>1527</v>
      </c>
      <c r="C139" s="7">
        <v>2</v>
      </c>
      <c r="D139" t="str">
        <f ca="1">WORLDCUP!AL55</f>
        <v>Bélgica</v>
      </c>
      <c r="J139" s="613"/>
    </row>
    <row r="140" spans="1:10">
      <c r="A140" s="7">
        <v>1026</v>
      </c>
      <c r="B140" t="s">
        <v>1527</v>
      </c>
      <c r="C140" s="7">
        <v>3</v>
      </c>
      <c r="D140" t="str">
        <f ca="1">WORLDCUP!AL56</f>
        <v>Nueva Zelanda</v>
      </c>
      <c r="J140" s="613"/>
    </row>
    <row r="141" spans="1:10">
      <c r="A141" s="7">
        <v>1027</v>
      </c>
      <c r="B141" t="s">
        <v>1527</v>
      </c>
      <c r="C141" s="7">
        <v>4</v>
      </c>
      <c r="D141" t="str">
        <f ca="1">WORLDCUP!AL57</f>
        <v>Egipto</v>
      </c>
      <c r="J141" s="613"/>
    </row>
    <row r="142" spans="1:10">
      <c r="A142" s="7">
        <v>1028</v>
      </c>
      <c r="B142" t="s">
        <v>1528</v>
      </c>
      <c r="C142" s="7">
        <v>1</v>
      </c>
      <c r="D142" t="str">
        <f ca="1">WORLDCUP!AL62</f>
        <v>España</v>
      </c>
      <c r="J142" s="613"/>
    </row>
    <row r="143" spans="1:10">
      <c r="A143" s="7">
        <v>1029</v>
      </c>
      <c r="B143" t="s">
        <v>1528</v>
      </c>
      <c r="C143" s="7">
        <v>2</v>
      </c>
      <c r="D143" t="str">
        <f ca="1">WORLDCUP!AL63</f>
        <v>Uruguay</v>
      </c>
      <c r="J143" s="613"/>
    </row>
    <row r="144" spans="1:10">
      <c r="A144" s="7">
        <v>1030</v>
      </c>
      <c r="B144" t="s">
        <v>1528</v>
      </c>
      <c r="C144" s="7">
        <v>3</v>
      </c>
      <c r="D144" t="str">
        <f ca="1">WORLDCUP!AL64</f>
        <v>Arabia Saudita</v>
      </c>
      <c r="J144" s="613"/>
    </row>
    <row r="145" spans="1:10">
      <c r="A145" s="7">
        <v>1031</v>
      </c>
      <c r="B145" t="s">
        <v>1528</v>
      </c>
      <c r="C145" s="7">
        <v>4</v>
      </c>
      <c r="D145" t="str">
        <f ca="1">WORLDCUP!AL65</f>
        <v>Cabo Verde</v>
      </c>
      <c r="J145" s="613"/>
    </row>
    <row r="146" spans="1:10">
      <c r="A146" s="7">
        <v>1032</v>
      </c>
      <c r="B146" t="s">
        <v>1529</v>
      </c>
      <c r="C146" s="7">
        <v>1</v>
      </c>
      <c r="D146" t="str">
        <f ca="1">WORLDCUP!AL70</f>
        <v>Noruega</v>
      </c>
      <c r="J146" s="613"/>
    </row>
    <row r="147" spans="1:10">
      <c r="A147" s="7">
        <v>1033</v>
      </c>
      <c r="B147" t="s">
        <v>1529</v>
      </c>
      <c r="C147" s="7">
        <v>2</v>
      </c>
      <c r="D147" t="str">
        <f ca="1">WORLDCUP!AL71</f>
        <v>Francia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Jordania</v>
      </c>
      <c r="J152" s="613"/>
    </row>
    <row r="153" spans="1:10">
      <c r="A153" s="7">
        <v>1039</v>
      </c>
      <c r="B153" t="s">
        <v>1530</v>
      </c>
      <c r="C153" s="7">
        <v>4</v>
      </c>
      <c r="D153" t="str">
        <f ca="1">WORLDCUP!AL81</f>
        <v>Argelia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Panamá</v>
      </c>
      <c r="J160" s="613"/>
    </row>
    <row r="161" spans="1:10">
      <c r="A161" s="7">
        <v>1047</v>
      </c>
      <c r="B161" t="s">
        <v>1532</v>
      </c>
      <c r="C161" s="7">
        <v>4</v>
      </c>
      <c r="D161" t="str">
        <f ca="1">WORLDCUP!AL97</f>
        <v>Croacia</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0|-</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0|-</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1º GRUPO A</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2º GRUPO 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3º GRUPO A</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4º GRUPO 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1º GRUPO B</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2º GRUPO B</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3º GRUPO B</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4º GRUPO B</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1º GRUPO C</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2º GRUPO C</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3º GRUPO C</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4º GRUPO C</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1º GRUPO D</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2º GRUPO D</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3º GRUPO D</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4º GRUPO D</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1º GRUPO E</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2º GRUPO E</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3º GRUPO E</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4º GRUPO E</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1º GRUPO F</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2º GRUPO F</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3º GRUPO F</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4º GRUPO F</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1º GRUPO G</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2º GRUPO G</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3º GRUPO G</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4º GRUPO G</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1º GRUPO H</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2º GRUPO H</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3º GRUPO H</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4º GRUPO H</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1º GRUPO I</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2º GRUPO I</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3º GRUPO I</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4º GRUPO I</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1º GRUPO J</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2º GRUPO J</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3º GRUPO J</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4º GRUPO J</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1º GRUPO K</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2º GRUPO K</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3º GRUPO K</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4º GRUPO K</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1º GRUPO L</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2º GRUPO L</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3º GRUPO L</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4º GRUPO L</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2A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1C</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1E</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1F</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2E</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1I</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1A</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1L</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1G</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1D</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1H</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2K</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1B</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2D</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1J</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1K</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2B</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2F</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3ABCDF</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2C</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2I</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3CDFGH</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3CEFHI</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3EHIJK</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3AEHIJ</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3BEFIJ</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2J</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2L</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3EFGIJ</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2G</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2H</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3DEIJL</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75"/>
      <c r="E165" s="694"/>
      <c r="F165" s="694"/>
      <c r="G165" s="694"/>
      <c r="H165" s="694"/>
      <c r="I165" s="338"/>
      <c r="J165" s="356"/>
      <c r="K165" s="356"/>
      <c r="L165" s="356"/>
      <c r="M165" s="372"/>
      <c r="N165" s="363"/>
    </row>
    <row r="166" spans="1:14" ht="15" customHeight="1">
      <c r="A166" s="673"/>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75"/>
      <c r="E166" s="694"/>
      <c r="F166" s="694"/>
      <c r="G166" s="694"/>
      <c r="H166" s="694"/>
      <c r="I166" s="338"/>
      <c r="J166" s="356"/>
      <c r="K166" s="356"/>
      <c r="L166" s="356"/>
      <c r="M166" s="372"/>
      <c r="N166" s="363"/>
    </row>
    <row r="167" spans="1:14" ht="15" customHeight="1">
      <c r="A167" s="673"/>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75"/>
      <c r="E167" s="694"/>
      <c r="F167" s="694"/>
      <c r="G167" s="694"/>
      <c r="H167" s="694"/>
      <c r="I167" s="338"/>
      <c r="J167" s="356"/>
      <c r="K167" s="356"/>
      <c r="L167" s="356"/>
      <c r="M167" s="372"/>
      <c r="N167" s="363"/>
    </row>
    <row r="168" spans="1:14" ht="15" customHeight="1">
      <c r="A168" s="673"/>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75"/>
      <c r="E168" s="356"/>
      <c r="F168" s="356"/>
      <c r="G168" s="356"/>
      <c r="H168" s="356"/>
      <c r="I168" s="338"/>
      <c r="J168" s="356"/>
      <c r="K168" s="356"/>
      <c r="L168" s="356"/>
      <c r="M168" s="372"/>
      <c r="N168" s="363"/>
    </row>
    <row r="169" spans="1:14" ht="15" customHeight="1">
      <c r="A169" s="673"/>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75"/>
      <c r="E169" s="356"/>
      <c r="F169" s="356"/>
      <c r="G169" s="356"/>
      <c r="H169" s="356"/>
      <c r="I169" s="338"/>
      <c r="J169" s="356"/>
      <c r="K169" s="356"/>
      <c r="L169" s="356"/>
      <c r="M169" s="372"/>
      <c r="N169" s="363"/>
    </row>
    <row r="170" spans="1:14" ht="15" customHeight="1">
      <c r="A170" s="673"/>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75"/>
      <c r="E170" s="356"/>
      <c r="F170" s="356"/>
      <c r="G170" s="356"/>
      <c r="H170" s="356"/>
      <c r="I170" s="338"/>
      <c r="J170" s="356"/>
      <c r="K170" s="356"/>
      <c r="L170" s="356"/>
      <c r="M170" s="372"/>
      <c r="N170" s="363"/>
    </row>
    <row r="171" spans="1:14" ht="15" customHeight="1">
      <c r="A171" s="673"/>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75"/>
      <c r="E171" s="356"/>
      <c r="F171" s="356"/>
      <c r="G171" s="356"/>
      <c r="H171" s="356"/>
      <c r="I171" s="338"/>
      <c r="J171" s="356"/>
      <c r="K171" s="356"/>
      <c r="L171" s="356"/>
      <c r="M171" s="372"/>
      <c r="N171" s="363"/>
    </row>
    <row r="172" spans="1:14" ht="15" customHeight="1">
      <c r="A172" s="673"/>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75"/>
      <c r="E172" s="356"/>
      <c r="F172" s="356"/>
      <c r="G172" s="356"/>
      <c r="H172" s="356"/>
      <c r="I172" s="338"/>
      <c r="J172" s="356"/>
      <c r="K172" s="356"/>
      <c r="L172" s="356"/>
      <c r="M172" s="372"/>
      <c r="N172" s="363"/>
    </row>
    <row r="173" spans="1:14" ht="15" customHeight="1">
      <c r="A173" s="673"/>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75"/>
      <c r="E173" s="356"/>
      <c r="F173" s="356"/>
      <c r="G173" s="356"/>
      <c r="H173" s="356"/>
      <c r="I173" s="338"/>
      <c r="J173" s="356"/>
      <c r="K173" s="356"/>
      <c r="L173" s="356"/>
      <c r="M173" s="372"/>
      <c r="N173" s="363"/>
    </row>
    <row r="174" spans="1:14" ht="15" customHeight="1">
      <c r="A174" s="673"/>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75"/>
      <c r="E174" s="356"/>
      <c r="F174" s="356"/>
      <c r="G174" s="356"/>
      <c r="H174" s="356"/>
      <c r="I174" s="338"/>
      <c r="J174" s="356"/>
      <c r="K174" s="356"/>
      <c r="L174" s="356"/>
      <c r="M174" s="372"/>
      <c r="N174" s="363"/>
    </row>
    <row r="175" spans="1:14" ht="15" customHeight="1">
      <c r="A175" s="673"/>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75"/>
      <c r="E175" s="356"/>
      <c r="F175" s="356"/>
      <c r="G175" s="356"/>
      <c r="H175" s="356"/>
      <c r="I175" s="338"/>
      <c r="J175" s="356"/>
      <c r="K175" s="356"/>
      <c r="L175" s="356"/>
      <c r="M175" s="372"/>
      <c r="N175" s="363"/>
    </row>
    <row r="176" spans="1:14" ht="15" customHeight="1">
      <c r="A176" s="673"/>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75"/>
      <c r="E176" s="356"/>
      <c r="F176" s="356"/>
      <c r="G176" s="356"/>
      <c r="H176" s="356"/>
      <c r="I176" s="338"/>
      <c r="J176" s="356"/>
      <c r="K176" s="356"/>
      <c r="L176" s="356"/>
      <c r="M176" s="372"/>
      <c r="N176" s="363"/>
    </row>
    <row r="177" spans="1:14" ht="15" customHeight="1">
      <c r="A177" s="673"/>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75"/>
      <c r="E177" s="356"/>
      <c r="F177" s="356"/>
      <c r="G177" s="356"/>
      <c r="H177" s="356"/>
      <c r="I177" s="338"/>
      <c r="J177" s="356"/>
      <c r="K177" s="356"/>
      <c r="L177" s="356"/>
      <c r="M177" s="372"/>
      <c r="N177" s="363"/>
    </row>
    <row r="178" spans="1:14" ht="15" customHeight="1">
      <c r="A178" s="673"/>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75"/>
      <c r="E178" s="356"/>
      <c r="F178" s="356"/>
      <c r="G178" s="356"/>
      <c r="H178" s="356"/>
      <c r="I178" s="338"/>
      <c r="J178" s="356"/>
      <c r="K178" s="356"/>
      <c r="L178" s="356"/>
      <c r="M178" s="372"/>
      <c r="N178" s="363"/>
    </row>
    <row r="179" spans="1:14" ht="15" customHeight="1">
      <c r="A179" s="673"/>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WORLDCUP!AA120</f>
        <v>W73</v>
      </c>
      <c r="D182" s="675"/>
      <c r="E182" s="356"/>
      <c r="F182" s="356"/>
      <c r="G182" s="356"/>
      <c r="H182" s="356"/>
      <c r="I182" s="338"/>
      <c r="J182" s="356"/>
      <c r="K182" s="356"/>
      <c r="L182" s="356"/>
      <c r="M182" s="372"/>
      <c r="N182" s="363"/>
    </row>
    <row r="183" spans="1:14" ht="15" customHeight="1">
      <c r="A183" s="673"/>
      <c r="B183" s="346" t="str">
        <f>B182</f>
        <v>Octavofinalista</v>
      </c>
      <c r="C183" s="335" t="str">
        <f>WORLDCUP!AA121</f>
        <v>W74</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WORLDCUP!AA122</f>
        <v>W76</v>
      </c>
      <c r="D184" s="675"/>
      <c r="E184" s="356"/>
      <c r="F184" s="356"/>
      <c r="G184" s="356"/>
      <c r="H184" s="356"/>
      <c r="I184" s="338"/>
      <c r="J184" s="356"/>
      <c r="K184" s="356"/>
      <c r="L184" s="356"/>
      <c r="M184" s="372"/>
      <c r="N184" s="363"/>
    </row>
    <row r="185" spans="1:14" ht="15" customHeight="1">
      <c r="A185" s="673"/>
      <c r="B185" s="346" t="str">
        <f t="shared" si="2"/>
        <v>Octavofinalista</v>
      </c>
      <c r="C185" s="335" t="str">
        <f>WORLDCUP!AA123</f>
        <v>W79</v>
      </c>
      <c r="D185" s="675"/>
      <c r="E185" s="356"/>
      <c r="F185" s="356"/>
      <c r="G185" s="356"/>
      <c r="H185" s="356"/>
      <c r="I185" s="338"/>
      <c r="J185" s="356"/>
      <c r="K185" s="356"/>
      <c r="L185" s="356"/>
      <c r="M185" s="372"/>
      <c r="N185" s="363"/>
    </row>
    <row r="186" spans="1:14" ht="15" customHeight="1">
      <c r="A186" s="673"/>
      <c r="B186" s="346" t="str">
        <f t="shared" si="2"/>
        <v>Octavofinalista</v>
      </c>
      <c r="C186" s="335" t="str">
        <f>WORLDCUP!AA124</f>
        <v>W83</v>
      </c>
      <c r="D186" s="675"/>
      <c r="E186" s="356"/>
      <c r="F186" s="356"/>
      <c r="G186" s="356"/>
      <c r="H186" s="356"/>
      <c r="I186" s="338"/>
      <c r="J186" s="356"/>
      <c r="K186" s="356"/>
      <c r="L186" s="356"/>
      <c r="M186" s="372"/>
      <c r="N186" s="363"/>
    </row>
    <row r="187" spans="1:14" ht="15" customHeight="1">
      <c r="A187" s="673"/>
      <c r="B187" s="346" t="str">
        <f t="shared" si="2"/>
        <v>Octavofinalista</v>
      </c>
      <c r="C187" s="335" t="str">
        <f>WORLDCUP!AA125</f>
        <v>W81</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WORLDCUP!AA127</f>
        <v>W85</v>
      </c>
      <c r="D189" s="675"/>
      <c r="E189" s="356"/>
      <c r="F189" s="356"/>
      <c r="G189" s="356"/>
      <c r="H189" s="356"/>
      <c r="I189" s="338"/>
      <c r="J189" s="356"/>
      <c r="K189" s="356"/>
      <c r="L189" s="356"/>
      <c r="M189" s="372"/>
      <c r="N189" s="363"/>
    </row>
    <row r="190" spans="1:14" ht="15" customHeight="1">
      <c r="A190" s="673"/>
      <c r="B190" s="346" t="str">
        <f t="shared" si="2"/>
        <v>Octavofinalista</v>
      </c>
      <c r="C190" s="335" t="str">
        <f>WORLDCUP!AF120</f>
        <v>W75</v>
      </c>
      <c r="D190" s="675"/>
      <c r="E190" s="356"/>
      <c r="F190" s="356"/>
      <c r="G190" s="356"/>
      <c r="H190" s="356"/>
      <c r="I190" s="338"/>
      <c r="J190" s="356"/>
      <c r="K190" s="356"/>
      <c r="L190" s="356"/>
      <c r="M190" s="372"/>
      <c r="N190" s="363"/>
    </row>
    <row r="191" spans="1:14" ht="15" customHeight="1">
      <c r="A191" s="673"/>
      <c r="B191" s="346" t="str">
        <f t="shared" si="2"/>
        <v>Octavofinalista</v>
      </c>
      <c r="C191" s="335" t="str">
        <f>WORLDCUP!AF121</f>
        <v>W77</v>
      </c>
      <c r="D191" s="675"/>
      <c r="E191" s="356"/>
      <c r="F191" s="356"/>
      <c r="G191" s="356"/>
      <c r="H191" s="356"/>
      <c r="I191" s="338"/>
      <c r="J191" s="356"/>
      <c r="K191" s="356"/>
      <c r="L191" s="356"/>
      <c r="M191" s="372"/>
      <c r="N191" s="363"/>
    </row>
    <row r="192" spans="1:14" ht="15" customHeight="1">
      <c r="A192" s="673"/>
      <c r="B192" s="346" t="str">
        <f t="shared" si="2"/>
        <v>Octavofinalista</v>
      </c>
      <c r="C192" s="335" t="str">
        <f>WORLDCUP!AF122</f>
        <v>W78</v>
      </c>
      <c r="D192" s="675"/>
      <c r="E192" s="356"/>
      <c r="F192" s="356"/>
      <c r="G192" s="356"/>
      <c r="H192" s="356"/>
      <c r="I192" s="338"/>
      <c r="J192" s="356"/>
      <c r="K192" s="356"/>
      <c r="L192" s="356"/>
      <c r="M192" s="372"/>
      <c r="N192" s="363"/>
    </row>
    <row r="193" spans="1:14" ht="15" customHeight="1">
      <c r="A193" s="673"/>
      <c r="B193" s="346" t="str">
        <f t="shared" si="2"/>
        <v>Octavofinalista</v>
      </c>
      <c r="C193" s="335" t="str">
        <f>WORLDCUP!AF123</f>
        <v>W80</v>
      </c>
      <c r="D193" s="675"/>
      <c r="E193" s="356"/>
      <c r="F193" s="356"/>
      <c r="G193" s="356"/>
      <c r="H193" s="356"/>
      <c r="I193" s="338"/>
      <c r="J193" s="356"/>
      <c r="K193" s="356"/>
      <c r="L193" s="356"/>
      <c r="M193" s="372"/>
      <c r="N193" s="363"/>
    </row>
    <row r="194" spans="1:14" ht="15" customHeight="1">
      <c r="A194" s="673"/>
      <c r="B194" s="346" t="str">
        <f t="shared" si="2"/>
        <v>Octavofinalista</v>
      </c>
      <c r="C194" s="335" t="str">
        <f>WORLDCUP!AF124</f>
        <v>W84</v>
      </c>
      <c r="D194" s="675"/>
      <c r="E194" s="356"/>
      <c r="F194" s="356"/>
      <c r="G194" s="356"/>
      <c r="H194" s="356"/>
      <c r="I194" s="338"/>
      <c r="J194" s="356"/>
      <c r="K194" s="356"/>
      <c r="L194" s="356"/>
      <c r="M194" s="372"/>
      <c r="N194" s="363"/>
    </row>
    <row r="195" spans="1:14" ht="15" customHeight="1">
      <c r="A195" s="673"/>
      <c r="B195" s="346" t="str">
        <f t="shared" si="2"/>
        <v>Octavofinalista</v>
      </c>
      <c r="C195" s="335" t="str">
        <f>WORLDCUP!AF125</f>
        <v>W82</v>
      </c>
      <c r="D195" s="675"/>
      <c r="E195" s="356"/>
      <c r="F195" s="356"/>
      <c r="G195" s="356"/>
      <c r="H195" s="356"/>
      <c r="I195" s="338"/>
      <c r="J195" s="356"/>
      <c r="K195" s="356"/>
      <c r="L195" s="356"/>
      <c r="M195" s="372"/>
      <c r="N195" s="363"/>
    </row>
    <row r="196" spans="1:14" ht="15" customHeight="1">
      <c r="A196" s="673"/>
      <c r="B196" s="346" t="str">
        <f t="shared" si="2"/>
        <v>Octavofinalista</v>
      </c>
      <c r="C196" s="335" t="str">
        <f>WORLDCUP!AF126</f>
        <v>W88</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4"/>
      <c r="E201" s="669"/>
      <c r="F201" s="669"/>
      <c r="G201" s="669"/>
      <c r="H201" s="669"/>
      <c r="I201" s="338"/>
      <c r="J201" s="356"/>
      <c r="K201" s="356"/>
      <c r="L201" s="356"/>
      <c r="M201" s="372"/>
      <c r="N201" s="363"/>
    </row>
    <row r="202" spans="1:14" ht="15" customHeight="1">
      <c r="A202" s="673"/>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4"/>
      <c r="E202" s="669"/>
      <c r="F202" s="669"/>
      <c r="G202" s="669"/>
      <c r="H202" s="669"/>
      <c r="I202" s="338"/>
      <c r="J202" s="356"/>
      <c r="K202" s="356"/>
      <c r="L202" s="356"/>
      <c r="M202" s="372"/>
      <c r="N202" s="363"/>
    </row>
    <row r="203" spans="1:14" ht="15" customHeight="1">
      <c r="A203" s="673"/>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4"/>
      <c r="E203" s="669"/>
      <c r="F203" s="669"/>
      <c r="G203" s="669"/>
      <c r="H203" s="669"/>
      <c r="I203" s="338"/>
      <c r="J203" s="356"/>
      <c r="K203" s="356"/>
      <c r="L203" s="356"/>
      <c r="M203" s="372"/>
      <c r="N203" s="363"/>
    </row>
    <row r="204" spans="1:14" ht="15" customHeight="1">
      <c r="A204" s="673"/>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4"/>
      <c r="E204" s="338"/>
      <c r="F204" s="338"/>
      <c r="G204" s="338"/>
      <c r="H204" s="338"/>
      <c r="I204" s="338"/>
      <c r="J204" s="356"/>
      <c r="K204" s="356"/>
      <c r="L204" s="356"/>
      <c r="M204" s="372"/>
      <c r="N204" s="363"/>
    </row>
    <row r="205" spans="1:14" ht="15" customHeight="1">
      <c r="A205" s="673"/>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4"/>
      <c r="E205" s="338"/>
      <c r="F205" s="338"/>
      <c r="G205" s="338"/>
      <c r="H205" s="338"/>
      <c r="I205" s="338"/>
      <c r="J205" s="356"/>
      <c r="K205" s="356"/>
      <c r="L205" s="356"/>
      <c r="M205" s="372"/>
      <c r="N205" s="363"/>
    </row>
    <row r="206" spans="1:14" ht="15" customHeight="1">
      <c r="A206" s="673"/>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4"/>
      <c r="E206" s="338"/>
      <c r="F206" s="338"/>
      <c r="G206" s="338"/>
      <c r="H206" s="338"/>
      <c r="I206" s="338"/>
      <c r="J206" s="356"/>
      <c r="K206" s="356"/>
      <c r="L206" s="356"/>
      <c r="M206" s="372"/>
      <c r="N206" s="363"/>
    </row>
    <row r="207" spans="1:14" ht="15" customHeight="1">
      <c r="A207" s="673"/>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Irá</v>
      </c>
      <c r="U4" s="428">
        <f ca="1">+INDEX(WORLDCUP!$AM$6:$AM$97,MATCH(X4,WORLDCUP!$AI$6:$AI$97,0))</f>
        <v>2</v>
      </c>
      <c r="V4" s="429">
        <f ca="1">+INDEX(WORLDCUP!$AT$6:$AT$97,MATCH(X4,WORLDCUP!$AI$6:$AI$97,0))</f>
        <v>0</v>
      </c>
      <c r="W4" s="430" t="str">
        <f ca="1">+INDEX(WORLDCUP!$AR$6:$AR$97,MATCH(X4,WORLDCUP!$AI$6:$AI$97,0))&amp;"-"&amp;INDEX(WORLDCUP!$AS$6:$AS$97,MATCH(X4,WORLDCUP!$AI$6:$AI$97,0))</f>
        <v>2-2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Bél</v>
      </c>
      <c r="U5" s="38">
        <f ca="1">+INDEX(WORLDCUP!$AM$6:$AM$97,MATCH(X5,WORLDCUP!$AI$6:$AI$97,0))</f>
        <v>2</v>
      </c>
      <c r="V5" s="39">
        <f ca="1">+INDEX(WORLDCUP!$AT$6:$AT$97,MATCH(X5,WORLDCUP!$AI$6:$AI$97,0))</f>
        <v>0</v>
      </c>
      <c r="W5" s="43" t="str">
        <f ca="1">+INDEX(WORLDCUP!$AR$6:$AR$97,MATCH(X5,WORLDCUP!$AI$6:$AI$97,0))&amp;"-"&amp;INDEX(WORLDCUP!$AS$6:$AS$97,MATCH(X5,WORLDCUP!$AI$6:$AI$97,0))</f>
        <v>1-1</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t="str">
        <f>IF(ISBLANK(INDEX(WORLDCUP!$AC$4:$AC$147,MATCH(M6,WORLDCUP!$AH$4:$AH$147,0))),"",INDEX(WORLDCUP!$AC$4:$AC$147,MATCH(M6,WORLDCUP!$AH$4:$AH$147,0)))</f>
        <v/>
      </c>
      <c r="Q6" s="424" t="str">
        <f>IF(ISBLANK(INDEX(WORLDCUP!$AD$4:$AD$147,MATCH(M6,WORLDCUP!$AH$4:$AH$147,0))),"",INDEX(WORLDCUP!$AD$4:$AD$147,MATCH(M6,WORLDCUP!$AH$4:$AH$147,0)))</f>
        <v/>
      </c>
      <c r="R6" s="425" t="str">
        <f ca="1">+MID(INDEX(WORLDCUP!$AF$4:$AF$147,MATCH(M6,WORLDCUP!$AH$4:$AH$147,0)),1,3)</f>
        <v>Egi</v>
      </c>
      <c r="S6" s="446">
        <v>3</v>
      </c>
      <c r="T6" s="447" t="str">
        <f ca="1">+MID(INDEX(WORLDCUP!$AL$6:$AL$97,MATCH(X6,WORLDCUP!$AI$6:$AI$97,0)),1,3)</f>
        <v>Nue</v>
      </c>
      <c r="U6" s="38">
        <f ca="1">+INDEX(WORLDCUP!$AM$6:$AM$97,MATCH(X6,WORLDCUP!$AI$6:$AI$97,0))</f>
        <v>1</v>
      </c>
      <c r="V6" s="39">
        <f ca="1">+INDEX(WORLDCUP!$AT$6:$AT$97,MATCH(X6,WORLDCUP!$AI$6:$AI$97,0))</f>
        <v>0</v>
      </c>
      <c r="W6" s="43" t="str">
        <f ca="1">+INDEX(WORLDCUP!$AR$6:$AR$97,MATCH(X6,WORLDCUP!$AI$6:$AI$97,0))&amp;"-"&amp;INDEX(WORLDCUP!$AS$6:$AS$97,MATCH(X6,WORLDCUP!$AI$6:$AI$97,0))</f>
        <v>2-2</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Egi</v>
      </c>
      <c r="U7" s="456">
        <f ca="1">+INDEX(WORLDCUP!$AM$6:$AM$97,MATCH(X7,WORLDCUP!$AI$6:$AI$97,0))</f>
        <v>1</v>
      </c>
      <c r="V7" s="457">
        <f ca="1">+INDEX(WORLDCUP!$AT$6:$AT$97,MATCH(X7,WORLDCUP!$AI$6:$AI$97,0))</f>
        <v>0</v>
      </c>
      <c r="W7" s="458" t="str">
        <f ca="1">+INDEX(WORLDCUP!$AR$6:$AR$97,MATCH(X7,WORLDCUP!$AI$6:$AI$97,0))&amp;"-"&amp;INDEX(WORLDCUP!$AS$6:$AS$97,MATCH(X7,WORLDCUP!$AI$6:$AI$97,0))</f>
        <v>1-1</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4</v>
      </c>
      <c r="J12" s="429">
        <f ca="1">+INDEX(WORLDCUP!$AT$6:$AT$97,MATCH(L12,WORLDCUP!$AI$6:$AI$97,0))</f>
        <v>6</v>
      </c>
      <c r="K12" s="430" t="str">
        <f ca="1">+INDEX(WORLDCUP!$AR$6:$AR$97,MATCH(L12,WORLDCUP!$AI$6:$AI$97,0))&amp;"-"&amp;INDEX(WORLDCUP!$AS$6:$AS$97,MATCH(L12,WORLDCUP!$AI$6:$AI$97,0))</f>
        <v>7-1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4</v>
      </c>
      <c r="V12" s="429">
        <f ca="1">+INDEX(WORLDCUP!$AT$6:$AT$97,MATCH(X12,WORLDCUP!$AI$6:$AI$97,0))</f>
        <v>4</v>
      </c>
      <c r="W12" s="430" t="str">
        <f ca="1">+INDEX(WORLDCUP!$AR$6:$AR$97,MATCH(X12,WORLDCUP!$AI$6:$AI$97,0))&amp;"-"&amp;INDEX(WORLDCUP!$AS$6:$AS$97,MATCH(X12,WORLDCUP!$AI$6:$AI$97,0))</f>
        <v>4-0</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t="str">
        <f>IF(ISBLANK(INDEX(WORLDCUP!$AC$4:$AC$147,MATCH(M14,WORLDCUP!$AH$4:$AH$147,0))),"",INDEX(WORLDCUP!$AC$4:$AC$147,MATCH(M14,WORLDCUP!$AH$4:$AH$147,0)))</f>
        <v/>
      </c>
      <c r="Q14" s="424" t="str">
        <f>IF(ISBLANK(INDEX(WORLDCUP!$AD$4:$AD$147,MATCH(M14,WORLDCUP!$AH$4:$AH$147,0))),"",INDEX(WORLDCUP!$AD$4:$AD$147,MATCH(M14,WORLDCUP!$AH$4:$AH$147,0)))</f>
        <v/>
      </c>
      <c r="R14" s="425" t="str">
        <f ca="1">+MID(INDEX(WORLDCUP!$AF$4:$AF$147,MATCH(M14,WORLDCUP!$AH$4:$AH$147,0)),1,3)</f>
        <v>Cab</v>
      </c>
      <c r="S14" s="446">
        <v>3</v>
      </c>
      <c r="T14" s="447" t="str">
        <f ca="1">+MID(INDEX(WORLDCUP!$AL$6:$AL$97,MATCH(X14,WORLDCUP!$AI$6:$AI$97,0)),1,3)</f>
        <v>Ara</v>
      </c>
      <c r="U14" s="38">
        <f ca="1">+INDEX(WORLDCUP!$AM$6:$AM$97,MATCH(X14,WORLDCUP!$AI$6:$AI$97,0))</f>
        <v>1</v>
      </c>
      <c r="V14" s="39">
        <f ca="1">+INDEX(WORLDCUP!$AT$6:$AT$97,MATCH(X14,WORLDCUP!$AI$6:$AI$97,0))</f>
        <v>-4</v>
      </c>
      <c r="W14" s="43" t="str">
        <f ca="1">+INDEX(WORLDCUP!$AR$6:$AR$97,MATCH(X14,WORLDCUP!$AI$6:$AI$97,0))&amp;"-"&amp;INDEX(WORLDCUP!$AS$6:$AS$97,MATCH(X14,WORLDCUP!$AI$6:$AI$97,0))</f>
        <v>1-5</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-6</v>
      </c>
      <c r="K15" s="458" t="str">
        <f ca="1">+INDEX(WORLDCUP!$AR$6:$AR$97,MATCH(L15,WORLDCUP!$AI$6:$AI$97,0))&amp;"-"&amp;INDEX(WORLDCUP!$AS$6:$AS$97,MATCH(L15,WORLDCUP!$AI$6:$AI$97,0))</f>
        <v>1-7</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Cab</v>
      </c>
      <c r="U15" s="456">
        <f ca="1">+INDEX(WORLDCUP!$AM$6:$AM$97,MATCH(X15,WORLDCUP!$AI$6:$AI$97,0))</f>
        <v>1</v>
      </c>
      <c r="V15" s="457">
        <f ca="1">+INDEX(WORLDCUP!$AT$6:$AT$97,MATCH(X15,WORLDCUP!$AI$6:$AI$97,0))</f>
        <v>0</v>
      </c>
      <c r="W15" s="458" t="str">
        <f ca="1">+INDEX(WORLDCUP!$AR$6:$AR$97,MATCH(X15,WORLDCUP!$AI$6:$AI$97,0))&amp;"-"&amp;INDEX(WORLDCUP!$AS$6:$AS$97,MATCH(X15,WORLDCUP!$AI$6:$AI$97,0))</f>
        <v>0-0</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4</v>
      </c>
      <c r="J20" s="429">
        <f ca="1">+INDEX(WORLDCUP!$AT$6:$AT$97,MATCH(L20,WORLDCUP!$AI$6:$AI$97,0))</f>
        <v>3</v>
      </c>
      <c r="K20" s="430" t="str">
        <f ca="1">+INDEX(WORLDCUP!$AR$6:$AR$97,MATCH(L20,WORLDCUP!$AI$6:$AI$97,0))&amp;"-"&amp;INDEX(WORLDCUP!$AS$6:$AS$97,MATCH(L20,WORLDCUP!$AI$6:$AI$97,0))</f>
        <v>4-1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-4</v>
      </c>
      <c r="K23" s="458" t="str">
        <f ca="1">+INDEX(WORLDCUP!$AR$6:$AR$97,MATCH(L23,WORLDCUP!$AI$6:$AI$97,0))&amp;"-"&amp;INDEX(WORLDCUP!$AS$6:$AS$97,MATCH(L23,WORLDCUP!$AI$6:$AI$97,0))</f>
        <v>0-4</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7</v>
      </c>
      <c r="K36" s="430" t="str">
        <f ca="1">+INDEX(WORLDCUP!$AR$6:$AR$97,MATCH(L36,WORLDCUP!$AI$6:$AI$97,0))&amp;"-"&amp;INDEX(WORLDCUP!$AS$6:$AS$97,MATCH(L36,WORLDCUP!$AI$6:$AI$97,0))</f>
        <v>9-2</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3</v>
      </c>
      <c r="V36" s="429">
        <f ca="1">+INDEX(WORLDCUP!$AT$6:$AT$97,MATCH(X36,WORLDCUP!$AI$6:$AI$97,0))</f>
        <v>2</v>
      </c>
      <c r="W36" s="430" t="str">
        <f ca="1">+INDEX(WORLDCUP!$AR$6:$AR$97,MATCH(X36,WORLDCUP!$AI$6:$AI$97,0))&amp;"-"&amp;INDEX(WORLDCUP!$AS$6:$AS$97,MATCH(X36,WORLDCUP!$AI$6:$AI$97,0))</f>
        <v>3-1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-2</v>
      </c>
      <c r="W39" s="458" t="str">
        <f ca="1">+INDEX(WORLDCUP!$AR$6:$AR$97,MATCH(X39,WORLDCUP!$AI$6:$AI$97,0))&amp;"-"&amp;INDEX(WORLDCUP!$AS$6:$AS$97,MATCH(X39,WORLDCUP!$AI$6:$AI$97,0))</f>
        <v>1-3</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-8</v>
      </c>
      <c r="K47" s="458" t="str">
        <f ca="1">+INDEX(WORLDCUP!$AR$6:$AR$97,MATCH(L47,WORLDCUP!$AI$6:$AI$97,0))&amp;"-"&amp;INDEX(WORLDCUP!$AS$6:$AS$97,MATCH(L47,WORLDCUP!$AI$6:$AI$97,0))</f>
        <v>1-9</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Suecia</v>
      </c>
      <c r="G2" s="9" t="str">
        <f ca="1">+WORLDCUP!BD65</f>
        <v>Arabia Saudita</v>
      </c>
      <c r="H2" s="9" t="str">
        <f ca="1">+WORLDCUP!BD64</f>
        <v>Nueva Zelanda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Arabia Saudita</v>
      </c>
      <c r="D3" s="9" t="str">
        <f ca="1">+WORLDCUP!BD64</f>
        <v>Nueva Zelanda</v>
      </c>
      <c r="E3" s="9" t="str">
        <f ca="1">+WORLDCUP!BD66</f>
        <v>Senegal</v>
      </c>
      <c r="F3" s="9" t="str">
        <f ca="1">+WORLDCUP!BD61</f>
        <v>Paraguay</v>
      </c>
      <c r="G3" s="9" t="str">
        <f ca="1">+WORLDCUP!BD67</f>
        <v>Jordania</v>
      </c>
      <c r="H3" s="9" t="str">
        <f ca="1">+WORLDCUP!BD63</f>
        <v>Suecia</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Paraguay</v>
      </c>
      <c r="G4" s="9" t="str">
        <f ca="1">+WORLDCUP!BD65</f>
        <v>Arabia Saudita</v>
      </c>
      <c r="H4" s="9" t="str">
        <f ca="1">+WORLDCUP!BD64</f>
        <v>Nueva Zelanda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Paraguay</v>
      </c>
      <c r="G5" s="9" t="str">
        <f ca="1">+WORLDCUP!BD65</f>
        <v>Arabia Saudita</v>
      </c>
      <c r="H5" s="9" t="str">
        <f ca="1">+WORLDCUP!BD63</f>
        <v>Suecia</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Nueva Zelanda</v>
      </c>
      <c r="E6" s="9" t="str">
        <f ca="1">+WORLDCUP!BD66</f>
        <v>Senegal</v>
      </c>
      <c r="F6" s="9" t="str">
        <f ca="1">+WORLDCUP!BD61</f>
        <v>Paraguay</v>
      </c>
      <c r="G6" s="9" t="str">
        <f ca="1">+WORLDCUP!BD67</f>
        <v>Jordania</v>
      </c>
      <c r="H6" s="9" t="str">
        <f ca="1">+WORLDCUP!BD63</f>
        <v>Suecia</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Nueva Zelanda</v>
      </c>
      <c r="E7" s="9" t="str">
        <f ca="1">+WORLDCUP!BD67</f>
        <v>Jordania</v>
      </c>
      <c r="F7" s="9" t="str">
        <f ca="1">+WORLDCUP!BD61</f>
        <v>Paraguay</v>
      </c>
      <c r="G7" s="9" t="str">
        <f ca="1">+WORLDCUP!BD65</f>
        <v>Arabia Saudita</v>
      </c>
      <c r="H7" s="9" t="str">
        <f ca="1">+WORLDCUP!BD63</f>
        <v>Suecia</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Nueva Zelanda</v>
      </c>
      <c r="E8" s="9" t="str">
        <f ca="1">+WORLDCUP!BD66</f>
        <v>Senegal</v>
      </c>
      <c r="F8" s="9" t="str">
        <f ca="1">+WORLDCUP!BD61</f>
        <v>Paraguay</v>
      </c>
      <c r="G8" s="9" t="str">
        <f ca="1">+WORLDCUP!BD65</f>
        <v>Arabia Saudita</v>
      </c>
      <c r="H8" s="9" t="str">
        <f ca="1">+WORLDCUP!BD63</f>
        <v>Suecia</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Nueva Zelanda</v>
      </c>
      <c r="E9" s="9" t="str">
        <f ca="1">+WORLDCUP!BD67</f>
        <v>Jordania</v>
      </c>
      <c r="F9" s="9" t="str">
        <f ca="1">+WORLDCUP!BD61</f>
        <v>Paraguay</v>
      </c>
      <c r="G9" s="9" t="str">
        <f ca="1">+WORLDCUP!BD65</f>
        <v>Arabia Saudita</v>
      </c>
      <c r="H9" s="9" t="str">
        <f ca="1">+WORLDCUP!BD63</f>
        <v>Suecia</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Nueva Zelanda</v>
      </c>
      <c r="E10" s="9" t="str">
        <f ca="1">+WORLDCUP!BD67</f>
        <v>Jordania</v>
      </c>
      <c r="F10" s="9" t="str">
        <f ca="1">+WORLDCUP!BD61</f>
        <v>Paraguay</v>
      </c>
      <c r="G10" s="9" t="str">
        <f ca="1">+WORLDCUP!BD65</f>
        <v>Arabia Saudita</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Arabia Saudita</v>
      </c>
      <c r="D11" s="9" t="str">
        <f ca="1">+WORLDCUP!BD64</f>
        <v>Nueva Zelanda</v>
      </c>
      <c r="E11" s="9" t="str">
        <f ca="1">+WORLDCUP!BD66</f>
        <v>Senegal</v>
      </c>
      <c r="F11" s="9" t="str">
        <f ca="1">+WORLDCUP!BD60</f>
        <v>Escocia</v>
      </c>
      <c r="G11" s="9" t="str">
        <f ca="1">+WORLDCUP!BD67</f>
        <v>Jordania</v>
      </c>
      <c r="H11" s="9" t="str">
        <f ca="1">+WORLDCUP!BD63</f>
        <v>Suecia</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Escocia</v>
      </c>
      <c r="G12" s="9" t="str">
        <f ca="1">+WORLDCUP!BD65</f>
        <v>Arabia Saudita</v>
      </c>
      <c r="H12" s="9" t="str">
        <f ca="1">+WORLDCUP!BD64</f>
        <v>Nueva Zelanda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Escocia</v>
      </c>
      <c r="G13" s="9" t="str">
        <f ca="1">+WORLDCUP!BD65</f>
        <v>Arabia Saudita</v>
      </c>
      <c r="H13" s="9" t="str">
        <f ca="1">+WORLDCUP!BD63</f>
        <v>Suecia</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Nueva Zelanda</v>
      </c>
      <c r="E14" s="9" t="str">
        <f ca="1">+WORLDCUP!BD66</f>
        <v>Senegal</v>
      </c>
      <c r="F14" s="9" t="str">
        <f ca="1">+WORLDCUP!BD60</f>
        <v>Escocia</v>
      </c>
      <c r="G14" s="9" t="str">
        <f ca="1">+WORLDCUP!BD67</f>
        <v>Jordania</v>
      </c>
      <c r="H14" s="9" t="str">
        <f ca="1">+WORLDCUP!BD63</f>
        <v>Suecia</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Nueva Zelanda</v>
      </c>
      <c r="E15" s="9" t="str">
        <f ca="1">+WORLDCUP!BD67</f>
        <v>Jordania</v>
      </c>
      <c r="F15" s="9" t="str">
        <f ca="1">+WORLDCUP!BD60</f>
        <v>Escocia</v>
      </c>
      <c r="G15" s="9" t="str">
        <f ca="1">+WORLDCUP!BD65</f>
        <v>Arabia Saudita</v>
      </c>
      <c r="H15" s="9" t="str">
        <f ca="1">+WORLDCUP!BD63</f>
        <v>Suecia</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Nueva Zelanda</v>
      </c>
      <c r="E16" s="9" t="str">
        <f ca="1">+WORLDCUP!BD66</f>
        <v>Senegal</v>
      </c>
      <c r="F16" s="9" t="str">
        <f ca="1">+WORLDCUP!BD60</f>
        <v>Escocia</v>
      </c>
      <c r="G16" s="9" t="str">
        <f ca="1">+WORLDCUP!BD65</f>
        <v>Arabia Saudita</v>
      </c>
      <c r="H16" s="9" t="str">
        <f ca="1">+WORLDCUP!BD63</f>
        <v>Suecia</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Nueva Zelanda</v>
      </c>
      <c r="E17" s="9" t="str">
        <f ca="1">+WORLDCUP!BD67</f>
        <v>Jordania</v>
      </c>
      <c r="F17" s="9" t="str">
        <f ca="1">+WORLDCUP!BD60</f>
        <v>Escocia</v>
      </c>
      <c r="G17" s="9" t="str">
        <f ca="1">+WORLDCUP!BD65</f>
        <v>Arabia Saudita</v>
      </c>
      <c r="H17" s="9" t="str">
        <f ca="1">+WORLDCUP!BD63</f>
        <v>Suecia</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Nueva Zelanda</v>
      </c>
      <c r="E18" s="9" t="str">
        <f ca="1">+WORLDCUP!BD67</f>
        <v>Jordania</v>
      </c>
      <c r="F18" s="9" t="str">
        <f ca="1">+WORLDCUP!BD60</f>
        <v>Escocia</v>
      </c>
      <c r="G18" s="9" t="str">
        <f ca="1">+WORLDCUP!BD65</f>
        <v>Arabia Saudita</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Jordania</v>
      </c>
      <c r="E20" s="9" t="str">
        <f ca="1">+WORLDCUP!BD66</f>
        <v>Senegal</v>
      </c>
      <c r="F20" s="9" t="str">
        <f ca="1">+WORLDCUP!BD61</f>
        <v>Paraguay</v>
      </c>
      <c r="G20" s="9" t="str">
        <f ca="1">+WORLDCUP!BD65</f>
        <v>Arabia Saudita</v>
      </c>
      <c r="H20" s="9" t="str">
        <f ca="1">+WORLDCUP!BD63</f>
        <v>Suecia</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Nueva Zelanda</v>
      </c>
      <c r="E21" s="9" t="str">
        <f ca="1">+WORLDCUP!BD66</f>
        <v>Senegal</v>
      </c>
      <c r="F21" s="9" t="str">
        <f ca="1">+WORLDCUP!BD61</f>
        <v>Paraguay</v>
      </c>
      <c r="G21" s="9" t="str">
        <f ca="1">+WORLDCUP!BD67</f>
        <v>Jordania</v>
      </c>
      <c r="H21" s="9" t="str">
        <f ca="1">+WORLDCUP!BD63</f>
        <v>Suecia</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Nueva Zelanda</v>
      </c>
      <c r="E22" s="9" t="str">
        <f ca="1">+WORLDCUP!BD67</f>
        <v>Jordania</v>
      </c>
      <c r="F22" s="9" t="str">
        <f ca="1">+WORLDCUP!BD61</f>
        <v>Paraguay</v>
      </c>
      <c r="G22" s="9" t="str">
        <f ca="1">+WORLDCUP!BD65</f>
        <v>Arabia Saudita</v>
      </c>
      <c r="H22" s="9" t="str">
        <f ca="1">+WORLDCUP!BD63</f>
        <v>Suecia</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Nueva Zelanda</v>
      </c>
      <c r="E23" s="9" t="str">
        <f ca="1">+WORLDCUP!BD66</f>
        <v>Senegal</v>
      </c>
      <c r="F23" s="9" t="str">
        <f ca="1">+WORLDCUP!BD61</f>
        <v>Paraguay</v>
      </c>
      <c r="G23" s="9" t="str">
        <f ca="1">+WORLDCUP!BD65</f>
        <v>Arabia Saudita</v>
      </c>
      <c r="H23" s="9" t="str">
        <f ca="1">+WORLDCUP!BD63</f>
        <v>Suecia</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Nueva Zelanda</v>
      </c>
      <c r="E24" s="9" t="str">
        <f ca="1">+WORLDCUP!BD67</f>
        <v>Jordania</v>
      </c>
      <c r="F24" s="9" t="str">
        <f ca="1">+WORLDCUP!BD61</f>
        <v>Paraguay</v>
      </c>
      <c r="G24" s="9" t="str">
        <f ca="1">+WORLDCUP!BD65</f>
        <v>Arabia Saudita</v>
      </c>
      <c r="H24" s="9" t="str">
        <f ca="1">+WORLDCUP!BD63</f>
        <v>Suecia</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Nueva Zelanda</v>
      </c>
      <c r="E25" s="9" t="str">
        <f ca="1">+WORLDCUP!BD67</f>
        <v>Jordania</v>
      </c>
      <c r="F25" s="9" t="str">
        <f ca="1">+WORLDCUP!BD61</f>
        <v>Paraguay</v>
      </c>
      <c r="G25" s="9" t="str">
        <f ca="1">+WORLDCUP!BD65</f>
        <v>Arabia Saudita</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Escocia</v>
      </c>
      <c r="G26" s="9" t="str">
        <f ca="1">+WORLDCUP!BD65</f>
        <v>Arabia Saudita</v>
      </c>
      <c r="H26" s="9" t="str">
        <f ca="1">+WORLDCUP!BD61</f>
        <v>Paraguay</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Nueva Zelanda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Nueva Zelanda</v>
      </c>
      <c r="E28" s="9" t="str">
        <f ca="1">+WORLDCUP!BD67</f>
        <v>Jordania</v>
      </c>
      <c r="F28" s="9" t="str">
        <f ca="1">+WORLDCUP!BD60</f>
        <v>Escocia</v>
      </c>
      <c r="G28" s="9" t="str">
        <f ca="1">+WORLDCUP!BD65</f>
        <v>Arabia Saudita</v>
      </c>
      <c r="H28" s="9" t="str">
        <f ca="1">+WORLDCUP!BD61</f>
        <v>Paraguay</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Nueva Zelanda</v>
      </c>
      <c r="E29" s="9" t="str">
        <f ca="1">+WORLDCUP!BD66</f>
        <v>Senegal</v>
      </c>
      <c r="F29" s="9" t="str">
        <f ca="1">+WORLDCUP!BD60</f>
        <v>Escocia</v>
      </c>
      <c r="G29" s="9" t="str">
        <f ca="1">+WORLDCUP!BD65</f>
        <v>Arabia Saudita</v>
      </c>
      <c r="H29" s="9" t="str">
        <f ca="1">+WORLDCUP!BD61</f>
        <v>Paraguay</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Nueva Zelanda</v>
      </c>
      <c r="E30" s="9" t="str">
        <f ca="1">+WORLDCUP!BD67</f>
        <v>Jordania</v>
      </c>
      <c r="F30" s="9" t="str">
        <f ca="1">+WORLDCUP!BD60</f>
        <v>Escocia</v>
      </c>
      <c r="G30" s="9" t="str">
        <f ca="1">+WORLDCUP!BD65</f>
        <v>Arabia Saudita</v>
      </c>
      <c r="H30" s="9" t="str">
        <f ca="1">+WORLDCUP!BD61</f>
        <v>Paraguay</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Nueva Zelanda</v>
      </c>
      <c r="E31" s="9" t="str">
        <f ca="1">+WORLDCUP!BD67</f>
        <v>Jordania</v>
      </c>
      <c r="F31" s="9" t="str">
        <f ca="1">+WORLDCUP!BD60</f>
        <v>Escocia</v>
      </c>
      <c r="G31" s="9" t="str">
        <f ca="1">+WORLDCUP!BD65</f>
        <v>Arabia Saudita</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Jordania</v>
      </c>
      <c r="E33" s="9" t="str">
        <f ca="1">+WORLDCUP!BD62</f>
        <v>Ecuador</v>
      </c>
      <c r="F33" s="9" t="str">
        <f ca="1">+WORLDCUP!BD61</f>
        <v>Paraguay</v>
      </c>
      <c r="G33" s="9" t="str">
        <f ca="1">+WORLDCUP!BD65</f>
        <v>Arabia Saudita</v>
      </c>
      <c r="H33" s="9" t="str">
        <f ca="1">+WORLDCUP!BD63</f>
        <v>Suecia</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Arabia Saudita</v>
      </c>
      <c r="H34" s="9" t="str">
        <f ca="1">+WORLDCUP!BD63</f>
        <v>Suecia</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Jordania</v>
      </c>
      <c r="E35" s="9" t="str">
        <f ca="1">+WORLDCUP!BD62</f>
        <v>Ecuador</v>
      </c>
      <c r="F35" s="9" t="str">
        <f ca="1">+WORLDCUP!BD61</f>
        <v>Paraguay</v>
      </c>
      <c r="G35" s="9" t="str">
        <f ca="1">+WORLDCUP!BD65</f>
        <v>Arabia Saudita</v>
      </c>
      <c r="H35" s="9" t="str">
        <f ca="1">+WORLDCUP!BD63</f>
        <v>Suecia</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Jordania</v>
      </c>
      <c r="E36" s="9" t="str">
        <f ca="1">+WORLDCUP!BD62</f>
        <v>Ecuador</v>
      </c>
      <c r="F36" s="9" t="str">
        <f ca="1">+WORLDCUP!BD61</f>
        <v>Paraguay</v>
      </c>
      <c r="G36" s="9" t="str">
        <f ca="1">+WORLDCUP!BD65</f>
        <v>Arabia Saudita</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Nueva Zelanda</v>
      </c>
      <c r="E37" s="9" t="str">
        <f ca="1">+WORLDCUP!BD62</f>
        <v>Ecuador</v>
      </c>
      <c r="F37" s="9" t="str">
        <f ca="1">+WORLDCUP!BD61</f>
        <v>Paraguay</v>
      </c>
      <c r="G37" s="9" t="str">
        <f ca="1">+WORLDCUP!BD67</f>
        <v>Jordania</v>
      </c>
      <c r="H37" s="9" t="str">
        <f ca="1">+WORLDCUP!BD63</f>
        <v>Suecia</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Nueva Zelanda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Nueva Zelanda</v>
      </c>
      <c r="E39" s="9" t="str">
        <f ca="1">+WORLDCUP!BD62</f>
        <v>Ecuador</v>
      </c>
      <c r="F39" s="9" t="str">
        <f ca="1">+WORLDCUP!BD61</f>
        <v>Paraguay</v>
      </c>
      <c r="G39" s="9" t="str">
        <f ca="1">+WORLDCUP!BD67</f>
        <v>Jordania</v>
      </c>
      <c r="H39" s="9" t="str">
        <f ca="1">+WORLDCUP!BD63</f>
        <v>Suecia</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Nueva Zelanda</v>
      </c>
      <c r="E40" s="9" t="str">
        <f ca="1">+WORLDCUP!BD62</f>
        <v>Ecuador</v>
      </c>
      <c r="F40" s="9" t="str">
        <f ca="1">+WORLDCUP!BD61</f>
        <v>Paraguay</v>
      </c>
      <c r="G40" s="9" t="str">
        <f ca="1">+WORLDCUP!BD67</f>
        <v>Jordania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Nueva Zelanda</v>
      </c>
      <c r="E41" s="9" t="str">
        <f ca="1">+WORLDCUP!BD62</f>
        <v>Ecuador</v>
      </c>
      <c r="F41" s="9" t="str">
        <f ca="1">+WORLDCUP!BD61</f>
        <v>Paraguay</v>
      </c>
      <c r="G41" s="9" t="str">
        <f ca="1">+WORLDCUP!BD65</f>
        <v>Arabia Saudita</v>
      </c>
      <c r="H41" s="9" t="str">
        <f ca="1">+WORLDCUP!BD63</f>
        <v>Suecia</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Nueva Zelanda</v>
      </c>
      <c r="E42" s="9" t="str">
        <f ca="1">+WORLDCUP!BD67</f>
        <v>Jordania</v>
      </c>
      <c r="F42" s="9" t="str">
        <f ca="1">+WORLDCUP!BD61</f>
        <v>Paraguay</v>
      </c>
      <c r="G42" s="9" t="str">
        <f ca="1">+WORLDCUP!BD65</f>
        <v>Arabia Saudita</v>
      </c>
      <c r="H42" s="9" t="str">
        <f ca="1">+WORLDCUP!BD63</f>
        <v>Suecia</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Nueva Zelanda</v>
      </c>
      <c r="E43" s="9" t="str">
        <f ca="1">+WORLDCUP!BD67</f>
        <v>Jordania</v>
      </c>
      <c r="F43" s="9" t="str">
        <f ca="1">+WORLDCUP!BD61</f>
        <v>Paraguay</v>
      </c>
      <c r="G43" s="9" t="str">
        <f ca="1">+WORLDCUP!BD65</f>
        <v>Arabia Saudita</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Nueva Zelanda</v>
      </c>
      <c r="E44" s="9" t="str">
        <f ca="1">+WORLDCUP!BD62</f>
        <v>Ecuador</v>
      </c>
      <c r="F44" s="9" t="str">
        <f ca="1">+WORLDCUP!BD61</f>
        <v>Paraguay</v>
      </c>
      <c r="G44" s="9" t="str">
        <f ca="1">+WORLDCUP!BD65</f>
        <v>Arabia Saudita</v>
      </c>
      <c r="H44" s="9" t="str">
        <f ca="1">+WORLDCUP!BD63</f>
        <v>Suecia</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Nueva Zelanda</v>
      </c>
      <c r="E45" s="9" t="str">
        <f ca="1">+WORLDCUP!BD62</f>
        <v>Ecuador</v>
      </c>
      <c r="F45" s="9" t="str">
        <f ca="1">+WORLDCUP!BD61</f>
        <v>Paraguay</v>
      </c>
      <c r="G45" s="9" t="str">
        <f ca="1">+WORLDCUP!BD65</f>
        <v>Arabia Saudita</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Nueva Zelanda</v>
      </c>
      <c r="E46" s="9" t="str">
        <f ca="1">+WORLDCUP!BD67</f>
        <v>Jordania</v>
      </c>
      <c r="F46" s="9" t="str">
        <f ca="1">+WORLDCUP!BD61</f>
        <v>Paraguay</v>
      </c>
      <c r="G46" s="9" t="str">
        <f ca="1">+WORLDCUP!BD65</f>
        <v>Arabia Saudita</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Nueva Zelanda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Arabia Saudita</v>
      </c>
      <c r="H48" s="9" t="str">
        <f ca="1">+WORLDCUP!BD64</f>
        <v>Nueva Zelanda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Bosnia y Herzegovina</v>
      </c>
      <c r="F50" s="9" t="str">
        <f ca="1">+WORLDCUP!BD63</f>
        <v>Suecia</v>
      </c>
      <c r="G50" s="9" t="str">
        <f ca="1">+WORLDCUP!BD66</f>
        <v>Senegal</v>
      </c>
      <c r="H50" s="9" t="str">
        <f ca="1">+WORLDCUP!BD64</f>
        <v>Nueva Zelanda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Bosnia y Herzegovina</v>
      </c>
      <c r="F51" s="9" t="str">
        <f ca="1">+WORLDCUP!BD63</f>
        <v>Suecia</v>
      </c>
      <c r="G51" s="9" t="str">
        <f ca="1">+WORLDCUP!BD65</f>
        <v>Arabia Saudita</v>
      </c>
      <c r="H51" s="9" t="str">
        <f ca="1">+WORLDCUP!BD64</f>
        <v>Nueva Zelanda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Nueva Zelanda</v>
      </c>
      <c r="E52" s="9" t="str">
        <f ca="1">+WORLDCUP!BD59</f>
        <v>Bosnia y Herzegovina</v>
      </c>
      <c r="F52" s="9" t="str">
        <f ca="1">+WORLDCUP!BD63</f>
        <v>Suecia</v>
      </c>
      <c r="G52" s="9" t="str">
        <f ca="1">+WORLDCUP!BD66</f>
        <v>Senegal</v>
      </c>
      <c r="H52" s="9" t="str">
        <f ca="1">+WORLDCUP!BD65</f>
        <v>Arabia Saudita</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Bosnia y Herzegovina</v>
      </c>
      <c r="F53" s="9" t="str">
        <f ca="1">+WORLDCUP!BD63</f>
        <v>Suecia</v>
      </c>
      <c r="G53" s="9" t="str">
        <f ca="1">+WORLDCUP!BD65</f>
        <v>Arabia Saudita</v>
      </c>
      <c r="H53" s="9" t="str">
        <f ca="1">+WORLDCUP!BD64</f>
        <v>Nueva Zelanda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Bosnia y Herzegovina</v>
      </c>
      <c r="F54" s="9" t="str">
        <f ca="1">+WORLDCUP!BD63</f>
        <v>Suecia</v>
      </c>
      <c r="G54" s="9" t="str">
        <f ca="1">+WORLDCUP!BD65</f>
        <v>Arabia Saudita</v>
      </c>
      <c r="H54" s="9" t="str">
        <f ca="1">+WORLDCUP!BD64</f>
        <v>Nueva Zelanda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Arabia Saudita</v>
      </c>
      <c r="D55" s="9" t="str">
        <f ca="1">+WORLDCUP!BD67</f>
        <v>Jordania</v>
      </c>
      <c r="E55" s="9" t="str">
        <f ca="1">+WORLDCUP!BD59</f>
        <v>Bosnia y Herzegovina</v>
      </c>
      <c r="F55" s="9" t="str">
        <f ca="1">+WORLDCUP!BD61</f>
        <v>Paraguay</v>
      </c>
      <c r="G55" s="9" t="str">
        <f ca="1">+WORLDCUP!BD66</f>
        <v>Senegal</v>
      </c>
      <c r="H55" s="9" t="str">
        <f ca="1">+WORLDCUP!BD64</f>
        <v>Nueva Zelanda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Arabia Saudita</v>
      </c>
      <c r="D56" s="9" t="str">
        <f ca="1">+WORLDCUP!BD67</f>
        <v>Jordania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Nueva Zelanda</v>
      </c>
      <c r="E57" s="9" t="str">
        <f ca="1">+WORLDCUP!BD59</f>
        <v>Bosnia y Herzegovina</v>
      </c>
      <c r="F57" s="9" t="str">
        <f ca="1">+WORLDCUP!BD61</f>
        <v>Paraguay</v>
      </c>
      <c r="G57" s="9" t="str">
        <f ca="1">+WORLDCUP!BD67</f>
        <v>Jordania</v>
      </c>
      <c r="H57" s="9" t="str">
        <f ca="1">+WORLDCUP!BD63</f>
        <v>Suecia</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Arabia Saudita</v>
      </c>
      <c r="D58" s="9" t="str">
        <f ca="1">+WORLDCUP!BD64</f>
        <v>Nueva Zelanda</v>
      </c>
      <c r="E58" s="9" t="str">
        <f ca="1">+WORLDCUP!BD59</f>
        <v>Bosnia y Herzegovina</v>
      </c>
      <c r="F58" s="9" t="str">
        <f ca="1">+WORLDCUP!BD61</f>
        <v>Paraguay</v>
      </c>
      <c r="G58" s="9" t="str">
        <f ca="1">+WORLDCUP!BD67</f>
        <v>Jordania</v>
      </c>
      <c r="H58" s="9" t="str">
        <f ca="1">+WORLDCUP!BD63</f>
        <v>Suecia</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Arabia Saudita</v>
      </c>
      <c r="D59" s="9" t="str">
        <f ca="1">+WORLDCUP!BD64</f>
        <v>Nueva Zelanda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Arabia Saudita</v>
      </c>
      <c r="D60" s="9" t="str">
        <f ca="1">+WORLDCUP!BD64</f>
        <v>Nueva Zelanda</v>
      </c>
      <c r="E60" s="9" t="str">
        <f ca="1">+WORLDCUP!BD59</f>
        <v>Bosnia y Herzegovina</v>
      </c>
      <c r="F60" s="9" t="str">
        <f ca="1">+WORLDCUP!BD61</f>
        <v>Paraguay</v>
      </c>
      <c r="G60" s="9" t="str">
        <f ca="1">+WORLDCUP!BD67</f>
        <v>Jordania</v>
      </c>
      <c r="H60" s="9" t="str">
        <f ca="1">+WORLDCUP!BD63</f>
        <v>Suecia</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Arabia Saudita</v>
      </c>
      <c r="D61" s="9" t="str">
        <f ca="1">+WORLDCUP!BD64</f>
        <v>Nueva Zelanda</v>
      </c>
      <c r="E61" s="9" t="str">
        <f ca="1">+WORLDCUP!BD59</f>
        <v>Bosnia y Herzegovina</v>
      </c>
      <c r="F61" s="9" t="str">
        <f ca="1">+WORLDCUP!BD61</f>
        <v>Paraguay</v>
      </c>
      <c r="G61" s="9" t="str">
        <f ca="1">+WORLDCUP!BD67</f>
        <v>Jordania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Arabia Saudita</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Nueva Zelanda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Arabia Saudita</v>
      </c>
      <c r="H64" s="9" t="str">
        <f ca="1">+WORLDCUP!BD64</f>
        <v>Nueva Zelanda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Nueva Zelanda</v>
      </c>
      <c r="E65" s="9" t="str">
        <f ca="1">+WORLDCUP!BD59</f>
        <v>Bosnia y Herzegovina</v>
      </c>
      <c r="F65" s="9" t="str">
        <f ca="1">+WORLDCUP!BD61</f>
        <v>Paraguay</v>
      </c>
      <c r="G65" s="9" t="str">
        <f ca="1">+WORLDCUP!BD66</f>
        <v>Senegal</v>
      </c>
      <c r="H65" s="9" t="str">
        <f ca="1">+WORLDCUP!BD65</f>
        <v>Arabia Saudita</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Arabia Saudita</v>
      </c>
      <c r="H66" s="9" t="str">
        <f ca="1">+WORLDCUP!BD64</f>
        <v>Nueva Zelanda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Arabia Saudita</v>
      </c>
      <c r="H67" s="9" t="str">
        <f ca="1">+WORLDCUP!BD64</f>
        <v>Nueva Zelanda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Arabia Saudita</v>
      </c>
      <c r="H69" s="9" t="str">
        <f ca="1">+WORLDCUP!BD63</f>
        <v>Suecia</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Arabia Saudita</v>
      </c>
      <c r="H70" s="9" t="str">
        <f ca="1">+WORLDCUP!BD63</f>
        <v>Suecia</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Arabia Saudita</v>
      </c>
      <c r="H71" s="9" t="str">
        <f ca="1">+WORLDCUP!BD63</f>
        <v>Suecia</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Arabia Saudita</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Nueva Zelanda</v>
      </c>
      <c r="E73" s="9" t="str">
        <f ca="1">+WORLDCUP!BD59</f>
        <v>Bosnia y Herzegovina</v>
      </c>
      <c r="F73" s="9" t="str">
        <f ca="1">+WORLDCUP!BD61</f>
        <v>Paraguay</v>
      </c>
      <c r="G73" s="9" t="str">
        <f ca="1">+WORLDCUP!BD67</f>
        <v>Jordania</v>
      </c>
      <c r="H73" s="9" t="str">
        <f ca="1">+WORLDCUP!BD63</f>
        <v>Suecia</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Nueva Zelanda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Nueva Zelanda</v>
      </c>
      <c r="E75" s="9" t="str">
        <f ca="1">+WORLDCUP!BD59</f>
        <v>Bosnia y Herzegovina</v>
      </c>
      <c r="F75" s="9" t="str">
        <f ca="1">+WORLDCUP!BD61</f>
        <v>Paraguay</v>
      </c>
      <c r="G75" s="9" t="str">
        <f ca="1">+WORLDCUP!BD67</f>
        <v>Jordania</v>
      </c>
      <c r="H75" s="9" t="str">
        <f ca="1">+WORLDCUP!BD63</f>
        <v>Suecia</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Nueva Zelanda</v>
      </c>
      <c r="E76" s="9" t="str">
        <f ca="1">+WORLDCUP!BD59</f>
        <v>Bosnia y Herzegovina</v>
      </c>
      <c r="F76" s="9" t="str">
        <f ca="1">+WORLDCUP!BD61</f>
        <v>Paraguay</v>
      </c>
      <c r="G76" s="9" t="str">
        <f ca="1">+WORLDCUP!BD67</f>
        <v>Jordania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Nueva Zelanda</v>
      </c>
      <c r="E77" s="9" t="str">
        <f ca="1">+WORLDCUP!BD59</f>
        <v>Bosnia y Herzegovina</v>
      </c>
      <c r="F77" s="9" t="str">
        <f ca="1">+WORLDCUP!BD61</f>
        <v>Paraguay</v>
      </c>
      <c r="G77" s="9" t="str">
        <f ca="1">+WORLDCUP!BD65</f>
        <v>Arabia Saudita</v>
      </c>
      <c r="H77" s="9" t="str">
        <f ca="1">+WORLDCUP!BD63</f>
        <v>Suecia</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Arabia Saudita</v>
      </c>
      <c r="D78" s="9" t="str">
        <f ca="1">+WORLDCUP!BD64</f>
        <v>Nueva Zelanda</v>
      </c>
      <c r="E78" s="9" t="str">
        <f ca="1">+WORLDCUP!BD59</f>
        <v>Bosnia y Herzegovina</v>
      </c>
      <c r="F78" s="9" t="str">
        <f ca="1">+WORLDCUP!BD61</f>
        <v>Paraguay</v>
      </c>
      <c r="G78" s="9" t="str">
        <f ca="1">+WORLDCUP!BD67</f>
        <v>Jordania</v>
      </c>
      <c r="H78" s="9" t="str">
        <f ca="1">+WORLDCUP!BD63</f>
        <v>Suecia</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Arabia Saudita</v>
      </c>
      <c r="D79" s="9" t="str">
        <f ca="1">+WORLDCUP!BD64</f>
        <v>Nueva Zelanda</v>
      </c>
      <c r="E79" s="9" t="str">
        <f ca="1">+WORLDCUP!BD59</f>
        <v>Bosnia y Herzegovina</v>
      </c>
      <c r="F79" s="9" t="str">
        <f ca="1">+WORLDCUP!BD61</f>
        <v>Paraguay</v>
      </c>
      <c r="G79" s="9" t="str">
        <f ca="1">+WORLDCUP!BD67</f>
        <v>Jordania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Nueva Zelanda</v>
      </c>
      <c r="E80" s="9" t="str">
        <f ca="1">+WORLDCUP!BD59</f>
        <v>Bosnia y Herzegovina</v>
      </c>
      <c r="F80" s="9" t="str">
        <f ca="1">+WORLDCUP!BD61</f>
        <v>Paraguay</v>
      </c>
      <c r="G80" s="9" t="str">
        <f ca="1">+WORLDCUP!BD65</f>
        <v>Arabia Saudita</v>
      </c>
      <c r="H80" s="9" t="str">
        <f ca="1">+WORLDCUP!BD63</f>
        <v>Suecia</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Nueva Zelanda</v>
      </c>
      <c r="E81" s="9" t="str">
        <f ca="1">+WORLDCUP!BD59</f>
        <v>Bosnia y Herzegovina</v>
      </c>
      <c r="F81" s="9" t="str">
        <f ca="1">+WORLDCUP!BD61</f>
        <v>Paraguay</v>
      </c>
      <c r="G81" s="9" t="str">
        <f ca="1">+WORLDCUP!BD65</f>
        <v>Arabia Saudita</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Arabia Saudita</v>
      </c>
      <c r="D82" s="9" t="str">
        <f ca="1">+WORLDCUP!BD64</f>
        <v>Nueva Zelanda</v>
      </c>
      <c r="E82" s="9" t="str">
        <f ca="1">+WORLDCUP!BD59</f>
        <v>Bosnia y Herzegovina</v>
      </c>
      <c r="F82" s="9" t="str">
        <f ca="1">+WORLDCUP!BD61</f>
        <v>Paraguay</v>
      </c>
      <c r="G82" s="9" t="str">
        <f ca="1">+WORLDCUP!BD67</f>
        <v>Jordania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Nueva Zelanda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Nueva Zelanda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Arabia Saudita</v>
      </c>
      <c r="H92" s="9" t="str">
        <f ca="1">+WORLDCUP!BD64</f>
        <v>Nueva Zelanda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Arabia Saudita</v>
      </c>
      <c r="H94" s="9" t="str">
        <f ca="1">+WORLDCUP!BD64</f>
        <v>Nueva Zelanda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Nueva Zelanda</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Nueva Zelanda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Nueva Zelanda</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Nueva Zelanda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Nueva Zelanda</v>
      </c>
      <c r="E105" s="9" t="str">
        <f ca="1">+WORLDCUP!BD59</f>
        <v>Bosnia y Herzegovina</v>
      </c>
      <c r="F105" s="9" t="str">
        <f ca="1">+WORLDCUP!BD60</f>
        <v>Escocia</v>
      </c>
      <c r="G105" s="9" t="str">
        <f ca="1">+WORLDCUP!BD65</f>
        <v>Arabia Saudita</v>
      </c>
      <c r="H105" s="9" t="str">
        <f ca="1">+WORLDCUP!BD63</f>
        <v>Suecia</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Jordania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Nueva Zelanda</v>
      </c>
      <c r="E108" s="9" t="str">
        <f ca="1">+WORLDCUP!BD59</f>
        <v>Bosnia y Herzegovina</v>
      </c>
      <c r="F108" s="9" t="str">
        <f ca="1">+WORLDCUP!BD60</f>
        <v>Escocia</v>
      </c>
      <c r="G108" s="9" t="str">
        <f ca="1">+WORLDCUP!BD65</f>
        <v>Arabia Saudita</v>
      </c>
      <c r="H108" s="9" t="str">
        <f ca="1">+WORLDCUP!BD63</f>
        <v>Suecia</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Nueva Zelanda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Jordania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Arabia Saudita</v>
      </c>
      <c r="H118" s="9" t="str">
        <f ca="1">+WORLDCUP!BD63</f>
        <v>Suecia</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Arabia Saudita</v>
      </c>
      <c r="H119" s="9" t="str">
        <f ca="1">+WORLDCUP!BD63</f>
        <v>Suecia</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Arabia Saudita</v>
      </c>
      <c r="H120" s="9" t="str">
        <f ca="1">+WORLDCUP!BD63</f>
        <v>Suecia</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Arabia Saudita</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Nueva Zelanda</v>
      </c>
      <c r="E122" s="9" t="str">
        <f ca="1">+WORLDCUP!BD59</f>
        <v>Bosnia y Herzegovina</v>
      </c>
      <c r="F122" s="9" t="str">
        <f ca="1">+WORLDCUP!BD61</f>
        <v>Paraguay</v>
      </c>
      <c r="G122" s="9" t="str">
        <f ca="1">+WORLDCUP!BD67</f>
        <v>Jordania</v>
      </c>
      <c r="H122" s="9" t="str">
        <f ca="1">+WORLDCUP!BD63</f>
        <v>Suecia</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Nueva Zelanda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Nueva Zelanda</v>
      </c>
      <c r="E124" s="9" t="str">
        <f ca="1">+WORLDCUP!BD59</f>
        <v>Bosnia y Herzegovina</v>
      </c>
      <c r="F124" s="9" t="str">
        <f ca="1">+WORLDCUP!BD61</f>
        <v>Paraguay</v>
      </c>
      <c r="G124" s="9" t="str">
        <f ca="1">+WORLDCUP!BD67</f>
        <v>Jordania</v>
      </c>
      <c r="H124" s="9" t="str">
        <f ca="1">+WORLDCUP!BD63</f>
        <v>Suecia</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Nueva Zelanda</v>
      </c>
      <c r="E125" s="9" t="str">
        <f ca="1">+WORLDCUP!BD59</f>
        <v>Bosnia y Herzegovina</v>
      </c>
      <c r="F125" s="9" t="str">
        <f ca="1">+WORLDCUP!BD61</f>
        <v>Paraguay</v>
      </c>
      <c r="G125" s="9" t="str">
        <f ca="1">+WORLDCUP!BD67</f>
        <v>Jordania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Nueva Zelanda</v>
      </c>
      <c r="E126" s="9" t="str">
        <f ca="1">+WORLDCUP!BD59</f>
        <v>Bosnia y Herzegovina</v>
      </c>
      <c r="F126" s="9" t="str">
        <f ca="1">+WORLDCUP!BD61</f>
        <v>Paraguay</v>
      </c>
      <c r="G126" s="9" t="str">
        <f ca="1">+WORLDCUP!BD65</f>
        <v>Arabia Saudita</v>
      </c>
      <c r="H126" s="9" t="str">
        <f ca="1">+WORLDCUP!BD63</f>
        <v>Suecia</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Nueva Zelanda</v>
      </c>
      <c r="E127" s="9" t="str">
        <f ca="1">+WORLDCUP!BD59</f>
        <v>Bosnia y Herzegovina</v>
      </c>
      <c r="F127" s="9" t="str">
        <f ca="1">+WORLDCUP!BD61</f>
        <v>Paraguay</v>
      </c>
      <c r="G127" s="9" t="str">
        <f ca="1">+WORLDCUP!BD65</f>
        <v>Arabia Saudita</v>
      </c>
      <c r="H127" s="9" t="str">
        <f ca="1">+WORLDCUP!BD63</f>
        <v>Suecia</v>
      </c>
      <c r="I127" s="9" t="str">
        <f ca="1">+WORLDCUP!BD69</f>
        <v>Panamá</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Jordania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Nueva Zelanda</v>
      </c>
      <c r="E129" s="9" t="str">
        <f ca="1">+WORLDCUP!BD59</f>
        <v>Bosnia y Herzegovina</v>
      </c>
      <c r="F129" s="9" t="str">
        <f ca="1">+WORLDCUP!BD61</f>
        <v>Paraguay</v>
      </c>
      <c r="G129" s="9" t="str">
        <f ca="1">+WORLDCUP!BD65</f>
        <v>Arabia Saudita</v>
      </c>
      <c r="H129" s="9" t="str">
        <f ca="1">+WORLDCUP!BD63</f>
        <v>Suecia</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Nueva Zelanda</v>
      </c>
      <c r="E130" s="9" t="str">
        <f ca="1">+WORLDCUP!BD59</f>
        <v>Bosnia y Herzegovina</v>
      </c>
      <c r="F130" s="9" t="str">
        <f ca="1">+WORLDCUP!BD61</f>
        <v>Paraguay</v>
      </c>
      <c r="G130" s="9" t="str">
        <f ca="1">+WORLDCUP!BD65</f>
        <v>Arabia Saudita</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Jordania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Arabia Saudita</v>
      </c>
      <c r="H133" s="9" t="str">
        <f ca="1">+WORLDCUP!BD61</f>
        <v>Paraguay</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Arabia Saudita</v>
      </c>
      <c r="H134" s="9" t="str">
        <f ca="1">+WORLDCUP!BD61</f>
        <v>Paraguay</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Arabia Saudita</v>
      </c>
      <c r="H135" s="9" t="str">
        <f ca="1">+WORLDCUP!BD61</f>
        <v>Paraguay</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Arabia Saudita</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Nueva Zelanda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Nueva Zelanda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Nueva Zelanda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Nueva Zelanda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Nueva Zelanda</v>
      </c>
      <c r="E141" s="9" t="str">
        <f ca="1">+WORLDCUP!BD59</f>
        <v>Bosnia y Herzegovina</v>
      </c>
      <c r="F141" s="9" t="str">
        <f ca="1">+WORLDCUP!BD60</f>
        <v>Escocia</v>
      </c>
      <c r="G141" s="9" t="str">
        <f ca="1">+WORLDCUP!BD65</f>
        <v>Arabia Saudita</v>
      </c>
      <c r="H141" s="9" t="str">
        <f ca="1">+WORLDCUP!BD61</f>
        <v>Paraguay</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Nueva Zelanda</v>
      </c>
      <c r="E144" s="9" t="str">
        <f ca="1">+WORLDCUP!BD59</f>
        <v>Bosnia y Herzegovina</v>
      </c>
      <c r="F144" s="9" t="str">
        <f ca="1">+WORLDCUP!BD60</f>
        <v>Escocia</v>
      </c>
      <c r="G144" s="9" t="str">
        <f ca="1">+WORLDCUP!BD65</f>
        <v>Arabia Saudita</v>
      </c>
      <c r="H144" s="9" t="str">
        <f ca="1">+WORLDCUP!BD61</f>
        <v>Paraguay</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Nueva Zelanda</v>
      </c>
      <c r="E145" s="9" t="str">
        <f ca="1">+WORLDCUP!BD59</f>
        <v>Bosnia y Herzegovina</v>
      </c>
      <c r="F145" s="9" t="str">
        <f ca="1">+WORLDCUP!BD60</f>
        <v>Escocia</v>
      </c>
      <c r="G145" s="9" t="str">
        <f ca="1">+WORLDCUP!BD65</f>
        <v>Arabia Saudita</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Arabia Saudita</v>
      </c>
      <c r="H151" s="9" t="str">
        <f ca="1">+WORLDCUP!BD63</f>
        <v>Suecia</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Arabia Saudita</v>
      </c>
      <c r="H152" s="9" t="str">
        <f ca="1">+WORLDCUP!BD63</f>
        <v>Suecia</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Arabia Saudita</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Arabia Saudita</v>
      </c>
      <c r="H154" s="9" t="str">
        <f ca="1">+WORLDCUP!BD63</f>
        <v>Suecia</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Arabia Saudita</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Arabia Saudita</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Nueva Zelanda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Nueva Zelanda</v>
      </c>
      <c r="E158" s="9" t="str">
        <f ca="1">+WORLDCUP!BD59</f>
        <v>Bosnia y Herzegovina</v>
      </c>
      <c r="F158" s="9" t="str">
        <f ca="1">+WORLDCUP!BD61</f>
        <v>Paraguay</v>
      </c>
      <c r="G158" s="9" t="str">
        <f ca="1">+WORLDCUP!BD67</f>
        <v>Jordania</v>
      </c>
      <c r="H158" s="9" t="str">
        <f ca="1">+WORLDCUP!BD63</f>
        <v>Suecia</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Nueva Zelanda</v>
      </c>
      <c r="E159" s="9" t="str">
        <f ca="1">+WORLDCUP!BD59</f>
        <v>Bosnia y Herzegovina</v>
      </c>
      <c r="F159" s="9" t="str">
        <f ca="1">+WORLDCUP!BD61</f>
        <v>Paraguay</v>
      </c>
      <c r="G159" s="9" t="str">
        <f ca="1">+WORLDCUP!BD67</f>
        <v>Jordania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Nueva Zelanda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Nueva Zelanda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Nueva Zelanda</v>
      </c>
      <c r="E162" s="9" t="str">
        <f ca="1">+WORLDCUP!BD59</f>
        <v>Bosnia y Herzegovina</v>
      </c>
      <c r="F162" s="9" t="str">
        <f ca="1">+WORLDCUP!BD61</f>
        <v>Paraguay</v>
      </c>
      <c r="G162" s="9" t="str">
        <f ca="1">+WORLDCUP!BD67</f>
        <v>Jordania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Nueva Zelanda</v>
      </c>
      <c r="E163" s="9" t="str">
        <f ca="1">+WORLDCUP!BD59</f>
        <v>Bosnia y Herzegovina</v>
      </c>
      <c r="F163" s="9" t="str">
        <f ca="1">+WORLDCUP!BD61</f>
        <v>Paraguay</v>
      </c>
      <c r="G163" s="9" t="str">
        <f ca="1">+WORLDCUP!BD65</f>
        <v>Arabia Saudita</v>
      </c>
      <c r="H163" s="9" t="str">
        <f ca="1">+WORLDCUP!BD63</f>
        <v>Suecia</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Nueva Zelanda</v>
      </c>
      <c r="E164" s="9" t="str">
        <f ca="1">+WORLDCUP!BD59</f>
        <v>Bosnia y Herzegovina</v>
      </c>
      <c r="F164" s="9" t="str">
        <f ca="1">+WORLDCUP!BD61</f>
        <v>Paraguay</v>
      </c>
      <c r="G164" s="9" t="str">
        <f ca="1">+WORLDCUP!BD65</f>
        <v>Arabia Saudita</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Jordania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Nueva Zelanda</v>
      </c>
      <c r="E166" s="9" t="str">
        <f ca="1">+WORLDCUP!BD59</f>
        <v>Bosnia y Herzegovina</v>
      </c>
      <c r="F166" s="9" t="str">
        <f ca="1">+WORLDCUP!BD61</f>
        <v>Paraguay</v>
      </c>
      <c r="G166" s="9" t="str">
        <f ca="1">+WORLDCUP!BD65</f>
        <v>Arabia Saudita</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Arabia Saudita</v>
      </c>
      <c r="H168" s="9" t="str">
        <f ca="1">+WORLDCUP!BD64</f>
        <v>Nueva Zelanda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Nueva Zelanda</v>
      </c>
      <c r="E171" s="9" t="str">
        <f ca="1">+WORLDCUP!BD67</f>
        <v>Jordania</v>
      </c>
      <c r="F171" s="9" t="str">
        <f ca="1">+WORLDCUP!BD63</f>
        <v>Suecia</v>
      </c>
      <c r="G171" s="9" t="str">
        <f ca="1">+WORLDCUP!BD58</f>
        <v>República Checa</v>
      </c>
      <c r="H171" s="9" t="str">
        <f ca="1">+WORLDCUP!BD65</f>
        <v>Arabia Saudita</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Nueva Zelanda</v>
      </c>
      <c r="E172" s="9" t="str">
        <f ca="1">+WORLDCUP!BD66</f>
        <v>Senegal</v>
      </c>
      <c r="F172" s="9" t="str">
        <f ca="1">+WORLDCUP!BD63</f>
        <v>Suecia</v>
      </c>
      <c r="G172" s="9" t="str">
        <f ca="1">+WORLDCUP!BD58</f>
        <v>República Checa</v>
      </c>
      <c r="H172" s="9" t="str">
        <f ca="1">+WORLDCUP!BD65</f>
        <v>Arabia Saudita</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Nueva Zelanda</v>
      </c>
      <c r="E173" s="9" t="str">
        <f ca="1">+WORLDCUP!BD67</f>
        <v>Jordania</v>
      </c>
      <c r="F173" s="9" t="str">
        <f ca="1">+WORLDCUP!BD63</f>
        <v>Suecia</v>
      </c>
      <c r="G173" s="9" t="str">
        <f ca="1">+WORLDCUP!BD58</f>
        <v>República Checa</v>
      </c>
      <c r="H173" s="9" t="str">
        <f ca="1">+WORLDCUP!BD65</f>
        <v>Arabia Saudita</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Nueva Zelanda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Arabia Saudita</v>
      </c>
      <c r="D175" s="9" t="str">
        <f ca="1">+WORLDCUP!BD67</f>
        <v>Jordania</v>
      </c>
      <c r="E175" s="9" t="str">
        <f ca="1">+WORLDCUP!BD66</f>
        <v>Senegal</v>
      </c>
      <c r="F175" s="9" t="str">
        <f ca="1">+WORLDCUP!BD61</f>
        <v>Paraguay</v>
      </c>
      <c r="G175" s="9" t="str">
        <f ca="1">+WORLDCUP!BD58</f>
        <v>República Checa</v>
      </c>
      <c r="H175" s="9" t="str">
        <f ca="1">+WORLDCUP!BD64</f>
        <v>Nueva Zelanda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Arabia Saudita</v>
      </c>
      <c r="D176" s="9" t="str">
        <f ca="1">+WORLDCUP!BD67</f>
        <v>Jordania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Nueva Zelanda</v>
      </c>
      <c r="E177" s="9" t="str">
        <f ca="1">+WORLDCUP!BD67</f>
        <v>Jordania</v>
      </c>
      <c r="F177" s="9" t="str">
        <f ca="1">+WORLDCUP!BD61</f>
        <v>Paraguay</v>
      </c>
      <c r="G177" s="9" t="str">
        <f ca="1">+WORLDCUP!BD58</f>
        <v>República Checa</v>
      </c>
      <c r="H177" s="9" t="str">
        <f ca="1">+WORLDCUP!BD63</f>
        <v>Suecia</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Arabia Saudita</v>
      </c>
      <c r="D178" s="9" t="str">
        <f ca="1">+WORLDCUP!BD64</f>
        <v>Nueva Zelanda</v>
      </c>
      <c r="E178" s="9" t="str">
        <f ca="1">+WORLDCUP!BD67</f>
        <v>Jordania</v>
      </c>
      <c r="F178" s="9" t="str">
        <f ca="1">+WORLDCUP!BD61</f>
        <v>Paraguay</v>
      </c>
      <c r="G178" s="9" t="str">
        <f ca="1">+WORLDCUP!BD58</f>
        <v>República Checa</v>
      </c>
      <c r="H178" s="9" t="str">
        <f ca="1">+WORLDCUP!BD63</f>
        <v>Suecia</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Arabia Saudita</v>
      </c>
      <c r="D179" s="9" t="str">
        <f ca="1">+WORLDCUP!BD64</f>
        <v>Nueva Zelanda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Arabia Saudita</v>
      </c>
      <c r="D180" s="9" t="str">
        <f ca="1">+WORLDCUP!BD64</f>
        <v>Nueva Zelanda</v>
      </c>
      <c r="E180" s="9" t="str">
        <f ca="1">+WORLDCUP!BD67</f>
        <v>Jordania</v>
      </c>
      <c r="F180" s="9" t="str">
        <f ca="1">+WORLDCUP!BD61</f>
        <v>Paraguay</v>
      </c>
      <c r="G180" s="9" t="str">
        <f ca="1">+WORLDCUP!BD58</f>
        <v>República Checa</v>
      </c>
      <c r="H180" s="9" t="str">
        <f ca="1">+WORLDCUP!BD63</f>
        <v>Suecia</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Arabia Saudita</v>
      </c>
      <c r="D181" s="9" t="str">
        <f ca="1">+WORLDCUP!BD64</f>
        <v>Nueva Zelanda</v>
      </c>
      <c r="E181" s="9" t="str">
        <f ca="1">+WORLDCUP!BD67</f>
        <v>Jordania</v>
      </c>
      <c r="F181" s="9" t="str">
        <f ca="1">+WORLDCUP!BD61</f>
        <v>Paraguay</v>
      </c>
      <c r="G181" s="9" t="str">
        <f ca="1">+WORLDCUP!BD58</f>
        <v>República Checa</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Arabia Saudita</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Nueva Zelanda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Nueva Zelanda</v>
      </c>
      <c r="E184" s="9" t="str">
        <f ca="1">+WORLDCUP!BD67</f>
        <v>Jordania</v>
      </c>
      <c r="F184" s="9" t="str">
        <f ca="1">+WORLDCUP!BD61</f>
        <v>Paraguay</v>
      </c>
      <c r="G184" s="9" t="str">
        <f ca="1">+WORLDCUP!BD58</f>
        <v>República Checa</v>
      </c>
      <c r="H184" s="9" t="str">
        <f ca="1">+WORLDCUP!BD65</f>
        <v>Arabia Saudita</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Nueva Zelanda</v>
      </c>
      <c r="E185" s="9" t="str">
        <f ca="1">+WORLDCUP!BD66</f>
        <v>Senegal</v>
      </c>
      <c r="F185" s="9" t="str">
        <f ca="1">+WORLDCUP!BD61</f>
        <v>Paraguay</v>
      </c>
      <c r="G185" s="9" t="str">
        <f ca="1">+WORLDCUP!BD58</f>
        <v>República Checa</v>
      </c>
      <c r="H185" s="9" t="str">
        <f ca="1">+WORLDCUP!BD65</f>
        <v>Arabia Saudita</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Nueva Zelanda</v>
      </c>
      <c r="E186" s="9" t="str">
        <f ca="1">+WORLDCUP!BD67</f>
        <v>Jordania</v>
      </c>
      <c r="F186" s="9" t="str">
        <f ca="1">+WORLDCUP!BD61</f>
        <v>Paraguay</v>
      </c>
      <c r="G186" s="9" t="str">
        <f ca="1">+WORLDCUP!BD58</f>
        <v>República Checa</v>
      </c>
      <c r="H186" s="9" t="str">
        <f ca="1">+WORLDCUP!BD65</f>
        <v>Arabia Saudita</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Nueva Zelanda</v>
      </c>
      <c r="E187" s="9" t="str">
        <f ca="1">+WORLDCUP!BD67</f>
        <v>Jordania</v>
      </c>
      <c r="F187" s="9" t="str">
        <f ca="1">+WORLDCUP!BD61</f>
        <v>Paraguay</v>
      </c>
      <c r="G187" s="9" t="str">
        <f ca="1">+WORLDCUP!BD58</f>
        <v>República Checa</v>
      </c>
      <c r="H187" s="9" t="str">
        <f ca="1">+WORLDCUP!BD65</f>
        <v>Arabia Saudita</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Arabia Saudita</v>
      </c>
      <c r="D189" s="9" t="str">
        <f ca="1">+WORLDCUP!BD67</f>
        <v>Jordania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Arabia Saudita</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Arabia Saudita</v>
      </c>
      <c r="D191" s="9" t="str">
        <f ca="1">+WORLDCUP!BD67</f>
        <v>Jordania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Arabia Saudita</v>
      </c>
      <c r="D192" s="9" t="str">
        <f ca="1">+WORLDCUP!BD67</f>
        <v>Jordania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Nueva Zelanda</v>
      </c>
      <c r="E193" s="9" t="str">
        <f ca="1">+WORLDCUP!BD67</f>
        <v>Jordania</v>
      </c>
      <c r="F193" s="9" t="str">
        <f ca="1">+WORLDCUP!BD61</f>
        <v>Paraguay</v>
      </c>
      <c r="G193" s="9" t="str">
        <f ca="1">+WORLDCUP!BD58</f>
        <v>República Checa</v>
      </c>
      <c r="H193" s="9" t="str">
        <f ca="1">+WORLDCUP!BD63</f>
        <v>Suecia</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Nueva Zelanda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Nueva Zelanda</v>
      </c>
      <c r="E195" s="9" t="str">
        <f ca="1">+WORLDCUP!BD67</f>
        <v>Jordania</v>
      </c>
      <c r="F195" s="9" t="str">
        <f ca="1">+WORLDCUP!BD61</f>
        <v>Paraguay</v>
      </c>
      <c r="G195" s="9" t="str">
        <f ca="1">+WORLDCUP!BD58</f>
        <v>República Checa</v>
      </c>
      <c r="H195" s="9" t="str">
        <f ca="1">+WORLDCUP!BD63</f>
        <v>Suecia</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Nueva Zelanda</v>
      </c>
      <c r="E196" s="9" t="str">
        <f ca="1">+WORLDCUP!BD67</f>
        <v>Jordania</v>
      </c>
      <c r="F196" s="9" t="str">
        <f ca="1">+WORLDCUP!BD61</f>
        <v>Paraguay</v>
      </c>
      <c r="G196" s="9" t="str">
        <f ca="1">+WORLDCUP!BD58</f>
        <v>República Checa</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Arabia Saudita</v>
      </c>
      <c r="D197" s="9" t="str">
        <f ca="1">+WORLDCUP!BD64</f>
        <v>Nueva Zelanda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Arabia Saudita</v>
      </c>
      <c r="D198" s="9" t="str">
        <f ca="1">+WORLDCUP!BD64</f>
        <v>Nueva Zelanda</v>
      </c>
      <c r="E198" s="9" t="str">
        <f ca="1">+WORLDCUP!BD67</f>
        <v>Jordania</v>
      </c>
      <c r="F198" s="9" t="str">
        <f ca="1">+WORLDCUP!BD61</f>
        <v>Paraguay</v>
      </c>
      <c r="G198" s="9" t="str">
        <f ca="1">+WORLDCUP!BD58</f>
        <v>República Checa</v>
      </c>
      <c r="H198" s="9" t="str">
        <f ca="1">+WORLDCUP!BD63</f>
        <v>Suecia</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Arabia Saudita</v>
      </c>
      <c r="D199" s="9" t="str">
        <f ca="1">+WORLDCUP!BD64</f>
        <v>Nueva Zelanda</v>
      </c>
      <c r="E199" s="9" t="str">
        <f ca="1">+WORLDCUP!BD67</f>
        <v>Jordania</v>
      </c>
      <c r="F199" s="9" t="str">
        <f ca="1">+WORLDCUP!BD61</f>
        <v>Paraguay</v>
      </c>
      <c r="G199" s="9" t="str">
        <f ca="1">+WORLDCUP!BD58</f>
        <v>República Checa</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Arabia Saudita</v>
      </c>
      <c r="D200" s="9" t="str">
        <f ca="1">+WORLDCUP!BD64</f>
        <v>Nueva Zelanda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Arabia Saudita</v>
      </c>
      <c r="D201" s="9" t="str">
        <f ca="1">+WORLDCUP!BD64</f>
        <v>Nueva Zelanda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Arabia Saudita</v>
      </c>
      <c r="D202" s="9" t="str">
        <f ca="1">+WORLDCUP!BD64</f>
        <v>Nueva Zelanda</v>
      </c>
      <c r="E202" s="9" t="str">
        <f ca="1">+WORLDCUP!BD67</f>
        <v>Jordania</v>
      </c>
      <c r="F202" s="9" t="str">
        <f ca="1">+WORLDCUP!BD61</f>
        <v>Paraguay</v>
      </c>
      <c r="G202" s="9" t="str">
        <f ca="1">+WORLDCUP!BD58</f>
        <v>República Checa</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Arabia Saudita</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Arabia Saudita</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Arabia Saudita</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Nueva Zelanda</v>
      </c>
      <c r="E212" s="9" t="str">
        <f ca="1">+WORLDCUP!BD67</f>
        <v>Jordania</v>
      </c>
      <c r="F212" s="9" t="str">
        <f ca="1">+WORLDCUP!BD60</f>
        <v>Escocia</v>
      </c>
      <c r="G212" s="9" t="str">
        <f ca="1">+WORLDCUP!BD58</f>
        <v>República Checa</v>
      </c>
      <c r="H212" s="9" t="str">
        <f ca="1">+WORLDCUP!BD65</f>
        <v>Arabia Saudita</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Nueva Zelanda</v>
      </c>
      <c r="E214" s="9" t="str">
        <f ca="1">+WORLDCUP!BD67</f>
        <v>Jordania</v>
      </c>
      <c r="F214" s="9" t="str">
        <f ca="1">+WORLDCUP!BD60</f>
        <v>Escocia</v>
      </c>
      <c r="G214" s="9" t="str">
        <f ca="1">+WORLDCUP!BD58</f>
        <v>República Checa</v>
      </c>
      <c r="H214" s="9" t="str">
        <f ca="1">+WORLDCUP!BD65</f>
        <v>Arabia Saudita</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Nueva Zelanda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Arabia Saudita</v>
      </c>
      <c r="D217" s="9" t="str">
        <f ca="1">+WORLDCUP!BD67</f>
        <v>Jordania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Arabia Saudita</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Arabia Saudita</v>
      </c>
      <c r="D219" s="9" t="str">
        <f ca="1">+WORLDCUP!BD67</f>
        <v>Jordania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Arabia Saudita</v>
      </c>
      <c r="D220" s="9" t="str">
        <f ca="1">+WORLDCUP!BD67</f>
        <v>Jordania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Arabia Saudita</v>
      </c>
      <c r="D225" s="9" t="str">
        <f ca="1">+WORLDCUP!BD64</f>
        <v>Nueva Zelanda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Arabia Saudita</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Arabia Saudita</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Arabia Saudita</v>
      </c>
      <c r="D228" s="9" t="str">
        <f ca="1">+WORLDCUP!BD64</f>
        <v>Nueva Zelanda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Arabia Saudita</v>
      </c>
      <c r="D229" s="9" t="str">
        <f ca="1">+WORLDCUP!BD64</f>
        <v>Nueva Zelanda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Arabia Saudita</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Arabia Saudita</v>
      </c>
      <c r="D233" s="9" t="str">
        <f ca="1">+WORLDCUP!BD64</f>
        <v>Nueva Zelanda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Arabia Saudita</v>
      </c>
      <c r="D235" s="9" t="str">
        <f ca="1">+WORLDCUP!BD64</f>
        <v>Nueva Zelanda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Arabia Saudita</v>
      </c>
      <c r="D236" s="9" t="str">
        <f ca="1">+WORLDCUP!BD64</f>
        <v>Nueva Zelanda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Nueva Zelanda</v>
      </c>
      <c r="E242" s="9" t="str">
        <f ca="1">+WORLDCUP!BD67</f>
        <v>Jordania</v>
      </c>
      <c r="F242" s="9" t="str">
        <f ca="1">+WORLDCUP!BD61</f>
        <v>Paraguay</v>
      </c>
      <c r="G242" s="9" t="str">
        <f ca="1">+WORLDCUP!BD58</f>
        <v>República Checa</v>
      </c>
      <c r="H242" s="9" t="str">
        <f ca="1">+WORLDCUP!BD63</f>
        <v>Suecia</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Nueva Zelanda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Nueva Zelanda</v>
      </c>
      <c r="E244" s="9" t="str">
        <f ca="1">+WORLDCUP!BD67</f>
        <v>Jordania</v>
      </c>
      <c r="F244" s="9" t="str">
        <f ca="1">+WORLDCUP!BD61</f>
        <v>Paraguay</v>
      </c>
      <c r="G244" s="9" t="str">
        <f ca="1">+WORLDCUP!BD58</f>
        <v>República Checa</v>
      </c>
      <c r="H244" s="9" t="str">
        <f ca="1">+WORLDCUP!BD63</f>
        <v>Suecia</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Nueva Zelanda</v>
      </c>
      <c r="E245" s="9" t="str">
        <f ca="1">+WORLDCUP!BD67</f>
        <v>Jordania</v>
      </c>
      <c r="F245" s="9" t="str">
        <f ca="1">+WORLDCUP!BD61</f>
        <v>Paraguay</v>
      </c>
      <c r="G245" s="9" t="str">
        <f ca="1">+WORLDCUP!BD58</f>
        <v>República Checa</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Arabia Saudita</v>
      </c>
      <c r="D246" s="9" t="str">
        <f ca="1">+WORLDCUP!BD64</f>
        <v>Nueva Zelanda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Nueva Zelanda</v>
      </c>
      <c r="E247" s="9" t="str">
        <f ca="1">+WORLDCUP!BD67</f>
        <v>Jordania</v>
      </c>
      <c r="F247" s="9" t="str">
        <f ca="1">+WORLDCUP!BD61</f>
        <v>Paraguay</v>
      </c>
      <c r="G247" s="9" t="str">
        <f ca="1">+WORLDCUP!BD58</f>
        <v>República Checa</v>
      </c>
      <c r="H247" s="9" t="str">
        <f ca="1">+WORLDCUP!BD63</f>
        <v>Suecia</v>
      </c>
      <c r="I247" s="9" t="str">
        <f ca="1">+WORLDCUP!BD69</f>
        <v>Panamá</v>
      </c>
      <c r="J247" s="9" t="str">
        <f ca="1">+WORLDCUP!BD65</f>
        <v>Arabia Saudita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Arabia Saudita</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Arabia Saudita</v>
      </c>
      <c r="D249" s="9" t="str">
        <f ca="1">+WORLDCUP!BD64</f>
        <v>Nueva Zelanda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Arabia Saudita</v>
      </c>
      <c r="D250" s="9" t="str">
        <f ca="1">+WORLDCUP!BD64</f>
        <v>Nueva Zelanda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Arabia Saudita</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Arabia Saudita</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Arabia Saudita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Arabia Saudita</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Arabia Saudita</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Nueva Zelanda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Nueva Zelanda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Nueva Zelanda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Nueva Zelanda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Arabia Saudita</v>
      </c>
      <c r="D261" s="9" t="str">
        <f ca="1">+WORLDCUP!BD64</f>
        <v>Nueva Zelanda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Arabia Saudita</v>
      </c>
      <c r="D262" s="9" t="str">
        <f ca="1">+WORLDCUP!BD64</f>
        <v>Nueva Zelanda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Arabia Saudita</v>
      </c>
      <c r="D263" s="9" t="str">
        <f ca="1">+WORLDCUP!BD64</f>
        <v>Nueva Zelanda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Arabia Saudita</v>
      </c>
      <c r="D264" s="9" t="str">
        <f ca="1">+WORLDCUP!BD64</f>
        <v>Nueva Zelanda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Arabia Saudita</v>
      </c>
      <c r="D265" s="9" t="str">
        <f ca="1">+WORLDCUP!BD64</f>
        <v>Nueva Zelanda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Arabia Saudita</v>
      </c>
      <c r="D266" s="9" t="str">
        <f ca="1">+WORLDCUP!BD64</f>
        <v>Nueva Zelanda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Arabia Saudita</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Arabia Saudita</v>
      </c>
      <c r="D273" s="9" t="str">
        <f ca="1">+WORLDCUP!BD67</f>
        <v>Jordania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Arabia Saudita</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Arabia Saudita</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Arabia Saudita</v>
      </c>
      <c r="D276" s="9" t="str">
        <f ca="1">+WORLDCUP!BD67</f>
        <v>Jordania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Nueva Zelanda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Nueva Zelanda</v>
      </c>
      <c r="E278" s="9" t="str">
        <f ca="1">+WORLDCUP!BD67</f>
        <v>Jordania</v>
      </c>
      <c r="F278" s="9" t="str">
        <f ca="1">+WORLDCUP!BD61</f>
        <v>Paraguay</v>
      </c>
      <c r="G278" s="9" t="str">
        <f ca="1">+WORLDCUP!BD58</f>
        <v>República Checa</v>
      </c>
      <c r="H278" s="9" t="str">
        <f ca="1">+WORLDCUP!BD63</f>
        <v>Suecia</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Nueva Zelanda</v>
      </c>
      <c r="E279" s="9" t="str">
        <f ca="1">+WORLDCUP!BD67</f>
        <v>Jordania</v>
      </c>
      <c r="F279" s="9" t="str">
        <f ca="1">+WORLDCUP!BD61</f>
        <v>Paraguay</v>
      </c>
      <c r="G279" s="9" t="str">
        <f ca="1">+WORLDCUP!BD58</f>
        <v>República Checa</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Nueva Zelanda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Nueva Zelanda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Nueva Zelanda</v>
      </c>
      <c r="E282" s="9" t="str">
        <f ca="1">+WORLDCUP!BD67</f>
        <v>Jordania</v>
      </c>
      <c r="F282" s="9" t="str">
        <f ca="1">+WORLDCUP!BD61</f>
        <v>Paraguay</v>
      </c>
      <c r="G282" s="9" t="str">
        <f ca="1">+WORLDCUP!BD58</f>
        <v>República Checa</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Arabia Saudita</v>
      </c>
      <c r="D283" s="9" t="str">
        <f ca="1">+WORLDCUP!BD64</f>
        <v>Nueva Zelanda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Arabia Saudita</v>
      </c>
      <c r="D284" s="9" t="str">
        <f ca="1">+WORLDCUP!BD64</f>
        <v>Nueva Zelanda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Arabia Saudita</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Arabia Saudita</v>
      </c>
      <c r="D286" s="9" t="str">
        <f ca="1">+WORLDCUP!BD64</f>
        <v>Nueva Zelanda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Nueva Zelanda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Nueva Zelanda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Nueva Zelanda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Nueva Zelanda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Nueva Zelanda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Nueva Zelanda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Arabia Saudita</v>
      </c>
      <c r="H296" s="9" t="str">
        <f ca="1">+WORLDCUP!BD64</f>
        <v>Nueva Zelanda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Arabia Saudita</v>
      </c>
      <c r="H298" s="9" t="str">
        <f ca="1">+WORLDCUP!BD64</f>
        <v>Nueva Zelanda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Bosnia y Herzegovina</v>
      </c>
      <c r="F305" s="9" t="str">
        <f ca="1">+WORLDCUP!BD63</f>
        <v>Suecia</v>
      </c>
      <c r="G305" s="9" t="str">
        <f ca="1">+WORLDCUP!BD58</f>
        <v>República Checa</v>
      </c>
      <c r="H305" s="9" t="str">
        <f ca="1">+WORLDCUP!BD64</f>
        <v>Nueva Zelanda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Nueva Zelanda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Bosnia y Herzegovina</v>
      </c>
      <c r="F307" s="9" t="str">
        <f ca="1">+WORLDCUP!BD63</f>
        <v>Suecia</v>
      </c>
      <c r="G307" s="9" t="str">
        <f ca="1">+WORLDCUP!BD58</f>
        <v>República Checa</v>
      </c>
      <c r="H307" s="9" t="str">
        <f ca="1">+WORLDCUP!BD64</f>
        <v>Nueva Zelanda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Bosnia y Herzegovina</v>
      </c>
      <c r="F308" s="9" t="str">
        <f ca="1">+WORLDCUP!BD63</f>
        <v>Suecia</v>
      </c>
      <c r="G308" s="9" t="str">
        <f ca="1">+WORLDCUP!BD58</f>
        <v>República Checa</v>
      </c>
      <c r="H308" s="9" t="str">
        <f ca="1">+WORLDCUP!BD64</f>
        <v>Nueva Zelanda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Nueva Zelanda</v>
      </c>
      <c r="E309" s="9" t="str">
        <f ca="1">+WORLDCUP!BD59</f>
        <v>Bosnia y Herzegovina</v>
      </c>
      <c r="F309" s="9" t="str">
        <f ca="1">+WORLDCUP!BD63</f>
        <v>Suecia</v>
      </c>
      <c r="G309" s="9" t="str">
        <f ca="1">+WORLDCUP!BD58</f>
        <v>República Checa</v>
      </c>
      <c r="H309" s="9" t="str">
        <f ca="1">+WORLDCUP!BD65</f>
        <v>Arabia Saudita</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Nueva Zelanda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Nueva Zelanda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Nueva Zelanda</v>
      </c>
      <c r="E312" s="9" t="str">
        <f ca="1">+WORLDCUP!BD59</f>
        <v>Bosnia y Herzegovina</v>
      </c>
      <c r="F312" s="9" t="str">
        <f ca="1">+WORLDCUP!BD63</f>
        <v>Suecia</v>
      </c>
      <c r="G312" s="9" t="str">
        <f ca="1">+WORLDCUP!BD58</f>
        <v>República Checa</v>
      </c>
      <c r="H312" s="9" t="str">
        <f ca="1">+WORLDCUP!BD65</f>
        <v>Arabia Saudita</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Nueva Zelanda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Nueva Zelanda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Arabia Saudita</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Nueva Zelanda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Arabia Saudita</v>
      </c>
      <c r="D317" s="9" t="str">
        <f ca="1">+WORLDCUP!BD67</f>
        <v>Jordania</v>
      </c>
      <c r="E317" s="9" t="str">
        <f ca="1">+WORLDCUP!BD59</f>
        <v>Bosnia y Herzegovina</v>
      </c>
      <c r="F317" s="9" t="str">
        <f ca="1">+WORLDCUP!BD61</f>
        <v>Paraguay</v>
      </c>
      <c r="G317" s="9" t="str">
        <f ca="1">+WORLDCUP!BD58</f>
        <v>República Checa</v>
      </c>
      <c r="H317" s="9" t="str">
        <f ca="1">+WORLDCUP!BD64</f>
        <v>Nueva Zelanda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Nueva Zelanda</v>
      </c>
      <c r="E318" s="9" t="str">
        <f ca="1">+WORLDCUP!BD59</f>
        <v>Bosnia y Herzegovina</v>
      </c>
      <c r="F318" s="9" t="str">
        <f ca="1">+WORLDCUP!BD61</f>
        <v>Paraguay</v>
      </c>
      <c r="G318" s="9" t="str">
        <f ca="1">+WORLDCUP!BD58</f>
        <v>República Checa</v>
      </c>
      <c r="H318" s="9" t="str">
        <f ca="1">+WORLDCUP!BD65</f>
        <v>Arabia Saudita</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Arabia Saudita</v>
      </c>
      <c r="D319" s="9" t="str">
        <f ca="1">+WORLDCUP!BD67</f>
        <v>Jordania</v>
      </c>
      <c r="E319" s="9" t="str">
        <f ca="1">+WORLDCUP!BD59</f>
        <v>Bosnia y Herzegovina</v>
      </c>
      <c r="F319" s="9" t="str">
        <f ca="1">+WORLDCUP!BD61</f>
        <v>Paraguay</v>
      </c>
      <c r="G319" s="9" t="str">
        <f ca="1">+WORLDCUP!BD58</f>
        <v>República Checa</v>
      </c>
      <c r="H319" s="9" t="str">
        <f ca="1">+WORLDCUP!BD64</f>
        <v>Nueva Zelanda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Arabia Saudita</v>
      </c>
      <c r="D320" s="9" t="str">
        <f ca="1">+WORLDCUP!BD67</f>
        <v>Jordania</v>
      </c>
      <c r="E320" s="9" t="str">
        <f ca="1">+WORLDCUP!BD59</f>
        <v>Bosnia y Herzegovina</v>
      </c>
      <c r="F320" s="9" t="str">
        <f ca="1">+WORLDCUP!BD61</f>
        <v>Paraguay</v>
      </c>
      <c r="G320" s="9" t="str">
        <f ca="1">+WORLDCUP!BD58</f>
        <v>República Checa</v>
      </c>
      <c r="H320" s="9" t="str">
        <f ca="1">+WORLDCUP!BD64</f>
        <v>Nueva Zelanda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Arabia Saudita</v>
      </c>
      <c r="D322" s="9" t="str">
        <f ca="1">+WORLDCUP!BD67</f>
        <v>Jordania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Arabia Saudita</v>
      </c>
      <c r="D324" s="9" t="str">
        <f ca="1">+WORLDCUP!BD67</f>
        <v>Jordania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Arabia Saudita</v>
      </c>
      <c r="D325" s="9" t="str">
        <f ca="1">+WORLDCUP!BD67</f>
        <v>Jordania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Jordania</v>
      </c>
      <c r="E326" s="9" t="str">
        <f ca="1">+WORLDCUP!BD59</f>
        <v>Bosnia y Herzegovina</v>
      </c>
      <c r="F326" s="9" t="str">
        <f ca="1">+WORLDCUP!BD61</f>
        <v>Paraguay</v>
      </c>
      <c r="G326" s="9" t="str">
        <f ca="1">+WORLDCUP!BD58</f>
        <v>República Checa</v>
      </c>
      <c r="H326" s="9" t="str">
        <f ca="1">+WORLDCUP!BD64</f>
        <v>Nueva Zelanda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Nueva Zelanda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Jordania</v>
      </c>
      <c r="E328" s="9" t="str">
        <f ca="1">+WORLDCUP!BD59</f>
        <v>Bosnia y Herzegovina</v>
      </c>
      <c r="F328" s="9" t="str">
        <f ca="1">+WORLDCUP!BD61</f>
        <v>Paraguay</v>
      </c>
      <c r="G328" s="9" t="str">
        <f ca="1">+WORLDCUP!BD58</f>
        <v>República Checa</v>
      </c>
      <c r="H328" s="9" t="str">
        <f ca="1">+WORLDCUP!BD64</f>
        <v>Nueva Zelanda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Jordania</v>
      </c>
      <c r="E329" s="9" t="str">
        <f ca="1">+WORLDCUP!BD59</f>
        <v>Bosnia y Herzegovina</v>
      </c>
      <c r="F329" s="9" t="str">
        <f ca="1">+WORLDCUP!BD61</f>
        <v>Paraguay</v>
      </c>
      <c r="G329" s="9" t="str">
        <f ca="1">+WORLDCUP!BD58</f>
        <v>República Checa</v>
      </c>
      <c r="H329" s="9" t="str">
        <f ca="1">+WORLDCUP!BD64</f>
        <v>Nueva Zelanda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Arabia Saudita</v>
      </c>
      <c r="D330" s="9" t="str">
        <f ca="1">+WORLDCUP!BD64</f>
        <v>Nueva Zelanda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Arabia Saudita</v>
      </c>
      <c r="D331" s="9" t="str">
        <f ca="1">+WORLDCUP!BD64</f>
        <v>Nueva Zelanda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Arabia Saudita</v>
      </c>
      <c r="D332" s="9" t="str">
        <f ca="1">+WORLDCUP!BD64</f>
        <v>Nueva Zelanda</v>
      </c>
      <c r="E332" s="9" t="str">
        <f ca="1">+WORLDCUP!BD59</f>
        <v>Bosnia y Herzegovina</v>
      </c>
      <c r="F332" s="9" t="str">
        <f ca="1">+WORLDCUP!BD61</f>
        <v>Paraguay</v>
      </c>
      <c r="G332" s="9" t="str">
        <f ca="1">+WORLDCUP!BD58</f>
        <v>República Checa</v>
      </c>
      <c r="H332" s="9" t="str">
        <f ca="1">+WORLDCUP!BD63</f>
        <v>Suecia</v>
      </c>
      <c r="I332" s="9" t="str">
        <f ca="1">+WORLDCUP!BD67</f>
        <v>Jordania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Arabia Saudita</v>
      </c>
      <c r="D333" s="9" t="str">
        <f ca="1">+WORLDCUP!BD64</f>
        <v>Nueva Zelanda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Arabia Saudita</v>
      </c>
      <c r="D334" s="9" t="str">
        <f ca="1">+WORLDCUP!BD64</f>
        <v>Nueva Zelanda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Arabia Saudita</v>
      </c>
      <c r="D335" s="9" t="str">
        <f ca="1">+WORLDCUP!BD64</f>
        <v>Nueva Zelanda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Arabia Saudita</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Arabia Saudita</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Arabia Saudita</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Arabia Saudita</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Nueva Zelanda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Nueva Zelanda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Nueva Zelanda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Nueva Zelanda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Nueva Zelanda</v>
      </c>
      <c r="E345" s="9" t="str">
        <f ca="1">+WORLDCUP!BD59</f>
        <v>Bosnia y Herzegovina</v>
      </c>
      <c r="F345" s="9" t="str">
        <f ca="1">+WORLDCUP!BD61</f>
        <v>Paraguay</v>
      </c>
      <c r="G345" s="9" t="str">
        <f ca="1">+WORLDCUP!BD58</f>
        <v>República Checa</v>
      </c>
      <c r="H345" s="9" t="str">
        <f ca="1">+WORLDCUP!BD65</f>
        <v>Arabia Saudita</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Arabia Saudita</v>
      </c>
      <c r="D346" s="9" t="str">
        <f ca="1">+WORLDCUP!BD67</f>
        <v>Jordania</v>
      </c>
      <c r="E346" s="9" t="str">
        <f ca="1">+WORLDCUP!BD59</f>
        <v>Bosnia y Herzegovina</v>
      </c>
      <c r="F346" s="9" t="str">
        <f ca="1">+WORLDCUP!BD61</f>
        <v>Paraguay</v>
      </c>
      <c r="G346" s="9" t="str">
        <f ca="1">+WORLDCUP!BD58</f>
        <v>República Checa</v>
      </c>
      <c r="H346" s="9" t="str">
        <f ca="1">+WORLDCUP!BD64</f>
        <v>Nueva Zelanda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Arabia Saudita</v>
      </c>
      <c r="D347" s="9" t="str">
        <f ca="1">+WORLDCUP!BD67</f>
        <v>Jordania</v>
      </c>
      <c r="E347" s="9" t="str">
        <f ca="1">+WORLDCUP!BD59</f>
        <v>Bosnia y Herzegovina</v>
      </c>
      <c r="F347" s="9" t="str">
        <f ca="1">+WORLDCUP!BD61</f>
        <v>Paraguay</v>
      </c>
      <c r="G347" s="9" t="str">
        <f ca="1">+WORLDCUP!BD58</f>
        <v>República Checa</v>
      </c>
      <c r="H347" s="9" t="str">
        <f ca="1">+WORLDCUP!BD64</f>
        <v>Nueva Zelanda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Nueva Zelanda</v>
      </c>
      <c r="E348" s="9" t="str">
        <f ca="1">+WORLDCUP!BD59</f>
        <v>Bosnia y Herzegovina</v>
      </c>
      <c r="F348" s="9" t="str">
        <f ca="1">+WORLDCUP!BD61</f>
        <v>Paraguay</v>
      </c>
      <c r="G348" s="9" t="str">
        <f ca="1">+WORLDCUP!BD58</f>
        <v>República Checa</v>
      </c>
      <c r="H348" s="9" t="str">
        <f ca="1">+WORLDCUP!BD65</f>
        <v>Arabia Saudita</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Nueva Zelanda</v>
      </c>
      <c r="E349" s="9" t="str">
        <f ca="1">+WORLDCUP!BD59</f>
        <v>Bosnia y Herzegovina</v>
      </c>
      <c r="F349" s="9" t="str">
        <f ca="1">+WORLDCUP!BD61</f>
        <v>Paraguay</v>
      </c>
      <c r="G349" s="9" t="str">
        <f ca="1">+WORLDCUP!BD58</f>
        <v>República Checa</v>
      </c>
      <c r="H349" s="9" t="str">
        <f ca="1">+WORLDCUP!BD65</f>
        <v>Arabia Saudita</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Arabia Saudita</v>
      </c>
      <c r="D350" s="9" t="str">
        <f ca="1">+WORLDCUP!BD67</f>
        <v>Jordania</v>
      </c>
      <c r="E350" s="9" t="str">
        <f ca="1">+WORLDCUP!BD59</f>
        <v>Bosnia y Herzegovina</v>
      </c>
      <c r="F350" s="9" t="str">
        <f ca="1">+WORLDCUP!BD61</f>
        <v>Paraguay</v>
      </c>
      <c r="G350" s="9" t="str">
        <f ca="1">+WORLDCUP!BD58</f>
        <v>República Checa</v>
      </c>
      <c r="H350" s="9" t="str">
        <f ca="1">+WORLDCUP!BD64</f>
        <v>Nueva Zelanda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Arabia Saudita</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Arabia Saudita</v>
      </c>
      <c r="D356" s="9" t="str">
        <f ca="1">+WORLDCUP!BD67</f>
        <v>Jordania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Arabia Saudita</v>
      </c>
      <c r="D357" s="9" t="str">
        <f ca="1">+WORLDCUP!BD67</f>
        <v>Jordania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Arabia Saudita</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Arabia Saudita</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Arabia Saudita</v>
      </c>
      <c r="D360" s="9" t="str">
        <f ca="1">+WORLDCUP!BD67</f>
        <v>Jordania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Nueva Zelanda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Nueva Zelanda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Nueva Zelanda</v>
      </c>
      <c r="E363" s="9" t="str">
        <f ca="1">+WORLDCUP!BD59</f>
        <v>Bosnia y Herzegovina</v>
      </c>
      <c r="F363" s="9" t="str">
        <f ca="1">+WORLDCUP!BD61</f>
        <v>Paraguay</v>
      </c>
      <c r="G363" s="9" t="str">
        <f ca="1">+WORLDCUP!BD58</f>
        <v>República Checa</v>
      </c>
      <c r="H363" s="9" t="str">
        <f ca="1">+WORLDCUP!BD63</f>
        <v>Suecia</v>
      </c>
      <c r="I363" s="9" t="str">
        <f ca="1">+WORLDCUP!BD67</f>
        <v>Jordania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Nueva Zelanda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Nueva Zelanda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Nueva Zelanda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Arabia Saudita</v>
      </c>
      <c r="D367" s="9" t="str">
        <f ca="1">+WORLDCUP!BD64</f>
        <v>Nueva Zelanda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Arabia Saudita</v>
      </c>
      <c r="D368" s="9" t="str">
        <f ca="1">+WORLDCUP!BD64</f>
        <v>Nueva Zelanda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Arabia Saudita</v>
      </c>
      <c r="D369" s="9" t="str">
        <f ca="1">+WORLDCUP!BD64</f>
        <v>Nueva Zelanda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Arabia Saudita</v>
      </c>
      <c r="D370" s="9" t="str">
        <f ca="1">+WORLDCUP!BD64</f>
        <v>Nueva Zelanda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Nueva Zelanda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Nueva Zelanda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Nueva Zelanda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Nueva Zelanda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Nueva Zelanda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Nueva Zelanda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Nueva Zelanda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Nueva Zelanda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Nueva Zelanda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Nueva Zelanda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Nueva Zelanda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Arabia Saudita</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Arabia Saudita</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Arabia Saudita</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Nueva Zelanda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Nueva Zelanda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Nueva Zelanda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Nueva Zelanda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Nueva Zelanda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Nueva Zelanda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Nueva Zelanda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Nueva Zelanda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Nueva Zelanda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Arabia Saudita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Nueva Zelanda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Nueva Zelanda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Nueva Zelanda</v>
      </c>
      <c r="E454" s="9" t="str">
        <f ca="1">+WORLDCUP!BD59</f>
        <v>Bosnia y Herzegovina</v>
      </c>
      <c r="F454" s="9" t="str">
        <f ca="1">+WORLDCUP!BD61</f>
        <v>Paraguay</v>
      </c>
      <c r="G454" s="9" t="str">
        <f ca="1">+WORLDCUP!BD58</f>
        <v>República Checa</v>
      </c>
      <c r="H454" s="9" t="str">
        <f ca="1">+WORLDCUP!BD63</f>
        <v>Suecia</v>
      </c>
      <c r="I454" s="9" t="str">
        <f ca="1">+WORLDCUP!BD67</f>
        <v>Jordania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Nueva Zelanda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Nueva Zelanda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Nueva Zelanda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Nueva Zelanda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Arabia Saudita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Arabia Saudita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Arabia Saudita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Arabia Saudita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Nueva Zelanda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Nueva Zelanda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Nueva Zelanda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Nueva Zelanda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Nueva Zelanda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Nueva Zelanda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Arabia Saudita</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Arabia Saudita</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Nueva Zelanda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1</v>
      </c>
      <c r="C493" s="9" t="str">
        <f ca="1">+WORLDCUP!BD60</f>
        <v>Escocia</v>
      </c>
      <c r="D493" s="9" t="str">
        <f ca="1">+WORLDCUP!BD64</f>
        <v>Nueva Zelanda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Nueva Zelanda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Nueva Zelanda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2026-06-21T21:10:31Z</dcterms:modified>
</cp:coreProperties>
</file>