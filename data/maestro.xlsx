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3E50BEE-5460-4D91-948E-6A9DA7FD5BA9}"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<sst xmlns="http://schemas.openxmlformats.org/spreadsheetml/2006/main" count="6814" uniqueCount="1534">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</sst>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16" zoomScale="55" zoomScaleNormal="100" workbookViewId="0">
      <selection activeCell="AD126" sqref="AD126"/>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52"/>
      <c r="X126" s="24">
        <f ca="1">Horarios!C126</f>
        <v>46210.75</v>
      </c>
      <c r="Y126" s="25">
        <f ca="1">Horarios!C126</f>
        <v>46210.75</v>
      </c>
      <c r="Z126" s="266">
        <f t="shared" si="319"/>
        <v>95</v>
      </c>
      <c r="AA126" s="86" t="str">
        <f t="shared" ca="1" si="320"/>
        <v>Argentina</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54"/>
      <c r="X132" s="24">
        <f ca="1">Horarios!C132</f>
        <v>46213.875</v>
      </c>
      <c r="Y132" s="25">
        <f ca="1">Horarios!C132</f>
        <v>46213.875</v>
      </c>
      <c r="Z132" s="268">
        <f t="shared" si="324"/>
        <v>98</v>
      </c>
      <c r="AA132" s="86" t="str">
        <f t="shared" ca="1" si="325"/>
        <v>España</v>
      </c>
      <c r="AB132" s="87"/>
      <c r="AC132" s="50"/>
      <c r="AD132" s="51"/>
      <c r="AE132" s="87"/>
      <c r="AF132" s="108" t="str">
        <f ca="1">+INDEX($N$101:$N$147,MATCH(AH132,$J$101:$J$147,0))</f>
        <v>Bélgica</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ca="1" si="325"/>
        <v>Noruega</v>
      </c>
      <c r="AB133" s="87"/>
      <c r="AC133" s="50"/>
      <c r="AD133" s="51"/>
      <c r="AE133" s="87"/>
      <c r="AF133" s="108" t="str">
        <f ca="1">+INDEX($N$101:$N$147,MATCH(AH133,$J$101:$J$147,0))</f>
        <v>Inglaterra</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 ca="1">WORLDCUP!AA131</f>
        <v>Francia</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 ca="1">WORLDCUP!AA132</f>
        <v>España</v>
      </c>
      <c r="C99" t="str">
        <f ca="1">WORLDCUP!AF132</f>
        <v>Bélgica</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 ca="1">WORLDCUP!AA133</f>
        <v>Noruega</v>
      </c>
      <c r="C100" t="str">
        <f ca="1">WORLDCUP!AF133</f>
        <v>Inglaterra</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 ca="1">WORLDCUP!AA126</f>
        <v>Argentina</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 ca="1">WORLDCUP!AF126</f>
        <v>Egipto</v>
      </c>
      <c r="D196" s="689"/>
      <c r="E196" s="356"/>
      <c r="F196" s="356"/>
      <c r="G196" s="356"/>
      <c r="H196" s="356"/>
      <c r="I196" s="338"/>
      <c r="J196" s="356"/>
      <c r="K196" s="356"/>
      <c r="L196" s="356"/>
      <c r="M196" s="372"/>
      <c r="N196" s="363"/>
    </row>
    <row r="197" spans="1:14" ht="15" customHeight="1">
      <c r="A197" s="686"/>
      <c r="B197" s="346" t="str">
        <f t="shared" si="2"/>
        <v>Octavofinalista</v>
      </c>
      <c r="C197" s="335" t="str">
        <f ca="1">WORLDCUP!AF127</f>
        <v>Colombia</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69"/>
      <c r="E205" s="338"/>
      <c r="F205" s="338"/>
      <c r="G205" s="338"/>
      <c r="H205" s="338"/>
      <c r="I205" s="338"/>
      <c r="J205" s="356"/>
      <c r="K205" s="356"/>
      <c r="L205" s="356"/>
      <c r="M205" s="372"/>
      <c r="N205" s="363"/>
    </row>
    <row r="206" spans="1:14" ht="15" customHeight="1">
      <c r="A206" s="686"/>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Argentina-Egipto·0|-</v>
      </c>
      <c r="D206" s="669"/>
      <c r="E206" s="338"/>
      <c r="F206" s="338"/>
      <c r="G206" s="338"/>
      <c r="H206" s="338"/>
      <c r="I206" s="338"/>
      <c r="J206" s="356"/>
      <c r="K206" s="356"/>
      <c r="L206" s="356"/>
      <c r="M206" s="372"/>
      <c r="N206" s="363"/>
    </row>
    <row r="207" spans="1:14" ht="15" customHeight="1">
      <c r="A207" s="686"/>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 ca="1">WORLDCUP!AA131</f>
        <v>Francia</v>
      </c>
      <c r="D210" s="669"/>
      <c r="E210" s="356"/>
      <c r="F210" s="356"/>
      <c r="G210" s="356"/>
      <c r="H210" s="356"/>
      <c r="I210" s="338"/>
      <c r="J210" s="356"/>
      <c r="K210" s="356"/>
      <c r="L210" s="356"/>
      <c r="M210" s="372"/>
      <c r="N210" s="363"/>
    </row>
    <row r="211" spans="1:14" ht="15" customHeight="1">
      <c r="A211" s="686"/>
      <c r="B211" s="346" t="str">
        <f>B210</f>
        <v>Cuartofinalista</v>
      </c>
      <c r="C211" s="335" t="str">
        <f ca="1">WORLDCUP!AA132</f>
        <v>España</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 ca="1">WORLDCUP!AA133</f>
        <v>Noruega</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 ca="1">WORLDCUP!AF131</f>
        <v>Marruecos</v>
      </c>
      <c r="D214" s="669"/>
      <c r="E214" s="356"/>
      <c r="F214" s="356"/>
      <c r="G214" s="356"/>
      <c r="H214" s="356"/>
      <c r="I214" s="338"/>
      <c r="J214" s="356"/>
      <c r="K214" s="356"/>
      <c r="L214" s="356"/>
      <c r="M214" s="372"/>
      <c r="N214" s="363"/>
    </row>
    <row r="215" spans="1:14" ht="15" customHeight="1">
      <c r="A215" s="686"/>
      <c r="B215" s="346" t="str">
        <f t="shared" si="3"/>
        <v>Cuartofinalista</v>
      </c>
      <c r="C215" s="335" t="str">
        <f ca="1">WORLDCUP!AF132</f>
        <v>Bélgica</v>
      </c>
      <c r="D215" s="669"/>
      <c r="E215" s="356"/>
      <c r="F215" s="356"/>
      <c r="G215" s="356"/>
      <c r="H215" s="356"/>
      <c r="I215" s="338"/>
      <c r="J215" s="356"/>
      <c r="K215" s="356"/>
      <c r="L215" s="356"/>
      <c r="M215" s="372"/>
      <c r="N215" s="363"/>
    </row>
    <row r="216" spans="1:14" ht="15" customHeight="1">
      <c r="A216" s="686"/>
      <c r="B216" s="346" t="str">
        <f t="shared" si="3"/>
        <v>Cuartofinalista</v>
      </c>
      <c r="C216" s="335" t="str">
        <f ca="1">WORLDCUP!AF133</f>
        <v>Inglaterra</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España-Bélgica·0|-</v>
      </c>
      <c r="D221" s="689"/>
      <c r="E221" s="668"/>
      <c r="F221" s="668"/>
      <c r="G221" s="668"/>
      <c r="H221" s="668"/>
      <c r="I221" s="338"/>
      <c r="J221" s="356"/>
      <c r="K221" s="356"/>
      <c r="L221" s="356"/>
      <c r="M221" s="372"/>
      <c r="N221" s="363"/>
    </row>
    <row r="222" spans="1:14" ht="15" customHeight="1">
      <c r="A222" s="686"/>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1</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1</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1</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1</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2026-07-07T04:46:44Z</dcterms:modified>
</cp:coreProperties>
</file>