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86913A70-2876-412D-942C-2A3C0D933D7D}"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W24" i="3" l="1"/>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17" i="3" s="1"/>
  <c r="CM37" i="3"/>
  <c r="CM19" i="3" l="1"/>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Q41" i="3"/>
  <c r="R80" i="3"/>
  <c r="R40" i="3"/>
  <c r="R56" i="3"/>
  <c r="R53" i="3"/>
  <c r="R81" i="3"/>
  <c r="Q55" i="3"/>
  <c r="Q96" i="3"/>
  <c r="Q72" i="3"/>
  <c r="R49" i="3"/>
  <c r="R69" i="3"/>
  <c r="R24" i="3"/>
  <c r="Q80" i="3"/>
  <c r="R31" i="3"/>
  <c r="R79" i="3"/>
  <c r="R96" i="3"/>
  <c r="R88" i="3"/>
  <c r="R85" i="3"/>
  <c r="R72" i="3"/>
  <c r="Q56" i="3"/>
  <c r="Q73" i="3"/>
  <c r="Q97" i="3"/>
  <c r="Q40" i="3"/>
  <c r="Q88" i="3"/>
  <c r="Q65" i="3"/>
  <c r="Q81" i="3"/>
  <c r="Q49" i="3"/>
  <c r="Q48" i="3"/>
  <c r="Q64" i="3"/>
  <c r="R32" i="3" l="1"/>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CP36" i="3"/>
  <c r="R45" i="3"/>
  <c r="Q60" i="3"/>
  <c r="CP33" i="3"/>
  <c r="Q52" i="3"/>
  <c r="CP31" i="3" s="1"/>
  <c r="CP12" i="3"/>
  <c r="Q45" i="3"/>
  <c r="CO23" i="3"/>
  <c r="CO22" i="3"/>
  <c r="CP22" i="3"/>
  <c r="Q4" i="3"/>
  <c r="CP7" i="3" s="1"/>
  <c r="Q12" i="3"/>
  <c r="R5" i="3"/>
  <c r="CO8" i="3" s="1"/>
  <c r="CO12" i="3"/>
  <c r="CO47" i="3"/>
  <c r="R20" i="3"/>
  <c r="Q21" i="3"/>
  <c r="CP45" i="3"/>
  <c r="CP49" i="3"/>
  <c r="CP48" i="3"/>
  <c r="CP40" i="3"/>
  <c r="CO40" i="3"/>
  <c r="CO49" i="3"/>
  <c r="CO48" i="3"/>
  <c r="CP32" i="3"/>
  <c r="CP16" i="3"/>
  <c r="CO42" i="3"/>
  <c r="CP28" i="3"/>
  <c r="CP17" i="3"/>
  <c r="CO28" i="3"/>
  <c r="CO17" i="3"/>
  <c r="CO16" i="3"/>
  <c r="CO6" i="3"/>
  <c r="CP6" i="3"/>
  <c r="CP27" i="3"/>
  <c r="CO29" i="3"/>
  <c r="CP29" i="3"/>
  <c r="CO33" i="3"/>
  <c r="CO36" i="3"/>
  <c r="CO50" i="3" l="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Q10" i="3" s="1"/>
  <c r="CP13" i="3"/>
  <c r="CO21" i="3"/>
  <c r="CQ21" i="3" s="1"/>
  <c r="CO14" i="3"/>
  <c r="CQ23" i="3"/>
  <c r="CQ27" i="3"/>
  <c r="CP26" i="3"/>
  <c r="CQ26" i="3" s="1"/>
  <c r="CQ47" i="3"/>
  <c r="CP18" i="3"/>
  <c r="CQ18" i="3" s="1"/>
  <c r="CO39" i="3"/>
  <c r="CQ39" i="3" s="1"/>
  <c r="CQ50" i="3"/>
  <c r="CQ33" i="3"/>
  <c r="CO31" i="3"/>
  <c r="CQ31" i="3" s="1"/>
  <c r="CQ12" i="3"/>
  <c r="CP35" i="3"/>
  <c r="CO11" i="3"/>
  <c r="CQ36" i="3"/>
  <c r="CQ22" i="3"/>
  <c r="CO7" i="3"/>
  <c r="CQ7" i="3" s="1"/>
  <c r="CQ49" i="3"/>
  <c r="CQ48" i="3"/>
  <c r="CQ16" i="3"/>
  <c r="CQ40" i="3"/>
  <c r="CQ32" i="3"/>
  <c r="CQ28" i="3"/>
  <c r="CQ17" i="3"/>
  <c r="CQ6" i="3"/>
  <c r="CQ29" i="3"/>
  <c r="CQ38" i="3" l="1"/>
  <c r="CQ44" i="3"/>
  <c r="CQ35" i="3"/>
  <c r="CQ20" i="3"/>
  <c r="CQ14" i="3"/>
  <c r="CR41" i="3" s="1"/>
  <c r="CQ13" i="3"/>
  <c r="CR47" i="3" s="1"/>
  <c r="CQ11" i="3"/>
  <c r="CR53" i="3" s="1"/>
  <c r="CR34" i="3"/>
  <c r="CR28" i="3"/>
  <c r="CR25" i="3" l="1"/>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U64" i="3"/>
  <c r="T36" i="3"/>
  <c r="U41" i="3"/>
  <c r="T69" i="3"/>
  <c r="U73" i="3"/>
  <c r="T81" i="3"/>
  <c r="T73" i="3"/>
  <c r="T97" i="3"/>
  <c r="U81" i="3"/>
  <c r="T89" i="3"/>
  <c r="T88" i="3"/>
  <c r="T56" i="3"/>
  <c r="U49" i="3"/>
  <c r="T64" i="3"/>
  <c r="T68" i="3"/>
  <c r="U93" i="3"/>
  <c r="T96" i="3"/>
  <c r="U72" i="3"/>
  <c r="U96" i="3"/>
  <c r="T72" i="3"/>
  <c r="T57" i="3"/>
  <c r="T65" i="3"/>
  <c r="T55" i="3"/>
  <c r="U97" i="3"/>
  <c r="T60" i="3"/>
  <c r="T62" i="3"/>
  <c r="T48" i="3"/>
  <c r="T9" i="3"/>
  <c r="T33" i="3" l="1"/>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15" i="3" l="1"/>
  <c r="CT14" i="3"/>
  <c r="CT30" i="3"/>
  <c r="CT11" i="3"/>
  <c r="CT27" i="3"/>
  <c r="CT10" i="3"/>
  <c r="CT25" i="3"/>
  <c r="CT9" i="3"/>
  <c r="CT7" i="3"/>
  <c r="CU18" i="3"/>
  <c r="CU17" i="3"/>
  <c r="CU16" i="3"/>
  <c r="CU33" i="3" l="1"/>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DL19" i="3" s="1"/>
  <c r="AU31"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18" i="3" s="1"/>
  <c r="AU30"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52" i="3"/>
  <c r="AU96" i="3" s="1"/>
  <c r="DL37" i="3"/>
  <c r="AU65" i="3" s="1"/>
  <c r="DL49" i="3"/>
  <c r="AU89" i="3" s="1"/>
  <c r="DL46" i="3"/>
  <c r="AU86" i="3" s="1"/>
  <c r="DL43" i="3"/>
  <c r="AU79" i="3" s="1"/>
  <c r="DL50" i="3"/>
  <c r="DL45" i="3"/>
  <c r="DL48" i="3"/>
  <c r="AU88" i="3" s="1"/>
  <c r="DL47" i="3"/>
  <c r="AU87" i="3" s="1"/>
  <c r="DL40" i="3"/>
  <c r="AU72" i="3" s="1"/>
  <c r="DL21" i="3"/>
  <c r="AU33" i="3" s="1"/>
  <c r="DL51" i="3"/>
  <c r="AU95" i="3" s="1"/>
  <c r="DL53" i="3"/>
  <c r="AU97" i="3" s="1"/>
  <c r="DL41" i="3"/>
  <c r="DL36" i="3"/>
  <c r="AU64" i="3" s="1"/>
  <c r="DL35" i="3"/>
  <c r="AU63" i="3" s="1"/>
  <c r="DL42" i="3"/>
  <c r="AU78" i="3" s="1"/>
  <c r="DL34" i="3"/>
  <c r="AU62" i="3" s="1"/>
  <c r="DL44" i="3"/>
  <c r="AU80" i="3" s="1"/>
  <c r="DL39" i="3"/>
  <c r="AU71" i="3" s="1"/>
  <c r="DL38" i="3"/>
  <c r="AU70" i="3" s="1"/>
  <c r="DL20" i="3" l="1"/>
  <c r="DL27" i="3"/>
  <c r="AU47" i="3" s="1"/>
  <c r="DL26" i="3"/>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20" i="3" a="1"/>
  <c r="DN20" i="3" s="1"/>
  <c r="DN45" i="3" a="1"/>
  <c r="DN45" i="3" s="1"/>
  <c r="DF8" i="3"/>
  <c r="DN50" i="3" a="1"/>
  <c r="DN50" i="3" s="1"/>
  <c r="DN31" i="3" a="1"/>
  <c r="DN31" i="3" s="1"/>
  <c r="DN33" i="3" a="1"/>
  <c r="DN33" i="3" s="1"/>
  <c r="DM33" i="3"/>
  <c r="DN49" i="3" a="1"/>
  <c r="DN49" i="3" s="1"/>
  <c r="DN32" i="3" a="1"/>
  <c r="DN32" i="3" s="1"/>
  <c r="DN30" i="3" a="1"/>
  <c r="DN30" i="3" s="1"/>
  <c r="DM32" i="3"/>
  <c r="DM31" i="3"/>
  <c r="DM30" i="3"/>
  <c r="DN25" i="3" a="1"/>
  <c r="DN25" i="3" s="1"/>
  <c r="DM52" i="3"/>
  <c r="DM51" i="3"/>
  <c r="DN52" i="3" a="1"/>
  <c r="DN52" i="3" s="1"/>
  <c r="DM40" i="3"/>
  <c r="DM37" i="3"/>
  <c r="DN19" i="3" a="1"/>
  <c r="DN19" i="3" s="1"/>
  <c r="DM34" i="3"/>
  <c r="DN37" i="3" a="1"/>
  <c r="DN37" i="3" s="1"/>
  <c r="DN34" i="3" a="1"/>
  <c r="DN34" i="3" s="1"/>
  <c r="DN46" i="3" a="1"/>
  <c r="DN46" i="3" s="1"/>
  <c r="DN51" i="3" a="1"/>
  <c r="DN51" i="3" s="1"/>
  <c r="DM19" i="3"/>
  <c r="DN43" i="3" a="1"/>
  <c r="DN43" i="3" s="1"/>
  <c r="DN27" i="3" a="1"/>
  <c r="DN27" i="3" s="1"/>
  <c r="DM35" i="3"/>
  <c r="DN18" i="3" a="1"/>
  <c r="DN18" i="3" s="1"/>
  <c r="DM46" i="3"/>
  <c r="DM53" i="3"/>
  <c r="DM49" i="3"/>
  <c r="AU85" i="3"/>
  <c r="AV84" i="3" s="1"/>
  <c r="DN42" i="3" a="1"/>
  <c r="DN42" i="3" s="1"/>
  <c r="AU61" i="3"/>
  <c r="AV60" i="3" s="1"/>
  <c r="DM36" i="3"/>
  <c r="DM42" i="3"/>
  <c r="DM20" i="3"/>
  <c r="DN38" i="3" a="1"/>
  <c r="DN38" i="3" s="1"/>
  <c r="DN36" i="3" a="1"/>
  <c r="DN36" i="3" s="1"/>
  <c r="DN40" i="3" a="1"/>
  <c r="DN40" i="3" s="1"/>
  <c r="DN47" i="3" a="1"/>
  <c r="DN47" i="3" s="1"/>
  <c r="DM21" i="3"/>
  <c r="DN21" i="3" a="1"/>
  <c r="DN21" i="3" s="1"/>
  <c r="DM38" i="3"/>
  <c r="DN39" i="3" a="1"/>
  <c r="DN39" i="3" s="1"/>
  <c r="DM44" i="3"/>
  <c r="AU46" i="3"/>
  <c r="DN26" i="3" a="1"/>
  <c r="DN26" i="3" s="1"/>
  <c r="DM26" i="3"/>
  <c r="DM48" i="3"/>
  <c r="AU49" i="3"/>
  <c r="DM50" i="3"/>
  <c r="AU81" i="3"/>
  <c r="AU77" i="3" s="1"/>
  <c r="AV76" i="3" s="1"/>
  <c r="DM45" i="3"/>
  <c r="AU32" i="3"/>
  <c r="AU29" i="3" s="1"/>
  <c r="AV28" i="3" s="1"/>
  <c r="DN44" i="3" a="1"/>
  <c r="DN44" i="3" s="1"/>
  <c r="DN35" i="3" a="1"/>
  <c r="DN35" i="3" s="1"/>
  <c r="DN48" i="3" a="1"/>
  <c r="DN48" i="3" s="1"/>
  <c r="AU94" i="3"/>
  <c r="AU93" i="3" s="1"/>
  <c r="AV92" i="3" s="1"/>
  <c r="DM43" i="3"/>
  <c r="DM47" i="3"/>
  <c r="DN53" i="3" a="1"/>
  <c r="DN53" i="3" s="1"/>
  <c r="DM39" i="3"/>
  <c r="DM18" i="3"/>
  <c r="AU73" i="3"/>
  <c r="AU69" i="3" s="1"/>
  <c r="AV68" i="3" s="1"/>
  <c r="DM41" i="3"/>
  <c r="DN41" i="3" a="1"/>
  <c r="DN41" i="3" s="1"/>
  <c r="AU53" i="3"/>
  <c r="AV52" i="3" s="1"/>
  <c r="DN24" i="3" l="1"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AU45" i="3"/>
  <c r="AV44" i="3" s="1"/>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<sst xmlns="http://schemas.openxmlformats.org/spreadsheetml/2006/main" count="6814" uniqueCount="1534">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</sst>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8" zoomScale="73" zoomScaleNormal="100" workbookViewId="0">
      <selection activeCell="AE33" sqref="AE3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6</v>
      </c>
      <c r="BN58" s="16">
        <f ca="1">CF58</f>
        <v>6</v>
      </c>
      <c r="BO58" s="16" t="str">
        <f t="shared" ref="BO58:BO69" si="174">"4"&amp;BC58</f>
        <v>4A</v>
      </c>
      <c r="BP58" s="16"/>
      <c r="BQ58" s="16"/>
      <c r="BR58" s="16">
        <f t="shared" ref="BR58:BR69" ca="1" si="175">+BE58</f>
        <v>3</v>
      </c>
      <c r="BS58" s="16">
        <f ca="1">COUNTIFS(BR$58:BR$69,"&gt;"&amp;BR58)+1</f>
        <v>5</v>
      </c>
      <c r="BT58" s="16" t="str">
        <f ca="1">IF(COUNTIF(BS$58:BS$69,BS58)=1,"-","Pos. "&amp;BS58&amp;" ("&amp;COUNTIF(BS$58:BS$69,BS58)&amp;")")</f>
        <v>Pos. 5 (4)</v>
      </c>
      <c r="BU58" s="16">
        <f t="shared" ref="BU58:BU69" ca="1" si="176">IF(BT58="-","-",BL58)</f>
        <v>-1</v>
      </c>
      <c r="BV58" s="16">
        <f t="shared" ref="BV58:BV69" ca="1" si="177">BS58+COUNTIFS(BT$58:BT$69,BT58,BU$58:BU$69,"&gt;"&amp;BU58)</f>
        <v>5</v>
      </c>
      <c r="BW58" s="16" t="str">
        <f t="shared" ref="BW58:BW69" ca="1" si="178">IF(COUNTIF(BV$58:BV$69,BV58)=1,"-","Pos. "&amp;BV58&amp;" ("&amp;COUNTIF(BV$58:BV$69,BV58)&amp;")")</f>
        <v>Pos. 5 (2)</v>
      </c>
      <c r="BX58" s="16">
        <f t="shared" ref="BX58:BX69" ca="1" si="179">IF(BW58="-","-",BJ58)</f>
        <v>2</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3</v>
      </c>
      <c r="BN59" s="16">
        <f t="shared" ref="BN59:BN69" ca="1" si="192">CF59</f>
        <v>3</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(4)</v>
      </c>
      <c r="BU59" s="16">
        <f t="shared" ca="1" si="176"/>
        <v>-1</v>
      </c>
      <c r="BV59" s="16">
        <f t="shared" ca="1" si="177"/>
        <v>3</v>
      </c>
      <c r="BW59" s="16" t="str">
        <f t="shared" ca="1" si="178"/>
        <v>-</v>
      </c>
      <c r="BX59" s="16" t="str">
        <f t="shared" ca="1" si="179"/>
        <v>-</v>
      </c>
      <c r="BY59" s="16">
        <f t="shared" ca="1" si="180"/>
        <v>3</v>
      </c>
      <c r="BZ59" s="16" t="str">
        <f t="shared" ca="1" si="181"/>
        <v>-</v>
      </c>
      <c r="CA59" s="16" t="str">
        <f t="shared" ca="1" si="182"/>
        <v>-</v>
      </c>
      <c r="CB59" s="16">
        <f t="shared" ref="CB59:CB68" ca="1" si="195">BY59+COUNTIFS(BZ$58:BZ$69,BZ59,CA$58:CA$69,"&gt;"&amp;CA59)</f>
        <v>3</v>
      </c>
      <c r="CC59" s="16"/>
      <c r="CD59" s="16">
        <f t="shared" ca="1" si="183"/>
        <v>3</v>
      </c>
      <c r="CE59" s="16" t="str">
        <f t="shared" ref="CE59:CE69" ca="1" si="196">IF(BZ59="-","-",COUNTIF(CD$58:CD$69,"&lt;"&amp;CD59))</f>
        <v>-</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Ecuador</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8</v>
      </c>
      <c r="BN60" s="16">
        <f t="shared" ca="1" si="192"/>
        <v>8</v>
      </c>
      <c r="BO60" s="16" t="str">
        <f t="shared" si="174"/>
        <v>4C</v>
      </c>
      <c r="BP60" s="16"/>
      <c r="BQ60" s="16"/>
      <c r="BR60" s="16">
        <f t="shared" ca="1" si="175"/>
        <v>3</v>
      </c>
      <c r="BS60" s="16">
        <f t="shared" ca="1" si="193"/>
        <v>5</v>
      </c>
      <c r="BT60" s="16" t="str">
        <f t="shared" ca="1" si="194"/>
        <v>Pos. 5 (4)</v>
      </c>
      <c r="BU60" s="16">
        <f t="shared" ca="1" si="176"/>
        <v>-3</v>
      </c>
      <c r="BV60" s="16">
        <f t="shared" ca="1" si="177"/>
        <v>8</v>
      </c>
      <c r="BW60" s="16" t="str">
        <f t="shared" ca="1" si="178"/>
        <v>-</v>
      </c>
      <c r="BX60" s="16" t="str">
        <f t="shared" ca="1" si="179"/>
        <v>-</v>
      </c>
      <c r="BY60" s="16">
        <f t="shared" ca="1" si="180"/>
        <v>8</v>
      </c>
      <c r="BZ60" s="16" t="str">
        <f t="shared" ca="1" si="181"/>
        <v>-</v>
      </c>
      <c r="CA60" s="16" t="str">
        <f t="shared" ca="1" si="182"/>
        <v>-</v>
      </c>
      <c r="CB60" s="16">
        <f t="shared" ca="1" si="195"/>
        <v>8</v>
      </c>
      <c r="CC60" s="16"/>
      <c r="CD60" s="16">
        <f t="shared" ca="1" si="183"/>
        <v>8</v>
      </c>
      <c r="CE60" s="16" t="str">
        <f t="shared" ca="1" si="196"/>
        <v>-</v>
      </c>
      <c r="CF60" s="16">
        <f t="shared" ca="1" si="197"/>
        <v>8</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Bosnia y Herzegovina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4</v>
      </c>
      <c r="BS61" s="16">
        <f t="shared" ca="1" si="193"/>
        <v>1</v>
      </c>
      <c r="BT61" s="16" t="str">
        <f t="shared" ca="1" si="194"/>
        <v>Pos. 1 (4)</v>
      </c>
      <c r="BU61" s="16">
        <f t="shared" ca="1" si="176"/>
        <v>-2</v>
      </c>
      <c r="BV61" s="16">
        <f t="shared" ca="1" si="177"/>
        <v>4</v>
      </c>
      <c r="BW61" s="16" t="str">
        <f t="shared" ca="1" si="178"/>
        <v>-</v>
      </c>
      <c r="BX61" s="16" t="str">
        <f t="shared" ca="1" si="179"/>
        <v>-</v>
      </c>
      <c r="BY61" s="16">
        <f t="shared" ca="1" si="180"/>
        <v>4</v>
      </c>
      <c r="BZ61" s="16" t="str">
        <f t="shared" ca="1" si="181"/>
        <v>-</v>
      </c>
      <c r="CA61" s="16" t="str">
        <f t="shared" ca="1" si="182"/>
        <v>-</v>
      </c>
      <c r="CB61" s="16">
        <f t="shared" ca="1" si="195"/>
        <v>4</v>
      </c>
      <c r="CC61" s="16"/>
      <c r="CD61" s="16">
        <f t="shared" ca="1" si="183"/>
        <v>4</v>
      </c>
      <c r="CE61" s="16" t="str">
        <f t="shared" ca="1" si="196"/>
        <v>-</v>
      </c>
      <c r="CF61" s="16">
        <f t="shared" ca="1" si="197"/>
        <v>4</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2</v>
      </c>
      <c r="BN62" s="16">
        <f t="shared" ca="1" si="192"/>
        <v>2</v>
      </c>
      <c r="BO62" s="16" t="str">
        <f t="shared" si="174"/>
        <v>4E</v>
      </c>
      <c r="BP62" s="16"/>
      <c r="BQ62" s="16"/>
      <c r="BR62" s="16">
        <f t="shared" ca="1" si="175"/>
        <v>4</v>
      </c>
      <c r="BS62" s="16">
        <f t="shared" ca="1" si="193"/>
        <v>1</v>
      </c>
      <c r="BT62" s="16" t="str">
        <f t="shared" ca="1" si="194"/>
        <v>Pos. 1 (4)</v>
      </c>
      <c r="BU62" s="16">
        <f t="shared" ca="1" si="176"/>
        <v>0</v>
      </c>
      <c r="BV62" s="16">
        <f t="shared" ca="1" si="177"/>
        <v>1</v>
      </c>
      <c r="BW62" s="16" t="str">
        <f t="shared" ca="1" si="178"/>
        <v>Pos. 1 (2)</v>
      </c>
      <c r="BX62" s="16">
        <f t="shared" ca="1" si="179"/>
        <v>2</v>
      </c>
      <c r="BY62" s="16">
        <f t="shared" ca="1" si="180"/>
        <v>2</v>
      </c>
      <c r="BZ62" s="16" t="str">
        <f t="shared" ca="1" si="181"/>
        <v>-</v>
      </c>
      <c r="CA62" s="16" t="str">
        <f t="shared" ca="1" si="182"/>
        <v>-</v>
      </c>
      <c r="CB62" s="16">
        <f t="shared" ca="1" si="195"/>
        <v>2</v>
      </c>
      <c r="CC62" s="16"/>
      <c r="CD62" s="16">
        <f t="shared" ca="1" si="183"/>
        <v>2</v>
      </c>
      <c r="CE62" s="16" t="str">
        <f t="shared" ca="1" si="196"/>
        <v>-</v>
      </c>
      <c r="CF62" s="16">
        <f t="shared" ca="1" si="197"/>
        <v>2</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Croacia</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1</v>
      </c>
      <c r="BN63" s="16">
        <f t="shared" ca="1" si="192"/>
        <v>1</v>
      </c>
      <c r="BO63" s="16" t="str">
        <f t="shared" si="174"/>
        <v>4F</v>
      </c>
      <c r="BP63" s="16"/>
      <c r="BQ63" s="16"/>
      <c r="BR63" s="16">
        <f t="shared" ca="1" si="175"/>
        <v>4</v>
      </c>
      <c r="BS63" s="16">
        <f t="shared" ca="1" si="193"/>
        <v>1</v>
      </c>
      <c r="BT63" s="16" t="str">
        <f t="shared" ca="1" si="194"/>
        <v>Pos. 1 (4)</v>
      </c>
      <c r="BU63" s="16">
        <f t="shared" ca="1" si="176"/>
        <v>0</v>
      </c>
      <c r="BV63" s="16">
        <f t="shared" ca="1" si="177"/>
        <v>1</v>
      </c>
      <c r="BW63" s="16" t="str">
        <f t="shared" ca="1" si="178"/>
        <v>Pos. 1 (2)</v>
      </c>
      <c r="BX63" s="16">
        <f t="shared" ca="1" si="179"/>
        <v>7</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Corea del Sur</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10</v>
      </c>
      <c r="BN64" s="16">
        <f t="shared" ca="1" si="192"/>
        <v>10</v>
      </c>
      <c r="BO64" s="16" t="str">
        <f t="shared" si="174"/>
        <v>4G</v>
      </c>
      <c r="BP64" s="16"/>
      <c r="BQ64" s="16"/>
      <c r="BR64" s="16">
        <f t="shared" ca="1" si="175"/>
        <v>2</v>
      </c>
      <c r="BS64" s="16">
        <f t="shared" ca="1" si="193"/>
        <v>9</v>
      </c>
      <c r="BT64" s="16" t="str">
        <f t="shared" ca="1" si="194"/>
        <v>Pos. 9 (2)</v>
      </c>
      <c r="BU64" s="16">
        <f t="shared" ca="1" si="176"/>
        <v>0</v>
      </c>
      <c r="BV64" s="16">
        <f t="shared" ca="1" si="177"/>
        <v>9</v>
      </c>
      <c r="BW64" s="16" t="str">
        <f t="shared" ca="1" si="178"/>
        <v>Pos. 9 (2)</v>
      </c>
      <c r="BX64" s="16">
        <f t="shared" ca="1" si="179"/>
        <v>1</v>
      </c>
      <c r="BY64" s="16">
        <f t="shared" ca="1" si="180"/>
        <v>10</v>
      </c>
      <c r="BZ64" s="16" t="str">
        <f t="shared" ca="1" si="181"/>
        <v>-</v>
      </c>
      <c r="CA64" s="16" t="str">
        <f t="shared" ca="1" si="182"/>
        <v>-</v>
      </c>
      <c r="CB64" s="16">
        <f t="shared" ca="1" si="195"/>
        <v>10</v>
      </c>
      <c r="CC64" s="16"/>
      <c r="CD64" s="16">
        <f t="shared" ca="1" si="183"/>
        <v>10</v>
      </c>
      <c r="CE64" s="16" t="str">
        <f t="shared" ca="1" si="196"/>
        <v>-</v>
      </c>
      <c r="CF64" s="16">
        <f t="shared" ca="1" si="197"/>
        <v>10</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Argelia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9</v>
      </c>
      <c r="BN65" s="16">
        <f t="shared" ca="1" si="192"/>
        <v>9</v>
      </c>
      <c r="BO65" s="16" t="str">
        <f t="shared" si="174"/>
        <v>4H</v>
      </c>
      <c r="BP65" s="16"/>
      <c r="BQ65" s="16"/>
      <c r="BR65" s="16">
        <f t="shared" ca="1" si="175"/>
        <v>2</v>
      </c>
      <c r="BS65" s="16">
        <f t="shared" ca="1" si="193"/>
        <v>9</v>
      </c>
      <c r="BT65" s="16" t="str">
        <f t="shared" ca="1" si="194"/>
        <v>Pos. 9 (2)</v>
      </c>
      <c r="BU65" s="16">
        <f t="shared" ca="1" si="176"/>
        <v>0</v>
      </c>
      <c r="BV65" s="16">
        <f t="shared" ca="1" si="177"/>
        <v>9</v>
      </c>
      <c r="BW65" s="16" t="str">
        <f t="shared" ca="1" si="178"/>
        <v>Pos. 9 (2)</v>
      </c>
      <c r="BX65" s="16">
        <f t="shared" ca="1" si="179"/>
        <v>2</v>
      </c>
      <c r="BY65" s="16">
        <f t="shared" ca="1" si="180"/>
        <v>9</v>
      </c>
      <c r="BZ65" s="16" t="str">
        <f t="shared" ca="1" si="181"/>
        <v>-</v>
      </c>
      <c r="CA65" s="16" t="str">
        <f t="shared" ca="1" si="182"/>
        <v>-</v>
      </c>
      <c r="CB65" s="16">
        <f t="shared" ca="1" si="195"/>
        <v>9</v>
      </c>
      <c r="CC65" s="16"/>
      <c r="CD65" s="16">
        <f t="shared" ca="1" si="183"/>
        <v>9</v>
      </c>
      <c r="CE65" s="16" t="str">
        <f t="shared" ca="1" si="196"/>
        <v>-</v>
      </c>
      <c r="CF65" s="16">
        <f t="shared" ca="1" si="197"/>
        <v>9</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Escocia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12</v>
      </c>
      <c r="BT66" s="16" t="str">
        <f t="shared" ca="1" si="194"/>
        <v>-</v>
      </c>
      <c r="BU66" s="16" t="str">
        <f t="shared" ca="1" si="176"/>
        <v>-</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Cabo Verde</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7</v>
      </c>
      <c r="BN67" s="16">
        <f t="shared" ca="1" si="192"/>
        <v>7</v>
      </c>
      <c r="BO67" s="16" t="str">
        <f t="shared" si="174"/>
        <v>4J</v>
      </c>
      <c r="BP67" s="16"/>
      <c r="BQ67" s="16"/>
      <c r="BR67" s="16">
        <f t="shared" ca="1" si="175"/>
        <v>3</v>
      </c>
      <c r="BS67" s="16">
        <f t="shared" ca="1" si="193"/>
        <v>5</v>
      </c>
      <c r="BT67" s="16" t="str">
        <f t="shared" ca="1" si="194"/>
        <v>Pos. 5 (4)</v>
      </c>
      <c r="BU67" s="16">
        <f t="shared" ca="1" si="176"/>
        <v>-2</v>
      </c>
      <c r="BV67" s="16">
        <f t="shared" ca="1" si="177"/>
        <v>7</v>
      </c>
      <c r="BW67" s="16" t="str">
        <f t="shared" ca="1" si="178"/>
        <v>-</v>
      </c>
      <c r="BX67" s="16" t="str">
        <f t="shared" ca="1" si="179"/>
        <v>-</v>
      </c>
      <c r="BY67" s="16">
        <f t="shared" ca="1" si="180"/>
        <v>7</v>
      </c>
      <c r="BZ67" s="16" t="str">
        <f t="shared" ca="1" si="181"/>
        <v>-</v>
      </c>
      <c r="CA67" s="16" t="str">
        <f t="shared" ca="1" si="182"/>
        <v>-</v>
      </c>
      <c r="CB67" s="16">
        <f t="shared" ca="1" si="195"/>
        <v>7</v>
      </c>
      <c r="CC67" s="16"/>
      <c r="CD67" s="16">
        <f t="shared" ca="1" si="183"/>
        <v>7</v>
      </c>
      <c r="CE67" s="16" t="str">
        <f t="shared" ca="1" si="196"/>
        <v>-</v>
      </c>
      <c r="CF67" s="16">
        <f t="shared" ca="1" si="197"/>
        <v>7</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Bélgica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11</v>
      </c>
      <c r="BN68" s="16">
        <f t="shared" ca="1" si="192"/>
        <v>11</v>
      </c>
      <c r="BO68" s="16" t="str">
        <f t="shared" si="174"/>
        <v>4K</v>
      </c>
      <c r="BP68" s="16"/>
      <c r="BQ68" s="16"/>
      <c r="BR68" s="16">
        <f t="shared" ca="1" si="175"/>
        <v>1</v>
      </c>
      <c r="BS68" s="16">
        <f t="shared" ca="1" si="193"/>
        <v>11</v>
      </c>
      <c r="BT68" s="16" t="str">
        <f t="shared" ca="1" si="194"/>
        <v>-</v>
      </c>
      <c r="BU68" s="16" t="str">
        <f t="shared" ca="1" si="176"/>
        <v>-</v>
      </c>
      <c r="BV68" s="16">
        <f t="shared" ca="1" si="177"/>
        <v>11</v>
      </c>
      <c r="BW68" s="16" t="str">
        <f t="shared" ca="1" si="178"/>
        <v>-</v>
      </c>
      <c r="BX68" s="16" t="str">
        <f t="shared" ca="1" si="179"/>
        <v>-</v>
      </c>
      <c r="BY68" s="16">
        <f t="shared" ca="1" si="180"/>
        <v>11</v>
      </c>
      <c r="BZ68" s="16" t="str">
        <f t="shared" ca="1" si="181"/>
        <v>-</v>
      </c>
      <c r="CA68" s="16" t="str">
        <f t="shared" ca="1" si="182"/>
        <v>-</v>
      </c>
      <c r="CB68" s="16">
        <f t="shared" ca="1" si="195"/>
        <v>11</v>
      </c>
      <c r="CC68" s="16"/>
      <c r="CD68" s="16">
        <f t="shared" ca="1" si="183"/>
        <v>11</v>
      </c>
      <c r="CE68" s="16" t="str">
        <f t="shared" ca="1" si="196"/>
        <v>-</v>
      </c>
      <c r="CF68" s="16">
        <f t="shared" ca="1" si="197"/>
        <v>11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RD Congo</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5</v>
      </c>
      <c r="BN69" s="16">
        <f t="shared" ca="1" si="192"/>
        <v>5</v>
      </c>
      <c r="BO69" s="16" t="str">
        <f t="shared" si="174"/>
        <v>4L</v>
      </c>
      <c r="BP69" s="16"/>
      <c r="BQ69" s="16"/>
      <c r="BR69" s="16">
        <f t="shared" ca="1" si="175"/>
        <v>3</v>
      </c>
      <c r="BS69" s="16">
        <f t="shared" ca="1" si="193"/>
        <v>5</v>
      </c>
      <c r="BT69" s="16" t="str">
        <f t="shared" ca="1" si="194"/>
        <v>Pos. 5 (4)</v>
      </c>
      <c r="BU69" s="16">
        <f t="shared" ca="1" si="176"/>
        <v>-1</v>
      </c>
      <c r="BV69" s="16">
        <f t="shared" ca="1" si="177"/>
        <v>5</v>
      </c>
      <c r="BW69" s="16" t="str">
        <f t="shared" ca="1" si="178"/>
        <v>Pos. 5 (2)</v>
      </c>
      <c r="BX69" s="16">
        <f t="shared" ca="1" si="179"/>
        <v>3</v>
      </c>
      <c r="BY69" s="16">
        <f t="shared" ca="1" si="180"/>
        <v>5</v>
      </c>
      <c r="BZ69" s="16" t="str">
        <f t="shared" ca="1" si="181"/>
        <v>-</v>
      </c>
      <c r="CA69" s="16" t="str">
        <f t="shared" ca="1" si="182"/>
        <v>-</v>
      </c>
      <c r="CB69" s="16">
        <f ca="1">BY69+COUNTIFS(BZ$58:BZ$69,BZ69,CA$58:CA$69,"&gt;"&amp;CA69)</f>
        <v>5</v>
      </c>
      <c r="CC69" s="16"/>
      <c r="CD69" s="16">
        <f t="shared" ca="1" si="183"/>
        <v>5</v>
      </c>
      <c r="CE69" s="16" t="str">
        <f t="shared" ca="1" si="196"/>
        <v>-</v>
      </c>
      <c r="CF69" s="16">
        <f t="shared" ca="1" si="197"/>
        <v>5</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ABCDEFJL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7</v>
      </c>
      <c r="AS102" s="81">
        <f t="shared" ca="1" si="298"/>
        <v>7</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c r="AC103" s="50"/>
      <c r="AD103" s="51"/>
      <c r="AE103" s="87"/>
      <c r="AF103" s="89" t="str">
        <f t="shared" ca="1" si="293"/>
        <v>3ABCDF</v>
      </c>
      <c r="AG103" s="313">
        <f t="shared" si="294"/>
        <v>0</v>
      </c>
      <c r="AH103" s="187">
        <v>74</v>
      </c>
      <c r="AI103" s="174">
        <v>2</v>
      </c>
      <c r="AJ103" s="42">
        <v>2</v>
      </c>
      <c r="AK103" s="581" t="e" cm="1" vm="20">
        <f t="array" aca="1" ref="AK103" ca="1">Ver_flag_visit</f>
        <v>#VALUE!</v>
      </c>
      <c r="AL103" s="83" t="str">
        <f t="shared" ca="1" si="297"/>
        <v>Ecuador</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2</v>
      </c>
      <c r="AS103" s="84">
        <f t="shared" ca="1" si="302"/>
        <v>2</v>
      </c>
      <c r="AT103" s="85">
        <f t="shared" ca="1" si="302"/>
        <v>0</v>
      </c>
      <c r="AU103" s="316" t="str">
        <f t="shared" ca="1" si="299"/>
        <v/>
      </c>
      <c r="AV103" s="174" t="str">
        <f t="shared" ca="1" si="300"/>
        <v>Ecuador</v>
      </c>
      <c r="AW103" s="207"/>
      <c r="AX103" s="162"/>
      <c r="AY103" s="263"/>
      <c r="AZ103" s="265" t="str">
        <f t="shared" ref="AZ103:AZ110" ca="1" si="303">+IF(OR($H$113&gt;=48,$AJ$99=144),BF117&amp;" - "&amp;BG117,"")</f>
        <v>1A - 3C</v>
      </c>
      <c r="BA103" s="168"/>
      <c r="BF103" t="str">
        <f t="shared" ref="BF103:BF110" ca="1" si="304">IFERROR(INDEX($BC$6:$BC$53,MATCH(AL102,$BD$6:$BD$53,0)),"")</f>
        <v>F</v>
      </c>
      <c r="BG103">
        <f t="shared" ref="BG103:BG110" ca="1" si="305">COUNTIF($BF$103:$BF$110,"&lt;="&amp;BF103)</f>
        <v>6</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6">
        <f t="array" aca="1" ref="AK104" ca="1">Ver_flag_visit</f>
        <v>#VALUE!</v>
      </c>
      <c r="AL104" s="83" t="str">
        <f t="shared" ca="1" si="297"/>
        <v>Bosnia y Herzegovina</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5</v>
      </c>
      <c r="AS104" s="84">
        <f t="shared" ca="1" si="307"/>
        <v>6</v>
      </c>
      <c r="AT104" s="85">
        <f t="shared" ca="1" si="307"/>
        <v>-1</v>
      </c>
      <c r="AU104" s="316" t="str">
        <f t="shared" ca="1" si="299"/>
        <v/>
      </c>
      <c r="AV104" s="174" t="str">
        <f t="shared" ca="1" si="300"/>
        <v>Bosnia y Herzegovina</v>
      </c>
      <c r="AW104" s="207"/>
      <c r="AX104" s="162"/>
      <c r="AY104" s="263"/>
      <c r="AZ104" s="265" t="str">
        <f t="shared" ca="1" si="303"/>
        <v>1B - 3J</v>
      </c>
      <c r="BA104" s="168"/>
      <c r="BF104" t="str">
        <f t="shared" ca="1" si="304"/>
        <v>E</v>
      </c>
      <c r="BG104">
        <f t="shared" ca="1" si="305"/>
        <v>5</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2I</v>
      </c>
      <c r="AG105" s="313">
        <f t="shared" si="294"/>
        <v>0</v>
      </c>
      <c r="AH105" s="187">
        <v>78</v>
      </c>
      <c r="AI105" s="174">
        <v>4</v>
      </c>
      <c r="AJ105" s="42">
        <v>4</v>
      </c>
      <c r="AK105" s="581" t="e" cm="1" vm="14">
        <f t="array" aca="1" ref="AK105" ca="1">Ver_flag_visit</f>
        <v>#VALUE!</v>
      </c>
      <c r="AL105" s="83" t="str">
        <f t="shared" ca="1" si="297"/>
        <v>Paraguay</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- 3B</v>
      </c>
      <c r="BA105" s="168"/>
      <c r="BF105" t="str">
        <f t="shared" ca="1" si="304"/>
        <v>B</v>
      </c>
      <c r="BG105">
        <f t="shared" ca="1" si="305"/>
        <v>2</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6">
        <f t="array" aca="1" ref="AK106" ca="1">Ver_flag_visit</f>
        <v>#VALUE!</v>
      </c>
      <c r="AL106" s="83" t="str">
        <f t="shared" ca="1" si="297"/>
        <v>Croacia</v>
      </c>
      <c r="AM106" s="568">
        <f t="shared" ca="1" si="301"/>
        <v>3</v>
      </c>
      <c r="AN106" s="84">
        <f t="shared" ref="AN106:AT106" ca="1" si="309">+IF($H$113&gt;=48,INDEX($BE$58:$BN$69,MATCH($AL106,$BD$58:$BD$69,0),MATCH(AN$5,$BE$57:$BN$57,0)),$BB62)</f>
        <v>2</v>
      </c>
      <c r="AO106" s="84">
        <f t="shared" ca="1" si="309"/>
        <v>1</v>
      </c>
      <c r="AP106" s="84">
        <f t="shared" ca="1" si="309"/>
        <v>0</v>
      </c>
      <c r="AQ106" s="84">
        <f t="shared" ca="1" si="309"/>
        <v>1</v>
      </c>
      <c r="AR106" s="84">
        <f t="shared" ca="1" si="309"/>
        <v>3</v>
      </c>
      <c r="AS106" s="84">
        <f t="shared" ca="1" si="309"/>
        <v>4</v>
      </c>
      <c r="AT106" s="85">
        <f t="shared" ca="1" si="309"/>
        <v>-1</v>
      </c>
      <c r="AU106" s="316" t="str">
        <f t="shared" ca="1" si="299"/>
        <v/>
      </c>
      <c r="AV106" s="174" t="str">
        <f t="shared" ca="1" si="300"/>
        <v>Croacia</v>
      </c>
      <c r="AW106" s="207"/>
      <c r="AX106" s="162"/>
      <c r="AY106" s="263"/>
      <c r="AZ106" s="265" t="str">
        <f t="shared" ca="1" si="303"/>
        <v>1E - 3D</v>
      </c>
      <c r="BA106" s="168"/>
      <c r="BF106" t="str">
        <f t="shared" ca="1" si="304"/>
        <v>D</v>
      </c>
      <c r="BG106">
        <f t="shared" ca="1" si="305"/>
        <v>4</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3">
        <f t="array" aca="1" ref="AK107" ca="1">Ver_flag_visit</f>
        <v>#VALUE!</v>
      </c>
      <c r="AL107" s="83" t="str">
        <f t="shared" ca="1" si="297"/>
        <v>Corea del Sur</v>
      </c>
      <c r="AM107" s="568">
        <f t="shared" ca="1" si="301"/>
        <v>3</v>
      </c>
      <c r="AN107" s="84">
        <f t="shared" ref="AN107:AT107" ca="1" si="310">+IF($H$113&gt;=48,INDEX($BE$58:$BN$69,MATCH($AL107,$BD$58:$BD$69,0),MATCH(AN$5,$BE$57:$BN$57,0)),$BB63)</f>
        <v>3</v>
      </c>
      <c r="AO107" s="84">
        <f t="shared" ca="1" si="310"/>
        <v>1</v>
      </c>
      <c r="AP107" s="84">
        <f t="shared" ca="1" si="310"/>
        <v>0</v>
      </c>
      <c r="AQ107" s="84">
        <f t="shared" ca="1" si="310"/>
        <v>2</v>
      </c>
      <c r="AR107" s="84">
        <f t="shared" ca="1" si="310"/>
        <v>2</v>
      </c>
      <c r="AS107" s="84">
        <f t="shared" ca="1" si="310"/>
        <v>3</v>
      </c>
      <c r="AT107" s="85">
        <f t="shared" ca="1" si="310"/>
        <v>-1</v>
      </c>
      <c r="AU107" s="316" t="str">
        <f t="shared" ca="1" si="299"/>
        <v/>
      </c>
      <c r="AV107" s="174" t="str">
        <f ca="1">INDEX($BD$58:$BD$69,MATCH(AI107,$BM$58:$BM$69,0))</f>
        <v>Corea del Sur</v>
      </c>
      <c r="AW107" s="207"/>
      <c r="AX107" s="162"/>
      <c r="AY107" s="263"/>
      <c r="AZ107" s="265" t="str">
        <f t="shared" ca="1" si="303"/>
        <v>1G - 3A</v>
      </c>
      <c r="BA107" s="168"/>
      <c r="BF107" t="str">
        <f t="shared" ca="1" si="304"/>
        <v>L</v>
      </c>
      <c r="BG107">
        <f t="shared" ca="1" si="305"/>
        <v>8</v>
      </c>
      <c r="BI107">
        <v>5</v>
      </c>
      <c r="BJ107" t="str">
        <f t="shared" ca="1" si="306"/>
        <v>E</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38">
        <f t="array" aca="1" ref="AK108" ca="1">Ver_flag_visit</f>
        <v>#VALUE!</v>
      </c>
      <c r="AL108" s="83" t="str">
        <f t="shared" ca="1" si="297"/>
        <v>Argelia</v>
      </c>
      <c r="AM108" s="568">
        <f t="shared" ca="1" si="301"/>
        <v>3</v>
      </c>
      <c r="AN108" s="84">
        <f t="shared" ref="AN108:AT108" ca="1" si="311">+IF($H$113&gt;=48,INDEX($BE$58:$BN$69,MATCH($AL108,$BD$58:$BD$69,0),MATCH(AN$5,$BE$57:$BN$57,0)),$BB64)</f>
        <v>2</v>
      </c>
      <c r="AO108" s="84">
        <f t="shared" ca="1" si="311"/>
        <v>1</v>
      </c>
      <c r="AP108" s="84">
        <f t="shared" ca="1" si="311"/>
        <v>0</v>
      </c>
      <c r="AQ108" s="84">
        <f t="shared" ca="1" si="311"/>
        <v>1</v>
      </c>
      <c r="AR108" s="84">
        <f t="shared" ca="1" si="311"/>
        <v>2</v>
      </c>
      <c r="AS108" s="84">
        <f t="shared" ca="1" si="311"/>
        <v>4</v>
      </c>
      <c r="AT108" s="85">
        <f t="shared" ca="1" si="311"/>
        <v>-2</v>
      </c>
      <c r="AU108" s="316" t="str">
        <f t="shared" ca="1" si="299"/>
        <v/>
      </c>
      <c r="AV108" s="174" t="str">
        <f t="shared" ca="1" si="300"/>
        <v>Argelia</v>
      </c>
      <c r="AW108" s="207"/>
      <c r="AX108" s="162"/>
      <c r="AY108" s="263"/>
      <c r="AZ108" s="265" t="str">
        <f t="shared" ca="1" si="303"/>
        <v>1I - 3F</v>
      </c>
      <c r="BA108" s="168"/>
      <c r="BF108" t="str">
        <f t="shared" ca="1" si="304"/>
        <v>A</v>
      </c>
      <c r="BG108">
        <f t="shared" ca="1" si="305"/>
        <v>1</v>
      </c>
      <c r="BI108">
        <v>6</v>
      </c>
      <c r="BJ108" t="str">
        <f t="shared" ca="1" si="306"/>
        <v>F</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12">
        <f t="array" aca="1" ref="AK109" ca="1">Ver_flag_visit</f>
        <v>#VALUE!</v>
      </c>
      <c r="AL109" s="83" t="str">
        <f t="shared" ca="1" si="297"/>
        <v>Escocia</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1</v>
      </c>
      <c r="AS109" s="84">
        <f t="shared" ca="1" si="312"/>
        <v>4</v>
      </c>
      <c r="AT109" s="85">
        <f t="shared" ca="1" si="312"/>
        <v>-3</v>
      </c>
      <c r="AU109" s="316" t="str">
        <f t="shared" ca="1" si="299"/>
        <v/>
      </c>
      <c r="AV109" s="174" t="str">
        <f t="shared" ca="1" si="300"/>
        <v>Escocia</v>
      </c>
      <c r="AW109" s="207"/>
      <c r="AX109" s="162"/>
      <c r="AY109" s="263"/>
      <c r="AZ109" s="265" t="str">
        <f t="shared" ca="1" si="303"/>
        <v>1K - 3L</v>
      </c>
      <c r="BA109" s="168"/>
      <c r="BF109" t="str">
        <f t="shared" ca="1" si="304"/>
        <v>J</v>
      </c>
      <c r="BG109">
        <f t="shared" ca="1" si="305"/>
        <v>7</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3BEFIJ</v>
      </c>
      <c r="AG110" s="313">
        <f t="shared" si="294"/>
        <v>0</v>
      </c>
      <c r="AH110" s="187">
        <v>81</v>
      </c>
      <c r="AI110" s="174">
        <v>9</v>
      </c>
      <c r="AJ110" s="42">
        <v>9</v>
      </c>
      <c r="AK110" s="581" t="e" cm="1" vm="30">
        <f t="array" aca="1" ref="AK110" ca="1">Ver_flag_visit</f>
        <v>#VALUE!</v>
      </c>
      <c r="AL110" s="83" t="str">
        <f t="shared" ca="1" si="297"/>
        <v>Cabo Verde</v>
      </c>
      <c r="AM110" s="568">
        <f t="shared" ca="1" si="301"/>
        <v>2</v>
      </c>
      <c r="AN110" s="84">
        <f t="shared" ref="AN110:AT110" ca="1" si="313">+IF($H$113&gt;=48,INDEX($BE$58:$BN$69,MATCH($AL110,$BD$58:$BD$69,0),MATCH(AN$5,$BE$57:$BN$57,0)),$BB66)</f>
        <v>2</v>
      </c>
      <c r="AO110" s="84">
        <f t="shared" ca="1" si="313"/>
        <v>0</v>
      </c>
      <c r="AP110" s="84">
        <f t="shared" ca="1" si="313"/>
        <v>2</v>
      </c>
      <c r="AQ110" s="84">
        <f t="shared" ca="1" si="313"/>
        <v>0</v>
      </c>
      <c r="AR110" s="84">
        <f t="shared" ca="1" si="313"/>
        <v>2</v>
      </c>
      <c r="AS110" s="84">
        <f t="shared" ca="1" si="313"/>
        <v>2</v>
      </c>
      <c r="AT110" s="85">
        <f t="shared" ca="1" si="313"/>
        <v>0</v>
      </c>
      <c r="AU110" s="316" t="str">
        <f t="shared" ca="1" si="299"/>
        <v/>
      </c>
      <c r="AV110" s="174" t="str">
        <f t="shared" ca="1" si="300"/>
        <v>Cabo Verde</v>
      </c>
      <c r="AW110" s="207"/>
      <c r="AX110" s="162"/>
      <c r="AY110" s="263"/>
      <c r="AZ110" s="265" t="str">
        <f t="shared" ca="1" si="303"/>
        <v>1L - 3E</v>
      </c>
      <c r="BA110" s="168"/>
      <c r="BF110" t="str">
        <f t="shared" ca="1" si="304"/>
        <v>C</v>
      </c>
      <c r="BG110">
        <f t="shared" ca="1" si="305"/>
        <v>3</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25">
        <f t="array" aca="1" ref="AK111" ca="1">Ver_flag_visit</f>
        <v>#VALUE!</v>
      </c>
      <c r="AL111" s="83" t="str">
        <f t="shared" ca="1" si="297"/>
        <v>Bélgica</v>
      </c>
      <c r="AM111" s="568">
        <f t="shared" ca="1" si="301"/>
        <v>2</v>
      </c>
      <c r="AN111" s="84">
        <f t="shared" ref="AN111:AT111" ca="1" si="314">+IF($H$113&gt;=48,INDEX($BE$58:$BN$69,MATCH($AL111,$BD$58:$BD$69,0),MATCH(AN$5,$BE$57:$BN$57,0)),$BB67)</f>
        <v>2</v>
      </c>
      <c r="AO111" s="84">
        <f t="shared" ca="1" si="314"/>
        <v>0</v>
      </c>
      <c r="AP111" s="84">
        <f t="shared" ca="1" si="314"/>
        <v>2</v>
      </c>
      <c r="AQ111" s="84">
        <f t="shared" ca="1" si="314"/>
        <v>0</v>
      </c>
      <c r="AR111" s="84">
        <f t="shared" ca="1" si="314"/>
        <v>1</v>
      </c>
      <c r="AS111" s="84">
        <f t="shared" ca="1" si="314"/>
        <v>1</v>
      </c>
      <c r="AT111" s="85">
        <f t="shared" ca="1" si="314"/>
        <v>0</v>
      </c>
      <c r="AU111" s="316" t="str">
        <f t="shared" ca="1" si="299"/>
        <v/>
      </c>
      <c r="AV111" s="174" t="str">
        <f t="shared" ca="1" si="300"/>
        <v>Bélgica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2">
        <f t="array" aca="1" ref="AK112" ca="1">Ver_flag_visit</f>
        <v>#VALUE!</v>
      </c>
      <c r="AL112" s="83" t="str">
        <f t="shared" ca="1" si="297"/>
        <v>RD Congo</v>
      </c>
      <c r="AM112" s="568">
        <f t="shared" ca="1" si="301"/>
        <v>1</v>
      </c>
      <c r="AN112" s="84">
        <f t="shared" ref="AN112:AT112" ca="1" si="315">+IF($H$113&gt;=48,INDEX($BE$58:$BN$69,MATCH($AL112,$BD$58:$BD$69,0),MATCH(AN$5,$BE$57:$BN$57,0)),$BB68)</f>
        <v>2</v>
      </c>
      <c r="AO112" s="84">
        <f t="shared" ca="1" si="315"/>
        <v>0</v>
      </c>
      <c r="AP112" s="84">
        <f t="shared" ca="1" si="315"/>
        <v>1</v>
      </c>
      <c r="AQ112" s="84">
        <f t="shared" ca="1" si="315"/>
        <v>1</v>
      </c>
      <c r="AR112" s="84">
        <f t="shared" ca="1" si="315"/>
        <v>1</v>
      </c>
      <c r="AS112" s="84">
        <f t="shared" ca="1" si="315"/>
        <v>2</v>
      </c>
      <c r="AT112" s="85">
        <f t="shared" ca="1" si="315"/>
        <v>-1</v>
      </c>
      <c r="AU112" s="316" t="str">
        <f t="shared" ca="1" si="299"/>
        <v/>
      </c>
      <c r="AV112" s="174" t="str">
        <f t="shared" ca="1" si="300"/>
        <v>RD Congo</v>
      </c>
      <c r="AW112" s="207"/>
      <c r="AX112" s="162"/>
      <c r="AY112" s="262"/>
      <c r="AZ112" s="262"/>
      <c r="BA112" s="168"/>
      <c r="BI112" t="str">
        <f ca="1">IFERROR(CONCATENATE(BJ103,BJ104,BJ105,BJ106,BJ107,BJ108,BJ109,BJ110),"¿A/B/C/D/E/F/G/H/I/J/K/L?")</f>
        <v>ABCDEFJL</v>
      </c>
    </row>
    <row r="113" spans="1:59" ht="16" customHeight="1" thickBot="1">
      <c r="A113" s="16" t="s">
        <v>660</v>
      </c>
      <c r="B113" s="16" t="s">
        <v>740</v>
      </c>
      <c r="C113" s="16"/>
      <c r="D113" s="16" t="str">
        <f t="shared" si="289"/>
        <v>W85</v>
      </c>
      <c r="E113" s="16" t="s">
        <v>1</v>
      </c>
      <c r="F113" s="16" t="s">
        <v>733</v>
      </c>
      <c r="G113" s="16" t="s">
        <v>733</v>
      </c>
      <c r="H113" s="16">
        <f ca="1">+IF($AJ$99&lt;&gt;144,SUM(H101:H112),$AJ$99)</f>
        <v>120</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3E</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75"/>
      <c r="E165" s="694"/>
      <c r="F165" s="694"/>
      <c r="G165" s="694"/>
      <c r="H165" s="694"/>
      <c r="I165" s="338"/>
      <c r="J165" s="356"/>
      <c r="K165" s="356"/>
      <c r="L165" s="356"/>
      <c r="M165" s="372"/>
      <c r="N165" s="363"/>
    </row>
    <row r="166" spans="1:14" ht="15" customHeight="1">
      <c r="A166" s="673"/>
      <c r="B166" s="346" t="str">
        <f ca="1">CONCATENATE(WORLDCUP!AA103,"-",WORLDCUP!AF103)</f>
        <v>Alemania-3ABCDF</v>
      </c>
      <c r="C166" s="335" t="str">
        <f ca="1">CONCATENATE(WORLDCUP!AA103,"-",WORLDCUP!AF103,"·",IF(WORLDCUP!AC103&gt;WORLDCUP!AD103,1,IF(WORLDCUP!AC103&lt;WORLDCUP!AD103,2,IF(AND(WORLDCUP!AC103=WORLDCUP!AD103,WORLDCUP!AC103&lt;&gt;"",WORLDCUP!AD103&lt;&gt;""),"X",0))),"|",WORLDCUP!AC103,"-",WORLDCUP!AD103)</f>
        <v>Alemania-3ABCDF·0|-</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75"/>
      <c r="E167" s="694"/>
      <c r="F167" s="694"/>
      <c r="G167" s="694"/>
      <c r="H167" s="694"/>
      <c r="I167" s="338"/>
      <c r="J167" s="356"/>
      <c r="K167" s="356"/>
      <c r="L167" s="356"/>
      <c r="M167" s="372"/>
      <c r="N167" s="363"/>
    </row>
    <row r="168" spans="1:14" ht="15" customHeight="1">
      <c r="A168" s="673"/>
      <c r="B168" s="346" t="str">
        <f ca="1">CONCATENATE(WORLDCUP!AA105,"-",WORLDCUP!AF105)</f>
        <v>Costa de Marfil-2I</v>
      </c>
      <c r="C168" s="335" t="str">
        <f ca="1">CONCATENATE(WORLDCUP!AA105,"-",WORLDCUP!AF105,"·",IF(WORLDCUP!AC105&gt;WORLDCUP!AD105,1,IF(WORLDCUP!AC105&lt;WORLDCUP!AD105,2,IF(AND(WORLDCUP!AC105=WORLDCUP!AD105,WORLDCUP!AC105&lt;&gt;"",WORLDCUP!AD105&lt;&gt;""),"X",0))),"|",WORLDCUP!AC105,"-",WORLDCUP!AD105)</f>
        <v>Costa de Marfil-2I·0|-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Estados Unidos-3BEFIJ</v>
      </c>
      <c r="C173" s="335" t="str">
        <f ca="1">CONCATENATE(WORLDCUP!AA110,"-",WORLDCUP!AF110,"·",IF(WORLDCUP!AC110&gt;WORLDCUP!AD110,1,IF(WORLDCUP!AC110&lt;WORLDCUP!AD110,2,IF(AND(WORLDCUP!AC110=WORLDCUP!AD110,WORLDCUP!AC110&lt;&gt;"",WORLDCUP!AD110&lt;&gt;""),"X",0))),"|",WORLDCUP!AC110,"-",WORLDCUP!AD110)</f>
        <v>Estados Unidos-3BEFIJ·0|-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75"/>
      <c r="E176" s="356"/>
      <c r="F176" s="356"/>
      <c r="G176" s="356"/>
      <c r="H176" s="356"/>
      <c r="I176" s="338"/>
      <c r="J176" s="356"/>
      <c r="K176" s="356"/>
      <c r="L176" s="356"/>
      <c r="M176" s="372"/>
      <c r="N176" s="363"/>
    </row>
    <row r="177" spans="1:14" ht="15" customHeight="1">
      <c r="A177" s="673"/>
      <c r="B177" s="346" t="str">
        <f ca="1">CONCATENATE(WORLDCUP!AA114,"-",WORLDCUP!AF114)</f>
        <v>Australia-2G</v>
      </c>
      <c r="C177" s="335" t="str">
        <f ca="1">CONCATENATE(WORLDCUP!AA114,"-",WORLDCUP!AF114,"·",IF(WORLDCUP!AC114&gt;WORLDCUP!AD114,1,IF(WORLDCUP!AC114&lt;WORLDCUP!AD114,2,IF(AND(WORLDCUP!AC114=WORLDCUP!AD114,WORLDCUP!AC114&lt;&gt;"",WORLDCUP!AD114&lt;&gt;""),"X",0))),"|",WORLDCUP!AC114,"-",WORLDCUP!AD114)</f>
        <v>Australia-2G·0|-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1</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2026-06-26T05:06:05Z</dcterms:modified>
</cp:coreProperties>
</file>