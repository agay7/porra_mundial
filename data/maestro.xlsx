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4CE3374B-B7D3-4ABC-B038-5BDA9580DB46}"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l="1"/>
  <c r="Q49" i="3"/>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41" i="3"/>
  <c r="T69" i="3"/>
  <c r="U73" i="3"/>
  <c r="T81" i="3"/>
  <c r="T89" i="3" l="1"/>
  <c r="T36" i="3"/>
  <c r="T96" i="3"/>
  <c r="U93" i="3"/>
  <c r="T60" i="3"/>
  <c r="T55" i="3"/>
  <c r="CT31" i="3" s="1"/>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36" i="3" l="1"/>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c r="DN45" i="3" l="1"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<sst xmlns="http://schemas.openxmlformats.org/spreadsheetml/2006/main" count="6814" uniqueCount="1534">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</sst>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96" zoomScale="55" zoomScaleNormal="100" workbookViewId="0">
      <selection activeCell="AB115" sqref="AB115"/>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43"/>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44"/>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45"/>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54"/>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55"/>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41"/>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23"/>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23"/>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24"/>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29"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29"/>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29"/>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29"/>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29"/>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30"/>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25"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25"/>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25"/>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25"/>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25"/>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26"/>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31"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31"/>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31"/>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31"/>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32"/>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27"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27"/>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27"/>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27"/>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27"/>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28"/>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3"/>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3"/>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33"/>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33"/>
      <c r="X108" s="24">
        <f ca="1">Horarios!C108</f>
        <v>46204.75</v>
      </c>
      <c r="Y108" s="25">
        <f ca="1">Horarios!C108</f>
        <v>46204.75</v>
      </c>
      <c r="Z108" s="266">
        <f t="shared" si="296"/>
        <v>80</v>
      </c>
      <c r="AA108" s="86" t="str">
        <f t="shared" ca="1" si="292"/>
        <v>Inglaterra</v>
      </c>
      <c r="AB108" s="87"/>
      <c r="AC108" s="50">
        <v>2</v>
      </c>
      <c r="AD108" s="51">
        <v>1</v>
      </c>
      <c r="AE108" s="87"/>
      <c r="AF108" s="89" t="str">
        <f t="shared" ca="1" si="293"/>
        <v>RD Congo</v>
      </c>
      <c r="AG108" s="313">
        <f t="shared" ca="1" si="294"/>
        <v>1</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ca="1" si="289"/>
        <v>Bélgica</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Bélgica</v>
      </c>
      <c r="AB109" s="87"/>
      <c r="AC109" s="50">
        <v>3</v>
      </c>
      <c r="AD109" s="51">
        <v>2</v>
      </c>
      <c r="AE109" s="87"/>
      <c r="AF109" s="89" t="str">
        <f t="shared" ca="1" si="293"/>
        <v>Senegal</v>
      </c>
      <c r="AG109" s="313">
        <f t="shared" ca="1" si="294"/>
        <v>1</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ca="1" si="289"/>
        <v>Estados Unidos</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Estados Unidos</v>
      </c>
      <c r="AB110" s="87"/>
      <c r="AC110" s="50">
        <v>2</v>
      </c>
      <c r="AD110" s="51">
        <v>0</v>
      </c>
      <c r="AE110" s="87"/>
      <c r="AF110" s="89" t="str">
        <f t="shared" ca="1" si="293"/>
        <v>Bosnia y Herzegovina</v>
      </c>
      <c r="AG110" s="313">
        <f t="shared" ca="1" si="294"/>
        <v>1</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ca="1" si="289"/>
        <v>España</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3"/>
      <c r="X111" s="24">
        <f ca="1">Horarios!C111</f>
        <v>46205.875</v>
      </c>
      <c r="Y111" s="25">
        <f ca="1">Horarios!C111</f>
        <v>46205.875</v>
      </c>
      <c r="Z111" s="266">
        <f t="shared" si="296"/>
        <v>84</v>
      </c>
      <c r="AA111" s="86" t="str">
        <f t="shared" ca="1" si="292"/>
        <v>España</v>
      </c>
      <c r="AB111" s="87"/>
      <c r="AC111" s="50">
        <v>3</v>
      </c>
      <c r="AD111" s="51">
        <v>0</v>
      </c>
      <c r="AE111" s="87"/>
      <c r="AF111" s="89" t="str">
        <f t="shared" ca="1" si="293"/>
        <v>Austria</v>
      </c>
      <c r="AG111" s="313">
        <f t="shared" ca="1" si="294"/>
        <v>1</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ca="1" si="289"/>
        <v>Portugal</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Portugal</v>
      </c>
      <c r="AB112" s="87"/>
      <c r="AC112" s="50">
        <v>2</v>
      </c>
      <c r="AD112" s="51">
        <v>1</v>
      </c>
      <c r="AE112" s="87"/>
      <c r="AF112" s="89" t="str">
        <f t="shared" ca="1" si="293"/>
        <v>Croacia</v>
      </c>
      <c r="AG112" s="313">
        <f t="shared" ca="1" si="294"/>
        <v>1</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ca="1" si="289"/>
        <v>Suiza</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Suiza</v>
      </c>
      <c r="AB113" s="87"/>
      <c r="AC113" s="50">
        <v>2</v>
      </c>
      <c r="AD113" s="51">
        <v>0</v>
      </c>
      <c r="AE113" s="88"/>
      <c r="AF113" s="89" t="str">
        <f t="shared" ca="1" si="293"/>
        <v>Argelia</v>
      </c>
      <c r="AG113" s="313">
        <f t="shared" ca="1" si="294"/>
        <v>1</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ca="1" si="289"/>
        <v>Egipto</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Australia</v>
      </c>
      <c r="AB114" s="87">
        <v>2</v>
      </c>
      <c r="AC114" s="50">
        <v>1</v>
      </c>
      <c r="AD114" s="51">
        <v>1</v>
      </c>
      <c r="AE114" s="87">
        <v>4</v>
      </c>
      <c r="AF114" s="89" t="str">
        <f t="shared" ca="1" si="293"/>
        <v>Egipto</v>
      </c>
      <c r="AG114" s="313">
        <f t="shared" ca="1" si="294"/>
        <v>1</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3"/>
      <c r="X115" s="24">
        <f ca="1">Horarios!C115</f>
        <v>46207</v>
      </c>
      <c r="Y115" s="25">
        <f ca="1">Horarios!C115</f>
        <v>46207</v>
      </c>
      <c r="Z115" s="266">
        <f t="shared" si="296"/>
        <v>86</v>
      </c>
      <c r="AA115" s="86" t="str">
        <f t="shared" ca="1" si="292"/>
        <v>Argentina</v>
      </c>
      <c r="AB115" s="87"/>
      <c r="AC115" s="50"/>
      <c r="AD115" s="51"/>
      <c r="AE115" s="87"/>
      <c r="AF115" s="89" t="str">
        <f t="shared" ca="1" si="293"/>
        <v>Cabo Verde</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Colombia</v>
      </c>
      <c r="AB116" s="91"/>
      <c r="AC116" s="50"/>
      <c r="AD116" s="51"/>
      <c r="AE116" s="91"/>
      <c r="AF116" s="92" t="str">
        <f t="shared" ca="1" si="293"/>
        <v>Ghana</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c r="AD120" s="51"/>
      <c r="AE120" s="87"/>
      <c r="AF120" s="89" t="str">
        <f t="shared" ref="AF120:AF127" ca="1" si="321">+INDEX($N$101:$N$147,MATCH(AH120,$J$101:$J$147,0))</f>
        <v>Marruecos</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ca="1" si="320"/>
        <v>Paraguay</v>
      </c>
      <c r="AB121" s="87"/>
      <c r="AC121" s="50"/>
      <c r="AD121" s="51"/>
      <c r="AE121" s="87"/>
      <c r="AF121" s="89" t="str">
        <f t="shared" ca="1" si="321"/>
        <v>Francia</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ca="1" si="320"/>
        <v>Brasil</v>
      </c>
      <c r="AB122" s="87"/>
      <c r="AC122" s="50"/>
      <c r="AD122" s="51"/>
      <c r="AE122" s="87"/>
      <c r="AF122" s="89" t="str">
        <f t="shared" ca="1" si="321"/>
        <v>Noruega</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ca="1" si="320"/>
        <v>México</v>
      </c>
      <c r="AB123" s="87"/>
      <c r="AC123" s="50"/>
      <c r="AD123" s="51"/>
      <c r="AE123" s="87"/>
      <c r="AF123" s="89" t="str">
        <f t="shared" ca="1" si="321"/>
        <v>Inglaterra</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ca="1" si="318"/>
        <v>Portugal</v>
      </c>
      <c r="N124" s="16" t="str">
        <f t="shared" ca="1" si="318"/>
        <v>España</v>
      </c>
      <c r="O124" s="16"/>
      <c r="P124" s="16"/>
      <c r="Q124" s="16"/>
      <c r="R124" s="16"/>
      <c r="S124" s="16"/>
      <c r="T124" s="16"/>
      <c r="U124" s="16"/>
      <c r="V124" s="17"/>
      <c r="W124" s="635"/>
      <c r="X124" s="24">
        <f ca="1">Horarios!C124</f>
        <v>46209.875</v>
      </c>
      <c r="Y124" s="25">
        <f ca="1">Horarios!C124</f>
        <v>46209.875</v>
      </c>
      <c r="Z124" s="266">
        <f t="shared" si="319"/>
        <v>93</v>
      </c>
      <c r="AA124" s="86" t="str">
        <f t="shared" ca="1" si="320"/>
        <v>Portugal</v>
      </c>
      <c r="AB124" s="93"/>
      <c r="AC124" s="50"/>
      <c r="AD124" s="51"/>
      <c r="AE124" s="88"/>
      <c r="AF124" s="89" t="str">
        <f t="shared" ca="1" si="321"/>
        <v>España</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ca="1" si="318"/>
        <v>Estados Unidos</v>
      </c>
      <c r="N125" s="16" t="str">
        <f t="shared" ca="1" si="318"/>
        <v>Bélgica</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ca="1" si="320"/>
        <v>Estados Unidos</v>
      </c>
      <c r="AB125" s="87"/>
      <c r="AC125" s="50"/>
      <c r="AD125" s="51"/>
      <c r="AE125" s="87"/>
      <c r="AF125" s="89" t="str">
        <f t="shared" ca="1" si="321"/>
        <v>Bélgica</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ca="1" si="318"/>
        <v>Egipto</v>
      </c>
      <c r="O126" s="16"/>
      <c r="P126" s="16"/>
      <c r="Q126" s="16"/>
      <c r="R126" s="16"/>
      <c r="S126" s="16"/>
      <c r="T126" s="16"/>
      <c r="U126" s="16"/>
      <c r="V126" s="17"/>
      <c r="W126" s="635"/>
      <c r="X126" s="24">
        <f ca="1">Horarios!C126</f>
        <v>46210.75</v>
      </c>
      <c r="Y126" s="25">
        <f ca="1">Horarios!C126</f>
        <v>46210.75</v>
      </c>
      <c r="Z126" s="266">
        <f t="shared" si="319"/>
        <v>95</v>
      </c>
      <c r="AA126" s="86" t="str">
        <f t="shared" si="320"/>
        <v>W86</v>
      </c>
      <c r="AB126" s="87"/>
      <c r="AC126" s="50"/>
      <c r="AD126" s="51"/>
      <c r="AE126" s="87"/>
      <c r="AF126" s="89" t="str">
        <f t="shared" ca="1" si="321"/>
        <v>Egipto</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ca="1" si="318"/>
        <v>Suiza</v>
      </c>
      <c r="N127" s="16" t="str">
        <f t="shared" si="318"/>
        <v>W87</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ca="1" si="320"/>
        <v>Suiza</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7"/>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8"/>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40"/>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 ca="1">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 ca="1">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opLeftCell="A14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2</v>
      </c>
      <c r="E81" s="7">
        <f>WORLDCUP!AD108</f>
        <v>1</v>
      </c>
      <c r="H81" s="7">
        <f>IF(AND(NOT(ISBLANK(WORLDCUP!AC108)),NOT(ISBLANK(WORLDCUP!AD108))),1,0)</f>
        <v>1</v>
      </c>
      <c r="J81" s="613">
        <f ca="1">WORLDCUP!X108</f>
        <v>46204.75</v>
      </c>
      <c r="K81" s="614">
        <f ca="1">WORLDCUP!Y108</f>
        <v>46204.75</v>
      </c>
    </row>
    <row r="82" spans="1:11">
      <c r="A82" s="7">
        <v>81</v>
      </c>
      <c r="B82" s="611" t="str">
        <f ca="1">WORLDCUP!AA109</f>
        <v>Bélgica</v>
      </c>
      <c r="C82" t="str">
        <f ca="1">WORLDCUP!AF109</f>
        <v>Senegal</v>
      </c>
      <c r="D82" s="7">
        <f>WORLDCUP!AC109</f>
        <v>3</v>
      </c>
      <c r="E82" s="7">
        <f>WORLDCUP!AD109</f>
        <v>2</v>
      </c>
      <c r="H82" s="7">
        <f>IF(AND(NOT(ISBLANK(WORLDCUP!AC109)),NOT(ISBLANK(WORLDCUP!AD109))),1,0)</f>
        <v>1</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2</v>
      </c>
      <c r="E83" s="7">
        <f>WORLDCUP!AD110</f>
        <v>0</v>
      </c>
      <c r="H83" s="7">
        <f>IF(AND(NOT(ISBLANK(WORLDCUP!AC110)),NOT(ISBLANK(WORLDCUP!AD110))),1,0)</f>
        <v>1</v>
      </c>
      <c r="J83" s="613">
        <f ca="1">WORLDCUP!X110</f>
        <v>46205.083333333336</v>
      </c>
      <c r="K83" s="614">
        <f ca="1">WORLDCUP!Y110</f>
        <v>46205.083333333336</v>
      </c>
    </row>
    <row r="84" spans="1:11">
      <c r="A84" s="7">
        <v>83</v>
      </c>
      <c r="B84" s="611" t="str">
        <f ca="1">WORLDCUP!AA111</f>
        <v>España</v>
      </c>
      <c r="C84" t="str">
        <f ca="1">WORLDCUP!AF111</f>
        <v>Austria</v>
      </c>
      <c r="D84" s="7">
        <f>WORLDCUP!AC111</f>
        <v>3</v>
      </c>
      <c r="E84" s="7">
        <f>WORLDCUP!AD111</f>
        <v>0</v>
      </c>
      <c r="H84" s="7">
        <f>IF(AND(NOT(ISBLANK(WORLDCUP!AC111)),NOT(ISBLANK(WORLDCUP!AD111))),1,0)</f>
        <v>1</v>
      </c>
      <c r="J84" s="613">
        <f ca="1">WORLDCUP!X111</f>
        <v>46205.875</v>
      </c>
      <c r="K84" s="614">
        <f ca="1">WORLDCUP!Y111</f>
        <v>46205.875</v>
      </c>
    </row>
    <row r="85" spans="1:11">
      <c r="A85" s="7">
        <v>84</v>
      </c>
      <c r="B85" s="611" t="str">
        <f ca="1">WORLDCUP!AA112</f>
        <v>Portugal</v>
      </c>
      <c r="C85" t="str">
        <f ca="1">WORLDCUP!AF112</f>
        <v>Croacia</v>
      </c>
      <c r="D85" s="7">
        <f>WORLDCUP!AC112</f>
        <v>2</v>
      </c>
      <c r="E85" s="7">
        <f>WORLDCUP!AD112</f>
        <v>1</v>
      </c>
      <c r="H85" s="7">
        <f>IF(AND(NOT(ISBLANK(WORLDCUP!AC112)),NOT(ISBLANK(WORLDCUP!AD112))),1,0)</f>
        <v>1</v>
      </c>
      <c r="J85" s="613">
        <f ca="1">WORLDCUP!X112</f>
        <v>46206.041666666664</v>
      </c>
      <c r="K85" s="614">
        <f ca="1">WORLDCUP!Y112</f>
        <v>46206.041666666664</v>
      </c>
    </row>
    <row r="86" spans="1:11">
      <c r="A86" s="7">
        <v>85</v>
      </c>
      <c r="B86" s="611" t="str">
        <f ca="1">WORLDCUP!AA113</f>
        <v>Suiza</v>
      </c>
      <c r="C86" t="str">
        <f ca="1">WORLDCUP!AF113</f>
        <v>Argelia</v>
      </c>
      <c r="D86" s="7">
        <f>WORLDCUP!AC113</f>
        <v>2</v>
      </c>
      <c r="E86" s="7">
        <f>WORLDCUP!AD113</f>
        <v>0</v>
      </c>
      <c r="H86" s="7">
        <f>IF(AND(NOT(ISBLANK(WORLDCUP!AC113)),NOT(ISBLANK(WORLDCUP!AD113))),1,0)</f>
        <v>1</v>
      </c>
      <c r="J86" s="613">
        <f ca="1">WORLDCUP!X113</f>
        <v>46206.208333333336</v>
      </c>
      <c r="K86" s="614">
        <f ca="1">WORLDCUP!Y113</f>
        <v>46206.208333333336</v>
      </c>
    </row>
    <row r="87" spans="1:11">
      <c r="A87" s="7">
        <v>86</v>
      </c>
      <c r="B87" s="611" t="str">
        <f ca="1">WORLDCUP!AA114</f>
        <v>Australia</v>
      </c>
      <c r="C87" t="str">
        <f ca="1">WORLDCUP!AF114</f>
        <v>Egipto</v>
      </c>
      <c r="D87" s="7">
        <f>WORLDCUP!AC114</f>
        <v>1</v>
      </c>
      <c r="E87" s="7">
        <f>WORLDCUP!AD114</f>
        <v>1</v>
      </c>
      <c r="H87" s="7">
        <f>IF(AND(NOT(ISBLANK(WORLDCUP!AC114)),NOT(ISBLANK(WORLDCUP!AD114))),1,0)</f>
        <v>1</v>
      </c>
      <c r="J87" s="613">
        <f ca="1">WORLDCUP!X114</f>
        <v>46206.833333333336</v>
      </c>
      <c r="K87" s="614">
        <f ca="1">WORLDCUP!Y114</f>
        <v>46206.833333333336</v>
      </c>
    </row>
    <row r="88" spans="1:11">
      <c r="A88" s="7">
        <v>87</v>
      </c>
      <c r="B88" s="611" t="str">
        <f ca="1">WORLDCUP!AA115</f>
        <v>Argentina</v>
      </c>
      <c r="C88" t="str">
        <f ca="1">WORLDCUP!AF115</f>
        <v>Cabo Verde</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Colombia</v>
      </c>
      <c r="C89" t="str">
        <f ca="1">WORLDCUP!AF116</f>
        <v>Ghana</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 ca="1">WORLDCUP!AA122</f>
        <v>Brasil</v>
      </c>
      <c r="C92" t="str">
        <f ca="1">WORLDCUP!AF122</f>
        <v>Noruega</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 ca="1">WORLDCUP!AA123</f>
        <v>México</v>
      </c>
      <c r="C93" t="str">
        <f ca="1">WORLDCUP!AF123</f>
        <v>Inglaterra</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 ca="1">WORLDCUP!AA124</f>
        <v>Portugal</v>
      </c>
      <c r="C94" t="str">
        <f ca="1">WORLDCUP!AF124</f>
        <v>España</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 ca="1">WORLDCUP!AA125</f>
        <v>Estados Unidos</v>
      </c>
      <c r="C95" t="str">
        <f ca="1">WORLDCUP!AF125</f>
        <v>Bélgica</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 ca="1">WORLDCUP!AF126</f>
        <v>Egipto</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 ca="1">WORLDCUP!AA127</f>
        <v>Suiza</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México</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Sudáfrica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Corea del Sur</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República Checa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Suiza</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Canadá</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Bosnia y Herzegovina</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Catar</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Brasil</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Marruecos</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Escocia</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Haití</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Estados Unidos</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Australia</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Paraguay</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Turquía</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Alemania</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Costa de Marfil</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Ecuador</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Curazao</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Países Bajos</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Japón</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Suecia</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Túnez</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Bélgica</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Egipto</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Irán</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Nueva Zelanda</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España</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Cabo Verde</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Uruguay</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Arabia Saudita</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Francia</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Noruega</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Senegal</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Irak</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Argentina</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Austria</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Argelia</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Jordania</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Colombia</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Portugal</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RD Congo</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Uzbekistán</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Inglaterra</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Croacia</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Ghana</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Panamá</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Sudáfrica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Brasil</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Alemania</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Países Bajos</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Costa de Marfil</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Francia</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México</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Inglaterra</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Bélgica</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Estados Unidos</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España</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Portugal</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Suiza</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Australia</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Argentina</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Colombia</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Canadá</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Japón</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Paraguay</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Marruecos</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Noruega</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Suecia</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Ecuador</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RD Congo</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Senegal</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Bosnia y Herzegovina</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Austria</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Croacia</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Argelia</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Egipto</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Cabo Verde</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Ghana</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75"/>
      <c r="E165" s="694"/>
      <c r="F165" s="694"/>
      <c r="G165" s="694"/>
      <c r="H165" s="694"/>
      <c r="I165" s="338"/>
      <c r="J165" s="356"/>
      <c r="K165" s="356"/>
      <c r="L165" s="356"/>
      <c r="M165" s="372"/>
      <c r="N165" s="363"/>
    </row>
    <row r="166" spans="1:14" ht="15" customHeight="1">
      <c r="A166" s="673"/>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75"/>
      <c r="E166" s="694"/>
      <c r="F166" s="694"/>
      <c r="G166" s="694"/>
      <c r="H166" s="694"/>
      <c r="I166" s="338"/>
      <c r="J166" s="356"/>
      <c r="K166" s="356"/>
      <c r="L166" s="356"/>
      <c r="M166" s="372"/>
      <c r="N166" s="363"/>
    </row>
    <row r="167" spans="1:14" ht="15" customHeight="1">
      <c r="A167" s="673"/>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75"/>
      <c r="E167" s="694"/>
      <c r="F167" s="694"/>
      <c r="G167" s="694"/>
      <c r="H167" s="694"/>
      <c r="I167" s="338"/>
      <c r="J167" s="356"/>
      <c r="K167" s="356"/>
      <c r="L167" s="356"/>
      <c r="M167" s="372"/>
      <c r="N167" s="363"/>
    </row>
    <row r="168" spans="1:14" ht="15" customHeight="1">
      <c r="A168" s="673"/>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75"/>
      <c r="E168" s="356"/>
      <c r="F168" s="356"/>
      <c r="G168" s="356"/>
      <c r="H168" s="356"/>
      <c r="I168" s="338"/>
      <c r="J168" s="356"/>
      <c r="K168" s="356"/>
      <c r="L168" s="356"/>
      <c r="M168" s="372"/>
      <c r="N168" s="363"/>
    </row>
    <row r="169" spans="1:14" ht="15" customHeight="1">
      <c r="A169" s="673"/>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75"/>
      <c r="E169" s="356"/>
      <c r="F169" s="356"/>
      <c r="G169" s="356"/>
      <c r="H169" s="356"/>
      <c r="I169" s="338"/>
      <c r="J169" s="356"/>
      <c r="K169" s="356"/>
      <c r="L169" s="356"/>
      <c r="M169" s="372"/>
      <c r="N169" s="363"/>
    </row>
    <row r="170" spans="1:14" ht="15" customHeight="1">
      <c r="A170" s="673"/>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75"/>
      <c r="E170" s="356"/>
      <c r="F170" s="356"/>
      <c r="G170" s="356"/>
      <c r="H170" s="356"/>
      <c r="I170" s="338"/>
      <c r="J170" s="356"/>
      <c r="K170" s="356"/>
      <c r="L170" s="356"/>
      <c r="M170" s="372"/>
      <c r="N170" s="363"/>
    </row>
    <row r="171" spans="1:14" ht="15" customHeight="1">
      <c r="A171" s="673"/>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Congo·1|2-1</v>
      </c>
      <c r="D171" s="675"/>
      <c r="E171" s="356"/>
      <c r="F171" s="356"/>
      <c r="G171" s="356"/>
      <c r="H171" s="356"/>
      <c r="I171" s="338"/>
      <c r="J171" s="356"/>
      <c r="K171" s="356"/>
      <c r="L171" s="356"/>
      <c r="M171" s="372"/>
      <c r="N171" s="363"/>
    </row>
    <row r="172" spans="1:14" ht="15" customHeight="1">
      <c r="A172" s="673"/>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Bélgica-Senegal·1|3-2</v>
      </c>
      <c r="D172" s="675"/>
      <c r="E172" s="356"/>
      <c r="F172" s="356"/>
      <c r="G172" s="356"/>
      <c r="H172" s="356"/>
      <c r="I172" s="338"/>
      <c r="J172" s="356"/>
      <c r="K172" s="356"/>
      <c r="L172" s="356"/>
      <c r="M172" s="372"/>
      <c r="N172" s="363"/>
    </row>
    <row r="173" spans="1:14" ht="15" customHeight="1">
      <c r="A173" s="673"/>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Herzegovina·1|2-0</v>
      </c>
      <c r="D173" s="675"/>
      <c r="E173" s="356"/>
      <c r="F173" s="356"/>
      <c r="G173" s="356"/>
      <c r="H173" s="356"/>
      <c r="I173" s="338"/>
      <c r="J173" s="356"/>
      <c r="K173" s="356"/>
      <c r="L173" s="356"/>
      <c r="M173" s="372"/>
      <c r="N173" s="363"/>
    </row>
    <row r="174" spans="1:14" ht="15" customHeight="1">
      <c r="A174" s="673"/>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España-Austria·1|3-0</v>
      </c>
      <c r="D174" s="675"/>
      <c r="E174" s="356"/>
      <c r="F174" s="356"/>
      <c r="G174" s="356"/>
      <c r="H174" s="356"/>
      <c r="I174" s="338"/>
      <c r="J174" s="356"/>
      <c r="K174" s="356"/>
      <c r="L174" s="356"/>
      <c r="M174" s="372"/>
      <c r="N174" s="363"/>
    </row>
    <row r="175" spans="1:14" ht="15" customHeight="1">
      <c r="A175" s="673"/>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Portugal-Croacia·1|2-1</v>
      </c>
      <c r="D175" s="675"/>
      <c r="E175" s="356"/>
      <c r="F175" s="356"/>
      <c r="G175" s="356"/>
      <c r="H175" s="356"/>
      <c r="I175" s="338"/>
      <c r="J175" s="356"/>
      <c r="K175" s="356"/>
      <c r="L175" s="356"/>
      <c r="M175" s="372"/>
      <c r="N175" s="363"/>
    </row>
    <row r="176" spans="1:14" ht="15" customHeight="1">
      <c r="A176" s="673"/>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Suiza-Argelia·1|2-0</v>
      </c>
      <c r="D176" s="675"/>
      <c r="E176" s="356"/>
      <c r="F176" s="356"/>
      <c r="G176" s="356"/>
      <c r="H176" s="356"/>
      <c r="I176" s="338"/>
      <c r="J176" s="356"/>
      <c r="K176" s="356"/>
      <c r="L176" s="356"/>
      <c r="M176" s="372"/>
      <c r="N176" s="363"/>
    </row>
    <row r="177" spans="1:14" ht="15" customHeight="1">
      <c r="A177" s="673"/>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Australia-Egipto·X|1-1</v>
      </c>
      <c r="D177" s="675"/>
      <c r="E177" s="356"/>
      <c r="F177" s="356"/>
      <c r="G177" s="356"/>
      <c r="H177" s="356"/>
      <c r="I177" s="338"/>
      <c r="J177" s="356"/>
      <c r="K177" s="356"/>
      <c r="L177" s="356"/>
      <c r="M177" s="372"/>
      <c r="N177" s="363"/>
    </row>
    <row r="178" spans="1:14" ht="15" customHeight="1">
      <c r="A178" s="673"/>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Verde·0|-</v>
      </c>
      <c r="D178" s="675"/>
      <c r="E178" s="356"/>
      <c r="F178" s="356"/>
      <c r="G178" s="356"/>
      <c r="H178" s="356"/>
      <c r="I178" s="338"/>
      <c r="J178" s="356"/>
      <c r="K178" s="356"/>
      <c r="L178" s="356"/>
      <c r="M178" s="372"/>
      <c r="N178" s="363"/>
    </row>
    <row r="179" spans="1:14" ht="15" customHeight="1">
      <c r="A179" s="673"/>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 ca="1">WORLDCUP!AA120</f>
        <v>Canadá</v>
      </c>
      <c r="D182" s="675"/>
      <c r="E182" s="356"/>
      <c r="F182" s="356"/>
      <c r="G182" s="356"/>
      <c r="H182" s="356"/>
      <c r="I182" s="338"/>
      <c r="J182" s="356"/>
      <c r="K182" s="356"/>
      <c r="L182" s="356"/>
      <c r="M182" s="372"/>
      <c r="N182" s="363"/>
    </row>
    <row r="183" spans="1:14" ht="15" customHeight="1">
      <c r="A183" s="673"/>
      <c r="B183" s="346" t="str">
        <f>B182</f>
        <v>Octavofinalista</v>
      </c>
      <c r="C183" s="335" t="str">
        <f ca="1">WORLDCUP!AA121</f>
        <v>Paraguay</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 ca="1">WORLDCUP!AA122</f>
        <v>Brasil</v>
      </c>
      <c r="D184" s="675"/>
      <c r="E184" s="356"/>
      <c r="F184" s="356"/>
      <c r="G184" s="356"/>
      <c r="H184" s="356"/>
      <c r="I184" s="338"/>
      <c r="J184" s="356"/>
      <c r="K184" s="356"/>
      <c r="L184" s="356"/>
      <c r="M184" s="372"/>
      <c r="N184" s="363"/>
    </row>
    <row r="185" spans="1:14" ht="15" customHeight="1">
      <c r="A185" s="673"/>
      <c r="B185" s="346" t="str">
        <f t="shared" si="2"/>
        <v>Octavofinalista</v>
      </c>
      <c r="C185" s="335" t="str">
        <f ca="1">WORLDCUP!AA123</f>
        <v>México</v>
      </c>
      <c r="D185" s="675"/>
      <c r="E185" s="356"/>
      <c r="F185" s="356"/>
      <c r="G185" s="356"/>
      <c r="H185" s="356"/>
      <c r="I185" s="338"/>
      <c r="J185" s="356"/>
      <c r="K185" s="356"/>
      <c r="L185" s="356"/>
      <c r="M185" s="372"/>
      <c r="N185" s="363"/>
    </row>
    <row r="186" spans="1:14" ht="15" customHeight="1">
      <c r="A186" s="673"/>
      <c r="B186" s="346" t="str">
        <f t="shared" si="2"/>
        <v>Octavofinalista</v>
      </c>
      <c r="C186" s="335" t="str">
        <f ca="1">WORLDCUP!AA124</f>
        <v>Portugal</v>
      </c>
      <c r="D186" s="675"/>
      <c r="E186" s="356"/>
      <c r="F186" s="356"/>
      <c r="G186" s="356"/>
      <c r="H186" s="356"/>
      <c r="I186" s="338"/>
      <c r="J186" s="356"/>
      <c r="K186" s="356"/>
      <c r="L186" s="356"/>
      <c r="M186" s="372"/>
      <c r="N186" s="363"/>
    </row>
    <row r="187" spans="1:14" ht="15" customHeight="1">
      <c r="A187" s="673"/>
      <c r="B187" s="346" t="str">
        <f t="shared" si="2"/>
        <v>Octavofinalista</v>
      </c>
      <c r="C187" s="335" t="str">
        <f ca="1">WORLDCUP!AA125</f>
        <v>Estados Unidos</v>
      </c>
      <c r="D187" s="675"/>
      <c r="E187" s="356"/>
      <c r="F187" s="356"/>
      <c r="G187" s="356"/>
      <c r="H187" s="356"/>
      <c r="I187" s="338"/>
      <c r="J187" s="356"/>
      <c r="K187" s="356"/>
      <c r="L187" s="356"/>
      <c r="M187" s="372"/>
      <c r="N187" s="363"/>
    </row>
    <row r="188" spans="1:14" ht="15" customHeight="1">
      <c r="A188" s="673"/>
      <c r="B188" s="346" t="str">
        <f t="shared" si="2"/>
        <v>Octavofinalista</v>
      </c>
      <c r="C188" s="335" t="str">
        <f>WORLDCUP!AA126</f>
        <v>W86</v>
      </c>
      <c r="D188" s="675"/>
      <c r="E188" s="356"/>
      <c r="F188" s="356"/>
      <c r="G188" s="356"/>
      <c r="H188" s="356"/>
      <c r="I188" s="338"/>
      <c r="J188" s="356"/>
      <c r="K188" s="356"/>
      <c r="L188" s="356"/>
      <c r="M188" s="372"/>
      <c r="N188" s="363"/>
    </row>
    <row r="189" spans="1:14" ht="15" customHeight="1">
      <c r="A189" s="673"/>
      <c r="B189" s="346" t="str">
        <f t="shared" si="2"/>
        <v>Octavofinalista</v>
      </c>
      <c r="C189" s="335" t="str">
        <f ca="1">WORLDCUP!AA127</f>
        <v>Suiza</v>
      </c>
      <c r="D189" s="675"/>
      <c r="E189" s="356"/>
      <c r="F189" s="356"/>
      <c r="G189" s="356"/>
      <c r="H189" s="356"/>
      <c r="I189" s="338"/>
      <c r="J189" s="356"/>
      <c r="K189" s="356"/>
      <c r="L189" s="356"/>
      <c r="M189" s="372"/>
      <c r="N189" s="363"/>
    </row>
    <row r="190" spans="1:14" ht="15" customHeight="1">
      <c r="A190" s="673"/>
      <c r="B190" s="346" t="str">
        <f t="shared" si="2"/>
        <v>Octavofinalista</v>
      </c>
      <c r="C190" s="335" t="str">
        <f ca="1">WORLDCUP!AF120</f>
        <v>Marruecos</v>
      </c>
      <c r="D190" s="675"/>
      <c r="E190" s="356"/>
      <c r="F190" s="356"/>
      <c r="G190" s="356"/>
      <c r="H190" s="356"/>
      <c r="I190" s="338"/>
      <c r="J190" s="356"/>
      <c r="K190" s="356"/>
      <c r="L190" s="356"/>
      <c r="M190" s="372"/>
      <c r="N190" s="363"/>
    </row>
    <row r="191" spans="1:14" ht="15" customHeight="1">
      <c r="A191" s="673"/>
      <c r="B191" s="346" t="str">
        <f t="shared" si="2"/>
        <v>Octavofinalista</v>
      </c>
      <c r="C191" s="335" t="str">
        <f ca="1">WORLDCUP!AF121</f>
        <v>Francia</v>
      </c>
      <c r="D191" s="675"/>
      <c r="E191" s="356"/>
      <c r="F191" s="356"/>
      <c r="G191" s="356"/>
      <c r="H191" s="356"/>
      <c r="I191" s="338"/>
      <c r="J191" s="356"/>
      <c r="K191" s="356"/>
      <c r="L191" s="356"/>
      <c r="M191" s="372"/>
      <c r="N191" s="363"/>
    </row>
    <row r="192" spans="1:14" ht="15" customHeight="1">
      <c r="A192" s="673"/>
      <c r="B192" s="346" t="str">
        <f t="shared" si="2"/>
        <v>Octavofinalista</v>
      </c>
      <c r="C192" s="335" t="str">
        <f ca="1">WORLDCUP!AF122</f>
        <v>Noruega</v>
      </c>
      <c r="D192" s="675"/>
      <c r="E192" s="356"/>
      <c r="F192" s="356"/>
      <c r="G192" s="356"/>
      <c r="H192" s="356"/>
      <c r="I192" s="338"/>
      <c r="J192" s="356"/>
      <c r="K192" s="356"/>
      <c r="L192" s="356"/>
      <c r="M192" s="372"/>
      <c r="N192" s="363"/>
    </row>
    <row r="193" spans="1:14" ht="15" customHeight="1">
      <c r="A193" s="673"/>
      <c r="B193" s="346" t="str">
        <f t="shared" si="2"/>
        <v>Octavofinalista</v>
      </c>
      <c r="C193" s="335" t="str">
        <f ca="1">WORLDCUP!AF123</f>
        <v>Inglaterra</v>
      </c>
      <c r="D193" s="675"/>
      <c r="E193" s="356"/>
      <c r="F193" s="356"/>
      <c r="G193" s="356"/>
      <c r="H193" s="356"/>
      <c r="I193" s="338"/>
      <c r="J193" s="356"/>
      <c r="K193" s="356"/>
      <c r="L193" s="356"/>
      <c r="M193" s="372"/>
      <c r="N193" s="363"/>
    </row>
    <row r="194" spans="1:14" ht="15" customHeight="1">
      <c r="A194" s="673"/>
      <c r="B194" s="346" t="str">
        <f t="shared" si="2"/>
        <v>Octavofinalista</v>
      </c>
      <c r="C194" s="335" t="str">
        <f ca="1">WORLDCUP!AF124</f>
        <v>España</v>
      </c>
      <c r="D194" s="675"/>
      <c r="E194" s="356"/>
      <c r="F194" s="356"/>
      <c r="G194" s="356"/>
      <c r="H194" s="356"/>
      <c r="I194" s="338"/>
      <c r="J194" s="356"/>
      <c r="K194" s="356"/>
      <c r="L194" s="356"/>
      <c r="M194" s="372"/>
      <c r="N194" s="363"/>
    </row>
    <row r="195" spans="1:14" ht="15" customHeight="1">
      <c r="A195" s="673"/>
      <c r="B195" s="346" t="str">
        <f t="shared" si="2"/>
        <v>Octavofinalista</v>
      </c>
      <c r="C195" s="335" t="str">
        <f ca="1">WORLDCUP!AF125</f>
        <v>Bélgica</v>
      </c>
      <c r="D195" s="675"/>
      <c r="E195" s="356"/>
      <c r="F195" s="356"/>
      <c r="G195" s="356"/>
      <c r="H195" s="356"/>
      <c r="I195" s="338"/>
      <c r="J195" s="356"/>
      <c r="K195" s="356"/>
      <c r="L195" s="356"/>
      <c r="M195" s="372"/>
      <c r="N195" s="363"/>
    </row>
    <row r="196" spans="1:14" ht="15" customHeight="1">
      <c r="A196" s="673"/>
      <c r="B196" s="346" t="str">
        <f t="shared" si="2"/>
        <v>Octavofinalista</v>
      </c>
      <c r="C196" s="335" t="str">
        <f ca="1">WORLDCUP!AF126</f>
        <v>Egipto</v>
      </c>
      <c r="D196" s="675"/>
      <c r="E196" s="356"/>
      <c r="F196" s="356"/>
      <c r="G196" s="356"/>
      <c r="H196" s="356"/>
      <c r="I196" s="338"/>
      <c r="J196" s="356"/>
      <c r="K196" s="356"/>
      <c r="L196" s="356"/>
      <c r="M196" s="372"/>
      <c r="N196" s="363"/>
    </row>
    <row r="197" spans="1:14" ht="15" customHeight="1">
      <c r="A197" s="673"/>
      <c r="B197" s="346" t="str">
        <f t="shared" si="2"/>
        <v>Octavofinalista</v>
      </c>
      <c r="C197" s="335" t="str">
        <f>WORLDCUP!AF127</f>
        <v>W87</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Canadá-Marruecos·0|-</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Paraguay-Francia·0|-</v>
      </c>
      <c r="D201" s="674"/>
      <c r="E201" s="669"/>
      <c r="F201" s="669"/>
      <c r="G201" s="669"/>
      <c r="H201" s="669"/>
      <c r="I201" s="338"/>
      <c r="J201" s="356"/>
      <c r="K201" s="356"/>
      <c r="L201" s="356"/>
      <c r="M201" s="372"/>
      <c r="N201" s="363"/>
    </row>
    <row r="202" spans="1:14" ht="15" customHeight="1">
      <c r="A202" s="673"/>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Brasil-Noruega·0|-</v>
      </c>
      <c r="D202" s="674"/>
      <c r="E202" s="669"/>
      <c r="F202" s="669"/>
      <c r="G202" s="669"/>
      <c r="H202" s="669"/>
      <c r="I202" s="338"/>
      <c r="J202" s="356"/>
      <c r="K202" s="356"/>
      <c r="L202" s="356"/>
      <c r="M202" s="372"/>
      <c r="N202" s="363"/>
    </row>
    <row r="203" spans="1:14" ht="15" customHeight="1">
      <c r="A203" s="673"/>
      <c r="B203" s="347" t="str">
        <f ca="1">CONCATENATE(WORLDCUP!AA123,"-",WORLDCUP!AF123)</f>
        <v>México-Inglaterra</v>
      </c>
      <c r="C203" s="337" t="str">
        <f ca="1">CONCATENATE(WORLDCUP!AA123,"-",WORLDCUP!AF123,"·",IF(WORLDCUP!AC123&gt;WORLDCUP!AD123,1,IF(WORLDCUP!AC123&lt;WORLDCUP!AD123,2,IF(AND(WORLDCUP!AC123=WORLDCUP!AD123,WORLDCUP!AC123&lt;&gt;"",WORLDCUP!AD123&lt;&gt;""),"X",0))),"|",WORLDCUP!AC123,"-",WORLDCUP!AD123)</f>
        <v>México-Inglaterra·0|-</v>
      </c>
      <c r="D203" s="674"/>
      <c r="E203" s="669"/>
      <c r="F203" s="669"/>
      <c r="G203" s="669"/>
      <c r="H203" s="669"/>
      <c r="I203" s="338"/>
      <c r="J203" s="356"/>
      <c r="K203" s="356"/>
      <c r="L203" s="356"/>
      <c r="M203" s="372"/>
      <c r="N203" s="363"/>
    </row>
    <row r="204" spans="1:14" ht="15" customHeight="1">
      <c r="A204" s="673"/>
      <c r="B204" s="347" t="str">
        <f ca="1">CONCATENATE(WORLDCUP!AA124,"-",WORLDCUP!AF124)</f>
        <v>Portugal-España</v>
      </c>
      <c r="C204" s="337" t="str">
        <f ca="1">CONCATENATE(WORLDCUP!AA124,"-",WORLDCUP!AF124,"·",IF(WORLDCUP!AC124&gt;WORLDCUP!AD124,1,IF(WORLDCUP!AC124&lt;WORLDCUP!AD124,2,IF(AND(WORLDCUP!AC124=WORLDCUP!AD124,WORLDCUP!AC124&lt;&gt;"",WORLDCUP!AD124&lt;&gt;""),"X",0))),"|",WORLDCUP!AC124,"-",WORLDCUP!AD124)</f>
        <v>Portugal-España·0|-</v>
      </c>
      <c r="D204" s="674"/>
      <c r="E204" s="338"/>
      <c r="F204" s="338"/>
      <c r="G204" s="338"/>
      <c r="H204" s="338"/>
      <c r="I204" s="338"/>
      <c r="J204" s="356"/>
      <c r="K204" s="356"/>
      <c r="L204" s="356"/>
      <c r="M204" s="372"/>
      <c r="N204" s="363"/>
    </row>
    <row r="205" spans="1:14" ht="15" customHeight="1">
      <c r="A205" s="673"/>
      <c r="B205" s="347" t="str">
        <f ca="1">CONCATENATE(WORLDCUP!AA125,"-",WORLDCUP!AF125)</f>
        <v>Estados Unidos-Bélgica</v>
      </c>
      <c r="C205" s="337" t="str">
        <f ca="1">CONCATENATE(WORLDCUP!AA125,"-",WORLDCUP!AF125,"·",IF(WORLDCUP!AC125&gt;WORLDCUP!AD125,1,IF(WORLDCUP!AC125&lt;WORLDCUP!AD125,2,IF(AND(WORLDCUP!AC125=WORLDCUP!AD125,WORLDCUP!AC125&lt;&gt;"",WORLDCUP!AD125&lt;&gt;""),"X",0))),"|",WORLDCUP!AC125,"-",WORLDCUP!AD125)</f>
        <v>Estados Unidos-Bélgica·0|-</v>
      </c>
      <c r="D205" s="674"/>
      <c r="E205" s="338"/>
      <c r="F205" s="338"/>
      <c r="G205" s="338"/>
      <c r="H205" s="338"/>
      <c r="I205" s="338"/>
      <c r="J205" s="356"/>
      <c r="K205" s="356"/>
      <c r="L205" s="356"/>
      <c r="M205" s="372"/>
      <c r="N205" s="363"/>
    </row>
    <row r="206" spans="1:14" ht="15" customHeight="1">
      <c r="A206" s="673"/>
      <c r="B206" s="347" t="str">
        <f ca="1">CONCATENATE(WORLDCUP!AA126,"-",WORLDCUP!AF126)</f>
        <v>W86-Egipto</v>
      </c>
      <c r="C206" s="337" t="str">
        <f ca="1">CONCATENATE(WORLDCUP!AA126,"-",WORLDCUP!AF126,"·",IF(WORLDCUP!AC126&gt;WORLDCUP!AD126,1,IF(WORLDCUP!AC126&lt;WORLDCUP!AD126,2,IF(AND(WORLDCUP!AC126=WORLDCUP!AD126,WORLDCUP!AC126&lt;&gt;"",WORLDCUP!AD126&lt;&gt;""),"X",0))),"|",WORLDCUP!AC126,"-",WORLDCUP!AD126)</f>
        <v>W86-Egipto·0|-</v>
      </c>
      <c r="D206" s="674"/>
      <c r="E206" s="338"/>
      <c r="F206" s="338"/>
      <c r="G206" s="338"/>
      <c r="H206" s="338"/>
      <c r="I206" s="338"/>
      <c r="J206" s="356"/>
      <c r="K206" s="356"/>
      <c r="L206" s="356"/>
      <c r="M206" s="372"/>
      <c r="N206" s="363"/>
    </row>
    <row r="207" spans="1:14" ht="15" customHeight="1">
      <c r="A207" s="673"/>
      <c r="B207" s="347" t="str">
        <f ca="1">CONCATENATE(WORLDCUP!AA127,"-",WORLDCUP!AF127)</f>
        <v>Suiza-W87</v>
      </c>
      <c r="C207" s="337" t="str">
        <f ca="1">CONCATENATE(WORLDCUP!AA127,"-",WORLDCUP!AF127,"·",IF(WORLDCUP!AC127&gt;WORLDCUP!AD127,1,IF(WORLDCUP!AC127&lt;WORLDCUP!AD127,2,IF(AND(WORLDCUP!AC127=WORLDCUP!AD127,WORLDCUP!AC127&lt;&gt;"",WORLDCUP!AD127&lt;&gt;""),"X",0))),"|",WORLDCUP!AC127,"-",WORLDCUP!AD127)</f>
        <v>Suiza-W87·0|-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WORLDCUP!AA131</f>
        <v>W89</v>
      </c>
      <c r="D210" s="674"/>
      <c r="E210" s="356"/>
      <c r="F210" s="356"/>
      <c r="G210" s="356"/>
      <c r="H210" s="356"/>
      <c r="I210" s="338"/>
      <c r="J210" s="356"/>
      <c r="K210" s="356"/>
      <c r="L210" s="356"/>
      <c r="M210" s="372"/>
      <c r="N210" s="363"/>
    </row>
    <row r="211" spans="1:14" ht="15" customHeight="1">
      <c r="A211" s="673"/>
      <c r="B211" s="346" t="str">
        <f>B210</f>
        <v>Cuartofinalista</v>
      </c>
      <c r="C211" s="335" t="str">
        <f>WORLDCUP!AA132</f>
        <v>W93</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WORLDCUP!AA133</f>
        <v>W91</v>
      </c>
      <c r="D212" s="674"/>
      <c r="E212" s="356"/>
      <c r="F212" s="356"/>
      <c r="G212" s="356"/>
      <c r="H212" s="356"/>
      <c r="I212" s="338"/>
      <c r="J212" s="356"/>
      <c r="K212" s="356"/>
      <c r="L212" s="356"/>
      <c r="M212" s="372"/>
      <c r="N212" s="363"/>
    </row>
    <row r="213" spans="1:14" ht="15" customHeight="1">
      <c r="A213" s="673"/>
      <c r="B213" s="346" t="str">
        <f t="shared" si="3"/>
        <v>Cuartofinalista</v>
      </c>
      <c r="C213" s="335" t="str">
        <f>WORLDCUP!AA134</f>
        <v>W95</v>
      </c>
      <c r="D213" s="674"/>
      <c r="E213" s="356"/>
      <c r="F213" s="356"/>
      <c r="G213" s="356"/>
      <c r="H213" s="356"/>
      <c r="I213" s="338"/>
      <c r="J213" s="356"/>
      <c r="K213" s="356"/>
      <c r="L213" s="356"/>
      <c r="M213" s="372"/>
      <c r="N213" s="363"/>
    </row>
    <row r="214" spans="1:14" ht="15" customHeight="1">
      <c r="A214" s="673"/>
      <c r="B214" s="346" t="str">
        <f t="shared" si="3"/>
        <v>Cuartofinalista</v>
      </c>
      <c r="C214" s="335" t="str">
        <f>WORLDCUP!AF131</f>
        <v>W90</v>
      </c>
      <c r="D214" s="674"/>
      <c r="E214" s="356"/>
      <c r="F214" s="356"/>
      <c r="G214" s="356"/>
      <c r="H214" s="356"/>
      <c r="I214" s="338"/>
      <c r="J214" s="356"/>
      <c r="K214" s="356"/>
      <c r="L214" s="356"/>
      <c r="M214" s="372"/>
      <c r="N214" s="363"/>
    </row>
    <row r="215" spans="1:14" ht="15" customHeight="1">
      <c r="A215" s="673"/>
      <c r="B215" s="346" t="str">
        <f t="shared" si="3"/>
        <v>Cuartofinalista</v>
      </c>
      <c r="C215" s="335" t="str">
        <f>WORLDCUP!AF132</f>
        <v>W94</v>
      </c>
      <c r="D215" s="674"/>
      <c r="E215" s="356"/>
      <c r="F215" s="356"/>
      <c r="G215" s="356"/>
      <c r="H215" s="356"/>
      <c r="I215" s="338"/>
      <c r="J215" s="356"/>
      <c r="K215" s="356"/>
      <c r="L215" s="356"/>
      <c r="M215" s="372"/>
      <c r="N215" s="363"/>
    </row>
    <row r="216" spans="1:14" ht="15" customHeight="1">
      <c r="A216" s="673"/>
      <c r="B216" s="346" t="str">
        <f t="shared" si="3"/>
        <v>Cuartofinalista</v>
      </c>
      <c r="C216" s="335" t="str">
        <f>WORLDCUP!AF133</f>
        <v>W92</v>
      </c>
      <c r="D216" s="674"/>
      <c r="E216" s="356"/>
      <c r="F216" s="356"/>
      <c r="G216" s="356"/>
      <c r="H216" s="356"/>
      <c r="I216" s="338"/>
      <c r="J216" s="356"/>
      <c r="K216" s="356"/>
      <c r="L216" s="356"/>
      <c r="M216" s="372"/>
      <c r="N216" s="363"/>
    </row>
    <row r="217" spans="1:14" ht="15" customHeight="1">
      <c r="A217" s="673"/>
      <c r="B217" s="346" t="str">
        <f t="shared" si="3"/>
        <v>Cuartofinalista</v>
      </c>
      <c r="C217" s="335" t="str">
        <f>WORLDCUP!AF134</f>
        <v>W96</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5"/>
      <c r="E221" s="669"/>
      <c r="F221" s="669"/>
      <c r="G221" s="669"/>
      <c r="H221" s="669"/>
      <c r="I221" s="338"/>
      <c r="J221" s="356"/>
      <c r="K221" s="356"/>
      <c r="L221" s="356"/>
      <c r="M221" s="372"/>
      <c r="N221" s="363"/>
    </row>
    <row r="222" spans="1:14" ht="15" customHeight="1">
      <c r="A222" s="673"/>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5"/>
      <c r="E222" s="669"/>
      <c r="F222" s="669"/>
      <c r="G222" s="669"/>
      <c r="H222" s="669"/>
      <c r="I222" s="338"/>
      <c r="J222" s="356"/>
      <c r="K222" s="356"/>
      <c r="L222" s="356"/>
      <c r="M222" s="372"/>
      <c r="N222" s="363"/>
    </row>
    <row r="223" spans="1:14" ht="15" customHeight="1">
      <c r="A223" s="673"/>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WORLDCUP!AA138</f>
        <v>W97</v>
      </c>
      <c r="D226" s="675"/>
      <c r="E226" s="356"/>
      <c r="F226" s="356"/>
      <c r="G226" s="356"/>
      <c r="H226" s="356"/>
      <c r="I226" s="338"/>
      <c r="J226" s="356"/>
      <c r="K226" s="356"/>
      <c r="L226" s="356"/>
      <c r="M226" s="372"/>
      <c r="N226" s="363"/>
    </row>
    <row r="227" spans="1:14" ht="15" customHeight="1">
      <c r="A227" s="673"/>
      <c r="B227" s="346" t="str">
        <f>Idiomas!$D$191</f>
        <v>Semifinalista</v>
      </c>
      <c r="C227" s="335" t="str">
        <f>WORLDCUP!AA139</f>
        <v>W99</v>
      </c>
      <c r="D227" s="675"/>
      <c r="E227" s="356"/>
      <c r="F227" s="356"/>
      <c r="G227" s="356"/>
      <c r="H227" s="356"/>
      <c r="I227" s="338"/>
      <c r="J227" s="356"/>
      <c r="K227" s="356"/>
      <c r="L227" s="356"/>
      <c r="M227" s="372"/>
      <c r="N227" s="363"/>
    </row>
    <row r="228" spans="1:14" ht="15" customHeight="1">
      <c r="A228" s="673"/>
      <c r="B228" s="346" t="str">
        <f>Idiomas!$D$191</f>
        <v>Semifinalista</v>
      </c>
      <c r="C228" s="335" t="str">
        <f>WORLDCUP!AF138</f>
        <v>W98</v>
      </c>
      <c r="D228" s="675"/>
      <c r="E228" s="356"/>
      <c r="F228" s="356"/>
      <c r="G228" s="356"/>
      <c r="H228" s="356"/>
      <c r="I228" s="338"/>
      <c r="J228" s="356"/>
      <c r="K228" s="356"/>
      <c r="L228" s="356"/>
      <c r="M228" s="372"/>
      <c r="N228" s="363"/>
    </row>
    <row r="229" spans="1:14" ht="15" customHeight="1">
      <c r="A229" s="673"/>
      <c r="B229" s="346" t="str">
        <f>Idiomas!$D$191</f>
        <v>Semifinalista</v>
      </c>
      <c r="C229" s="335" t="str">
        <f>WORLDCUP!AF139</f>
        <v>W100</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1</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0</v>
      </c>
      <c r="BJ10" s="443">
        <f ca="1">COUNTIF(Pool!$C$182:$C$197,Fixture!BG10)-BK10-BL10-BM10-BN10-BO10</f>
        <v>1</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f>+IF(ISBLANK(INDEX(WORLDCUP!$AC$101:$AC$147,MATCH(Y15,WORLDCUP!$Z$101:$Z$147,0))),"",INDEX(WORLDCUP!$AC$101:$AC$147,MATCH(Y15,WORLDCUP!$Z$101:$Z$147,0)))</f>
        <v>2</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f>+IF(ISBLANK(INDEX(WORLDCUP!$AD$101:$AD$147,MATCH(Y16,WORLDCUP!$Z$101:$Z$147,0))),"",INDEX(WORLDCUP!$AD$101:$AD$147,MATCH(Y16,WORLDCUP!$Z$101:$Z$147,0)))</f>
        <v>1</v>
      </c>
      <c r="AC16" s="433" t="str">
        <f>+IF(ISBLANK(INDEX(WORLDCUP!$AE$101:$AE$147,MATCH(Y16,WORLDCUP!$Z$101:$Z$147,0))),"","( "&amp;INDEX(WORLDCUP!$AE$101:$AE$147,MATCH(Y16,WORLDCUP!$Z$101:$Z$147,0))&amp;" )")</f>
        <v/>
      </c>
      <c r="AD16" s="434">
        <v>93</v>
      </c>
      <c r="AE16" s="435" t="str">
        <f ca="1">+MID(INDEX(WORLDCUP!$AA$101:$AA$147,MATCH(AD16,WORLDCUP!$Z$101:$Z$147,0)),1,3)</f>
        <v>Por</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1</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 ca="1">+MID(INDEX(WORLDCUP!$AF$101:$AF$147,MATCH(AD17,WORLDCUP!$Z$101:$Z$147,0)),1,3)</f>
        <v>Esp</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f>+IF(ISBLANK(INDEX(WORLDCUP!$AC$101:$AC$147,MATCH(Y18,WORLDCUP!$Z$101:$Z$147,0))),"",INDEX(WORLDCUP!$AC$101:$AC$147,MATCH(Y18,WORLDCUP!$Z$101:$Z$147,0)))</f>
        <v>3</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f>+IF(ISBLANK(INDEX(WORLDCUP!$AD$101:$AD$147,MATCH(Y19,WORLDCUP!$Z$101:$Z$147,0))),"",INDEX(WORLDCUP!$AD$101:$AD$147,MATCH(Y19,WORLDCUP!$Z$101:$Z$147,0)))</f>
        <v>0</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f>+IF(ISBLANK(INDEX(WORLDCUP!$AC$101:$AC$147,MATCH(Y21,WORLDCUP!$Z$101:$Z$147,0))),"",INDEX(WORLDCUP!$AC$101:$AC$147,MATCH(Y21,WORLDCUP!$Z$101:$Z$147,0)))</f>
        <v>2</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f>+IF(ISBLANK(INDEX(WORLDCUP!$AD$101:$AD$147,MATCH(Y22,WORLDCUP!$Z$101:$Z$147,0))),"",INDEX(WORLDCUP!$AD$101:$AD$147,MATCH(Y22,WORLDCUP!$Z$101:$Z$147,0)))</f>
        <v>0</v>
      </c>
      <c r="AC22" s="433" t="str">
        <f>+IF(ISBLANK(INDEX(WORLDCUP!$AE$101:$AE$147,MATCH(Y22,WORLDCUP!$Z$101:$Z$147,0))),"","( "&amp;INDEX(WORLDCUP!$AE$101:$AE$147,MATCH(Y22,WORLDCUP!$Z$101:$Z$147,0))&amp;" )")</f>
        <v/>
      </c>
      <c r="AD22" s="434">
        <v>94</v>
      </c>
      <c r="AE22" s="435" t="str">
        <f ca="1">+MID(INDEX(WORLDCUP!$AA$101:$AA$147,MATCH(AD22,WORLDCUP!$Z$101:$Z$147,0)),1,3)</f>
        <v>Est</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0</v>
      </c>
      <c r="BJ22" s="443">
        <f ca="1">COUNTIF(Pool!$C$182:$C$197,Fixture!BG22)-BK22-BL22-BM22-BN22-BO22</f>
        <v>1</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 ca="1">+MID(INDEX(WORLDCUP!$AF$101:$AF$147,MATCH(AD23,WORLDCUP!$Z$101:$Z$147,0)),1,3)</f>
        <v>Bél</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f>+IF(ISBLANK(INDEX(WORLDCUP!$AC$101:$AC$147,MATCH(Y24,WORLDCUP!$Z$101:$Z$147,0))),"",INDEX(WORLDCUP!$AC$101:$AC$147,MATCH(Y24,WORLDCUP!$Z$101:$Z$147,0)))</f>
        <v>3</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0</v>
      </c>
      <c r="BJ24" s="443">
        <f ca="1">COUNTIF(Pool!$C$182:$C$197,Fixture!BG24)-BK24-BL24-BM24-BN24-BO24</f>
        <v>1</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f>+IF(ISBLANK(INDEX(WORLDCUP!$AD$101:$AD$147,MATCH(Y25,WORLDCUP!$Z$101:$Z$147,0))),"",INDEX(WORLDCUP!$AD$101:$AD$147,MATCH(Y25,WORLDCUP!$Z$101:$Z$147,0)))</f>
        <v>2</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0</v>
      </c>
      <c r="BJ25" s="443">
        <f ca="1">COUNTIF(Pool!$C$182:$C$197,Fixture!BG25)-BK25-BL25-BM25-BN25-BO25</f>
        <v>1</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1</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0</v>
      </c>
      <c r="BJ29" s="443">
        <f ca="1">COUNTIF(Pool!$C$182:$C$197,Fixture!BG29)-BK29-BL29-BM29-BN29-BO29</f>
        <v>1</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1</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 ca="1">+MID(INDEX(WORLDCUP!$AF$101:$AF$147,MATCH(AD35,WORLDCUP!$Z$101:$Z$147,0)),1,3)</f>
        <v>Ing</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f>+IF(ISBLANK(INDEX(WORLDCUP!$AC$101:$AC$147,MATCH(Y36,WORLDCUP!$Z$101:$Z$147,0))),"",INDEX(WORLDCUP!$AC$101:$AC$147,MATCH(Y36,WORLDCUP!$Z$101:$Z$147,0)))</f>
        <v>2</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1</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f>+IF(ISBLANK(INDEX(WORLDCUP!$AD$101:$AD$147,MATCH(Y37,WORLDCUP!$Z$101:$Z$147,0))),"",INDEX(WORLDCUP!$AD$101:$AD$147,MATCH(Y37,WORLDCUP!$Z$101:$Z$147,0)))</f>
        <v>1</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 ca="1">+MID(INDEX(WORLDCUP!$AF$101:$AF$147,MATCH(AD41,WORLDCUP!$Z$101:$Z$147,0)),1,3)</f>
        <v>Egi</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0</v>
      </c>
      <c r="BJ41" s="443">
        <f ca="1">COUNTIF(Pool!$C$182:$C$197,Fixture!BG41)-BK41-BL41-BM41-BN41-BO41</f>
        <v>1</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f>+IF(ISBLANK(INDEX(WORLDCUP!$AC$101:$AC$147,MATCH(Y42,WORLDCUP!$Z$101:$Z$147,0))),"",INDEX(WORLDCUP!$AC$101:$AC$147,MATCH(Y42,WORLDCUP!$Z$101:$Z$147,0)))</f>
        <v>1</v>
      </c>
      <c r="AC42" s="485" t="str">
        <f>+IF(ISBLANK(INDEX(WORLDCUP!$AB$101:$AB$147,MATCH(Y42,WORLDCUP!$Z$101:$Z$147,0))),"","( "&amp;INDEX(WORLDCUP!$AB$101:$AB$147,MATCH(Y42,WORLDCUP!$Z$101:$Z$147,0))&amp;" )")</f>
        <v>( 2 )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f>+IF(ISBLANK(INDEX(WORLDCUP!$AD$101:$AD$147,MATCH(Y43,WORLDCUP!$Z$101:$Z$147,0))),"",INDEX(WORLDCUP!$AD$101:$AD$147,MATCH(Y43,WORLDCUP!$Z$101:$Z$147,0)))</f>
        <v>1</v>
      </c>
      <c r="AC43" s="486" t="str">
        <f>+IF(ISBLANK(INDEX(WORLDCUP!$AE$101:$AE$147,MATCH(Y43,WORLDCUP!$Z$101:$Z$147,0))),"","( "&amp;INDEX(WORLDCUP!$AE$101:$AE$147,MATCH(Y43,WORLDCUP!$Z$101:$Z$147,0))&amp;" )")</f>
        <v>( 4 )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f>+IF(ISBLANK(INDEX(WORLDCUP!$AC$101:$AC$147,MATCH(Y45,WORLDCUP!$Z$101:$Z$147,0))),"",INDEX(WORLDCUP!$AC$101:$AC$147,MATCH(Y45,WORLDCUP!$Z$101:$Z$147,0)))</f>
        <v>2</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f>+IF(ISBLANK(INDEX(WORLDCUP!$AD$101:$AD$147,MATCH(Y46,WORLDCUP!$Z$101:$Z$147,0))),"",INDEX(WORLDCUP!$AD$101:$AD$147,MATCH(Y46,WORLDCUP!$Z$101:$Z$147,0)))</f>
        <v>0</v>
      </c>
      <c r="AC46" s="433" t="str">
        <f>+IF(ISBLANK(INDEX(WORLDCUP!$AE$101:$AE$147,MATCH(Y46,WORLDCUP!$Z$101:$Z$147,0))),"","( "&amp;INDEX(WORLDCUP!$AE$101:$AE$147,MATCH(Y46,WORLDCUP!$Z$101:$Z$147,0))&amp;" )")</f>
        <v/>
      </c>
      <c r="AD46" s="434">
        <v>96</v>
      </c>
      <c r="AE46" s="435" t="str">
        <f ca="1">+MID(INDEX(WORLDCUP!$AA$101:$AA$147,MATCH(AD46,WORLDCUP!$Z$101:$Z$147,0)),1,3)</f>
        <v>Sui</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0</v>
      </c>
      <c r="BJ47" s="443">
        <f ca="1">COUNTIF(Pool!$C$182:$C$197,Fixture!BG47)-BK47-BL47-BM47-BN47-BO47</f>
        <v>1</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2026-07-03T21:23:24Z</dcterms:modified>
</cp:coreProperties>
</file>