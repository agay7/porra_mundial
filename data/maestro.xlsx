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698A44C8-A16C-44E2-9A7F-6459B54D39BA}"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l="1"/>
  <c r="T36" i="3"/>
  <c r="T96" i="3"/>
  <c r="U93" i="3"/>
  <c r="T60" i="3"/>
  <c r="T55" i="3"/>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CT31"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c r="DN45" i="3" l="1"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<sst xmlns="http://schemas.openxmlformats.org/spreadsheetml/2006/main" count="6814" uniqueCount="1534">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</sst>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2" zoomScale="55" zoomScaleNormal="100" workbookViewId="0">
      <selection activeCell="AD112" sqref="AD112"/>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si="289"/>
        <v>W83</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c r="AD112" s="51"/>
      <c r="AE112" s="87"/>
      <c r="AF112" s="89" t="str">
        <f t="shared" ca="1" si="293"/>
        <v>Croacia</v>
      </c>
      <c r="AG112" s="313">
        <f t="shared" si="294"/>
        <v>0</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si="289"/>
        <v>W85</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c r="AD113" s="51"/>
      <c r="AE113" s="88"/>
      <c r="AF113" s="89" t="str">
        <f t="shared" ca="1" si="293"/>
        <v>Argelia</v>
      </c>
      <c r="AG113" s="313">
        <f t="shared" si="294"/>
        <v>0</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si="318"/>
        <v>W83</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si="320"/>
        <v>W83</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35"/>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si="318"/>
        <v>W85</v>
      </c>
      <c r="N127" s="16" t="str">
        <f t="shared" si="318"/>
        <v>W87</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si="320"/>
        <v>W85</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0</v>
      </c>
      <c r="E85" s="7">
        <f>WORLDCUP!AD112</f>
        <v>0</v>
      </c>
      <c r="H85" s="7">
        <f>IF(AND(NOT(ISBLANK(WORLDCUP!AC112)),NOT(ISBLANK(WORLDCUP!AD112))),1,0)</f>
        <v>0</v>
      </c>
      <c r="J85" s="613">
        <f ca="1">WORLDCUP!X112</f>
        <v>46206.041666666664</v>
      </c>
      <c r="K85" s="614">
        <f ca="1">WORLDCUP!Y112</f>
        <v>46206.041666666664</v>
      </c>
    </row>
    <row r="86" spans="1:11">
      <c r="A86" s="7">
        <v>85</v>
      </c>
      <c r="B86" s="611" t="str">
        <f ca="1">WORLDCUP!AA113</f>
        <v>Suiza</v>
      </c>
      <c r="C86" t="str">
        <f ca="1">WORLDCUP!AF113</f>
        <v>Argelia</v>
      </c>
      <c r="D86" s="7">
        <f>WORLDCUP!AC113</f>
        <v>0</v>
      </c>
      <c r="E86" s="7">
        <f>WORLDCUP!AD113</f>
        <v>0</v>
      </c>
      <c r="H86" s="7">
        <f>IF(AND(NOT(ISBLANK(WORLDCUP!AC113)),NOT(ISBLANK(WORLDCUP!AD113))),1,0)</f>
        <v>0</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WORLDCUP!AA124</f>
        <v>W83</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WORLDCUP!AA127</f>
        <v>W85</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Portugal-Croacia·0|-</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WORLDCUP!AA124</f>
        <v>W83</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WORLDCUP!AA126</f>
        <v>W86</v>
      </c>
      <c r="D188" s="675"/>
      <c r="E188" s="356"/>
      <c r="F188" s="356"/>
      <c r="G188" s="356"/>
      <c r="H188" s="356"/>
      <c r="I188" s="338"/>
      <c r="J188" s="356"/>
      <c r="K188" s="356"/>
      <c r="L188" s="356"/>
      <c r="M188" s="372"/>
      <c r="N188" s="363"/>
    </row>
    <row r="189" spans="1:14" ht="15" customHeight="1">
      <c r="A189" s="673"/>
      <c r="B189" s="346" t="str">
        <f t="shared" si="2"/>
        <v>Octavofinalista</v>
      </c>
      <c r="C189" s="335" t="str">
        <f>WORLDCUP!AA127</f>
        <v>W85</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WORLDCUP!AF126</f>
        <v>W88</v>
      </c>
      <c r="D196" s="675"/>
      <c r="E196" s="356"/>
      <c r="F196" s="356"/>
      <c r="G196" s="356"/>
      <c r="H196" s="356"/>
      <c r="I196" s="338"/>
      <c r="J196" s="356"/>
      <c r="K196" s="356"/>
      <c r="L196" s="356"/>
      <c r="M196" s="372"/>
      <c r="N196" s="363"/>
    </row>
    <row r="197" spans="1:14" ht="15" customHeight="1">
      <c r="A197" s="673"/>
      <c r="B197" s="346" t="str">
        <f t="shared" si="2"/>
        <v>Octavofinalista</v>
      </c>
      <c r="C197" s="335" t="str">
        <f>WORLDCUP!AF127</f>
        <v>W87</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74"/>
      <c r="E203" s="669"/>
      <c r="F203" s="669"/>
      <c r="G203" s="669"/>
      <c r="H203" s="669"/>
      <c r="I203" s="338"/>
      <c r="J203" s="356"/>
      <c r="K203" s="356"/>
      <c r="L203" s="356"/>
      <c r="M203" s="372"/>
      <c r="N203" s="363"/>
    </row>
    <row r="204" spans="1:14" ht="15" customHeight="1">
      <c r="A204" s="673"/>
      <c r="B204" s="347" t="str">
        <f ca="1">CONCATENATE(WORLDCUP!AA124,"-",WORLDCUP!AF124)</f>
        <v>W83-España</v>
      </c>
      <c r="C204" s="337" t="str">
        <f ca="1">CONCATENATE(WORLDCUP!AA124,"-",WORLDCUP!AF124,"·",IF(WORLDCUP!AC124&gt;WORLDCUP!AD124,1,IF(WORLDCUP!AC124&lt;WORLDCUP!AD124,2,IF(AND(WORLDCUP!AC124=WORLDCUP!AD124,WORLDCUP!AC124&lt;&gt;"",WORLDCUP!AD124&lt;&gt;""),"X",0))),"|",WORLDCUP!AC124,"-",WORLDCUP!AD124)</f>
        <v>W83-España·0|-</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74"/>
      <c r="E205" s="338"/>
      <c r="F205" s="338"/>
      <c r="G205" s="338"/>
      <c r="H205" s="338"/>
      <c r="I205" s="338"/>
      <c r="J205" s="356"/>
      <c r="K205" s="356"/>
      <c r="L205" s="356"/>
      <c r="M205" s="372"/>
      <c r="N205" s="363"/>
    </row>
    <row r="206" spans="1:14" ht="15" customHeight="1">
      <c r="A206" s="673"/>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74"/>
      <c r="E206" s="338"/>
      <c r="F206" s="338"/>
      <c r="G206" s="338"/>
      <c r="H206" s="338"/>
      <c r="I206" s="338"/>
      <c r="J206" s="356"/>
      <c r="K206" s="356"/>
      <c r="L206" s="356"/>
      <c r="M206" s="372"/>
      <c r="N206" s="363"/>
    </row>
    <row r="207" spans="1:14" ht="15" customHeight="1">
      <c r="A207" s="673"/>
      <c r="B207" s="347" t="str">
        <f>CONCATENATE(WORLDCUP!AA127,"-",WORLDCUP!AF127)</f>
        <v>W85-W87</v>
      </c>
      <c r="C207" s="337" t="str">
        <f>CONCATENATE(WORLDCUP!AA127,"-",WORLDCUP!AF127,"·",IF(WORLDCUP!AC127&gt;WORLDCUP!AD127,1,IF(WORLDCUP!AC127&lt;WORLDCUP!AD127,2,IF(AND(WORLDCUP!AC127=WORLDCUP!AD127,WORLDCUP!AC127&lt;&gt;"",WORLDCUP!AD127&lt;&gt;""),"X",0))),"|",WORLDCUP!AC127,"-",WORLDCUP!AD127)</f>
        <v>W85-W87·0|-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WORLDCUP!AA131</f>
        <v>W89</v>
      </c>
      <c r="D210" s="674"/>
      <c r="E210" s="356"/>
      <c r="F210" s="356"/>
      <c r="G210" s="356"/>
      <c r="H210" s="356"/>
      <c r="I210" s="338"/>
      <c r="J210" s="356"/>
      <c r="K210" s="356"/>
      <c r="L210" s="356"/>
      <c r="M210" s="372"/>
      <c r="N210" s="363"/>
    </row>
    <row r="211" spans="1:14" ht="15" customHeight="1">
      <c r="A211" s="673"/>
      <c r="B211" s="346" t="str">
        <f>B210</f>
        <v>Cuartofinalista</v>
      </c>
      <c r="C211" s="335" t="str">
        <f>WORLDCUP!AA132</f>
        <v>W93</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WORLDCUP!AA133</f>
        <v>W91</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WORLDCUP!AF131</f>
        <v>W90</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WORLDCUP!AF133</f>
        <v>W92</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75"/>
      <c r="E221" s="669"/>
      <c r="F221" s="669"/>
      <c r="G221" s="669"/>
      <c r="H221" s="669"/>
      <c r="I221" s="338"/>
      <c r="J221" s="356"/>
      <c r="K221" s="356"/>
      <c r="L221" s="356"/>
      <c r="M221" s="372"/>
      <c r="N221" s="363"/>
    </row>
    <row r="222" spans="1:14" ht="15" customHeight="1">
      <c r="A222" s="673"/>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t="str">
        <f>+IF(ISBLANK(INDEX(WORLDCUP!$AC$101:$AC$147,MATCH(Y15,WORLDCUP!$Z$101:$Z$147,0))),"",INDEX(WORLDCUP!$AC$101:$AC$147,MATCH(Y15,WORLDCUP!$Z$101:$Z$147,0)))</f>
        <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t="str">
        <f>+IF(ISBLANK(INDEX(WORLDCUP!$AD$101:$AD$147,MATCH(Y16,WORLDCUP!$Z$101:$Z$147,0))),"",INDEX(WORLDCUP!$AD$101:$AD$147,MATCH(Y16,WORLDCUP!$Z$101:$Z$147,0)))</f>
        <v/>
      </c>
      <c r="AC16" s="433" t="str">
        <f>+IF(ISBLANK(INDEX(WORLDCUP!$AE$101:$AE$147,MATCH(Y16,WORLDCUP!$Z$101:$Z$147,0))),"","( "&amp;INDEX(WORLDCUP!$AE$101:$AE$147,MATCH(Y16,WORLDCUP!$Z$101:$Z$147,0))&amp;" )")</f>
        <v/>
      </c>
      <c r="AD16" s="434">
        <v>93</v>
      </c>
      <c r="AE16" s="435" t="str">
        <f>+MID(INDEX(WORLDCUP!$AA$101:$AA$147,MATCH(AD16,WORLDCUP!$Z$101:$Z$147,0)),1,3)</f>
        <v>W83</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1</v>
      </c>
      <c r="BJ41" s="443">
        <f ca="1">COUNTIF(Pool!$C$182:$C$197,Fixture!BG41)-BK41-BL41-BM41-BN41-BO41</f>
        <v>0</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t="str">
        <f>+IF(ISBLANK(INDEX(WORLDCUP!$AC$101:$AC$147,MATCH(Y45,WORLDCUP!$Z$101:$Z$147,0))),"",INDEX(WORLDCUP!$AC$101:$AC$147,MATCH(Y45,WORLDCUP!$Z$101:$Z$147,0)))</f>
        <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t="str">
        <f>+IF(ISBLANK(INDEX(WORLDCUP!$AD$101:$AD$147,MATCH(Y46,WORLDCUP!$Z$101:$Z$147,0))),"",INDEX(WORLDCUP!$AD$101:$AD$147,MATCH(Y46,WORLDCUP!$Z$101:$Z$147,0)))</f>
        <v/>
      </c>
      <c r="AC46" s="433" t="str">
        <f>+IF(ISBLANK(INDEX(WORLDCUP!$AE$101:$AE$147,MATCH(Y46,WORLDCUP!$Z$101:$Z$147,0))),"","( "&amp;INDEX(WORLDCUP!$AE$101:$AE$147,MATCH(Y46,WORLDCUP!$Z$101:$Z$147,0))&amp;" )")</f>
        <v/>
      </c>
      <c r="AD46" s="434">
        <v>96</v>
      </c>
      <c r="AE46" s="435" t="str">
        <f>+MID(INDEX(WORLDCUP!$AA$101:$AA$147,MATCH(AD46,WORLDCUP!$Z$101:$Z$147,0)),1,3)</f>
        <v>W85</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1</v>
      </c>
      <c r="BJ47" s="443">
        <f ca="1">COUNTIF(Pool!$C$182:$C$197,Fixture!BG47)-BK47-BL47-BM47-BN47-BO47</f>
        <v>0</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2026-07-02T21:54:57Z</dcterms:modified>
</cp:coreProperties>
</file>