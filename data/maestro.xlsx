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E504377C-9EB9-4497-AC31-642C00E7CF12}"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41" i="3"/>
  <c r="T69" i="3"/>
  <c r="U73" i="3"/>
  <c r="T81" i="3"/>
  <c r="T89" i="3"/>
  <c r="T36" i="3" l="1"/>
  <c r="T96" i="3"/>
  <c r="U93" i="3"/>
  <c r="T60" i="3"/>
  <c r="T55" i="3"/>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c r="DN45" i="3" l="1"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<sst xmlns="http://schemas.openxmlformats.org/spreadsheetml/2006/main" count="6814" uniqueCount="1534">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</sst>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2" zoomScale="55" zoomScaleNormal="100" workbookViewId="0">
      <selection activeCell="AE110" sqref="AE110"/>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c r="AD111" s="51"/>
      <c r="AE111" s="87"/>
      <c r="AF111" s="89" t="str">
        <f t="shared" ca="1" si="293"/>
        <v>Austria</v>
      </c>
      <c r="AG111" s="313">
        <f t="shared" si="294"/>
        <v>0</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c r="AD112" s="51"/>
      <c r="AE112" s="87"/>
      <c r="AF112" s="89" t="str">
        <f t="shared" ca="1" si="293"/>
        <v>Croacia</v>
      </c>
      <c r="AG112" s="313">
        <f t="shared" si="294"/>
        <v>0</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si="289"/>
        <v>W85</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Argelia</v>
      </c>
      <c r="AG113" s="313">
        <f t="shared" si="294"/>
        <v>0</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ca="1" si="321">+INDEX($N$101:$N$147,MATCH(AH120,$J$101:$J$147,0))</f>
        <v>Marruecos</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ca="1" si="320"/>
        <v>Paraguay</v>
      </c>
      <c r="AB121" s="87"/>
      <c r="AC121" s="50"/>
      <c r="AD121" s="51"/>
      <c r="AE121" s="87"/>
      <c r="AF121" s="89" t="str">
        <f t="shared" ca="1" si="321"/>
        <v>Francia</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ca="1" si="320"/>
        <v>México</v>
      </c>
      <c r="AB123" s="87"/>
      <c r="AC123" s="50"/>
      <c r="AD123" s="51"/>
      <c r="AE123" s="87"/>
      <c r="AF123" s="89" t="str">
        <f t="shared" ca="1" si="321"/>
        <v>Inglaterra</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ca="1" si="320"/>
        <v>Estados Unidos</v>
      </c>
      <c r="AB125" s="87"/>
      <c r="AC125" s="50"/>
      <c r="AD125" s="51"/>
      <c r="AE125" s="87"/>
      <c r="AF125" s="89" t="str">
        <f t="shared" ca="1" si="321"/>
        <v>Bélgica</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0</v>
      </c>
      <c r="E84" s="7">
        <f>WORLDCUP!AD111</f>
        <v>0</v>
      </c>
      <c r="H84" s="7">
        <f>IF(AND(NOT(ISBLANK(WORLDCUP!AC111)),NOT(ISBLANK(WORLDCUP!AD111))),1,0)</f>
        <v>0</v>
      </c>
      <c r="J84" s="613">
        <f ca="1">WORLDCUP!X111</f>
        <v>46205.875</v>
      </c>
      <c r="K84" s="614">
        <f ca="1">WORLDCUP!Y111</f>
        <v>46205.875</v>
      </c>
    </row>
    <row r="85" spans="1:11">
      <c r="A85" s="7">
        <v>84</v>
      </c>
      <c r="B85" s="611" t="str">
        <f ca="1">WORLDCUP!AA112</f>
        <v>Portugal</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Argelia</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 ca="1">WORLDCUP!AA123</f>
        <v>México</v>
      </c>
      <c r="C93" t="str">
        <f ca="1">WORLDCUP!AF123</f>
        <v>Inglaterra</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 ca="1">WORLDCUP!AA125</f>
        <v>Estados Unidos</v>
      </c>
      <c r="C95" t="str">
        <f ca="1">WORLDCUP!AF125</f>
        <v>Bélgica</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Portugal-Croacia·0|-</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 ca="1">WORLDCUP!AA123</f>
        <v>México</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 ca="1">WORLDCUP!AA125</f>
        <v>Estados Unidos</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 ca="1">WORLDCUP!AF121</f>
        <v>Francia</v>
      </c>
      <c r="D191" s="689"/>
      <c r="E191" s="356"/>
      <c r="F191" s="356"/>
      <c r="G191" s="356"/>
      <c r="H191" s="356"/>
      <c r="I191" s="338"/>
      <c r="J191" s="356"/>
      <c r="K191" s="356"/>
      <c r="L191" s="356"/>
      <c r="M191" s="372"/>
      <c r="N191" s="363"/>
    </row>
    <row r="192" spans="1:14" ht="15" customHeight="1">
      <c r="A192" s="686"/>
      <c r="B192" s="346" t="str">
        <f t="shared" si="2"/>
        <v>Octavofinalista</v>
      </c>
      <c r="C192" s="335" t="str">
        <f ca="1">WORLDCUP!AF122</f>
        <v>Noruega</v>
      </c>
      <c r="D192" s="689"/>
      <c r="E192" s="356"/>
      <c r="F192" s="356"/>
      <c r="G192" s="356"/>
      <c r="H192" s="356"/>
      <c r="I192" s="338"/>
      <c r="J192" s="356"/>
      <c r="K192" s="356"/>
      <c r="L192" s="356"/>
      <c r="M192" s="372"/>
      <c r="N192" s="363"/>
    </row>
    <row r="193" spans="1:14" ht="15" customHeight="1">
      <c r="A193" s="686"/>
      <c r="B193" s="346" t="str">
        <f t="shared" si="2"/>
        <v>Octavofinalista</v>
      </c>
      <c r="C193" s="335" t="str">
        <f ca="1">WORLDCUP!AF123</f>
        <v>Inglaterra</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 ca="1">WORLDCUP!AF125</f>
        <v>Bélgica</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Paraguay-Francia·0|-</v>
      </c>
      <c r="D201" s="669"/>
      <c r="E201" s="668"/>
      <c r="F201" s="668"/>
      <c r="G201" s="668"/>
      <c r="H201" s="668"/>
      <c r="I201" s="338"/>
      <c r="J201" s="356"/>
      <c r="K201" s="356"/>
      <c r="L201" s="356"/>
      <c r="M201" s="372"/>
      <c r="N201" s="363"/>
    </row>
    <row r="202" spans="1:14" ht="15" customHeight="1">
      <c r="A202" s="686"/>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69"/>
      <c r="E202" s="668"/>
      <c r="F202" s="668"/>
      <c r="G202" s="668"/>
      <c r="H202" s="668"/>
      <c r="I202" s="338"/>
      <c r="J202" s="356"/>
      <c r="K202" s="356"/>
      <c r="L202" s="356"/>
      <c r="M202" s="372"/>
      <c r="N202" s="363"/>
    </row>
    <row r="203" spans="1:14" ht="15" customHeight="1">
      <c r="A203" s="686"/>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1</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1</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1</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1</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1</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2026-07-02T05:21:40Z</dcterms:modified>
</cp:coreProperties>
</file>