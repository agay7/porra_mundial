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576F19BF-6404-4B2C-9831-A3667F089602}" xr6:coauthVersionLast="47" xr6:coauthVersionMax="47" xr10:uidLastSave="{00000000-0000-0000-0000-000000000000}"/>
  <bookViews>
    <workbookView xWindow="-110" yWindow="-110" windowWidth="19420" windowHeight="10300" tabRatio="749" firstSheet="1" activeTab="2"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c r="Q49" i="3" l="1"/>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U93" i="3"/>
  <c r="T96" i="3"/>
  <c r="T60" i="3" l="1"/>
  <c r="T55" i="3"/>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<sst xmlns="http://schemas.openxmlformats.org/spreadsheetml/2006/main" count="6814" uniqueCount="1534">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</sst>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20" t="str">
        <f>Idiomas!D8</f>
        <v>XXIII Mundial USA/MEX/CAN 2026</v>
      </c>
      <c r="C3" s="620"/>
      <c r="D3" s="620"/>
      <c r="E3" s="620"/>
      <c r="F3" s="620"/>
      <c r="G3" s="620"/>
      <c r="H3" s="620"/>
      <c r="I3" s="620"/>
      <c r="J3" s="620"/>
      <c r="K3" s="620"/>
      <c r="L3" s="620"/>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18" t="str">
        <f>HYPERLINK(Idiomas!D10,Idiomas!D5)</f>
        <v>Si quieres organizar una porra (quiniela) con tu grupo puedes descargar el archivo de adminsitrador desde el enlace de abajo</v>
      </c>
      <c r="F16" s="619"/>
      <c r="G16" s="619"/>
      <c r="H16" s="619"/>
      <c r="I16" s="619"/>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15" t="str">
        <f>HYPERLINK(Idiomas!D10,Idiomas!D9)</f>
        <v>▼ Descargar Excel Administrador Porra ▼</v>
      </c>
      <c r="F17" s="616"/>
      <c r="G17" s="616"/>
      <c r="H17" s="616"/>
      <c r="I17" s="617"/>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21"/>
      <c r="C24" s="622"/>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opLeftCell="V122" zoomScale="55" zoomScaleNormal="100" workbookViewId="0">
      <selection activeCell="AC147" sqref="AC14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27" t="str">
        <f>Idiomas!D8</f>
        <v>XXIII Mundial USA/MEX/CAN 2026</v>
      </c>
      <c r="X1" s="627"/>
      <c r="Y1" s="627"/>
      <c r="Z1" s="627"/>
      <c r="AA1" s="627"/>
      <c r="AB1" s="627"/>
      <c r="AC1" s="627"/>
      <c r="AD1" s="627"/>
      <c r="AE1" s="627"/>
      <c r="AF1" s="62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2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2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2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2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2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2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3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3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3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3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3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3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3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3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3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3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3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3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4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4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46"/>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46"/>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46"/>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47"/>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6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6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66"/>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66"/>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66"/>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67"/>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8"/>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8"/>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8"/>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8"/>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9"/>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54"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54"/>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54"/>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54"/>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54"/>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55"/>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50"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50"/>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50"/>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50"/>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50"/>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51"/>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56"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56"/>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56"/>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56"/>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56"/>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57"/>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52"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52"/>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52"/>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52"/>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52"/>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53"/>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8"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8"/>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8"/>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8"/>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8"/>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8"/>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8"/>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8"/>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8"/>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8"/>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8"/>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8"/>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8"/>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8"/>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8"/>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9"/>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60"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60"/>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60"/>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si="318"/>
        <v>W80</v>
      </c>
      <c r="O123" s="16"/>
      <c r="P123" s="16"/>
      <c r="Q123" s="16"/>
      <c r="R123" s="16"/>
      <c r="S123" s="16"/>
      <c r="T123" s="16"/>
      <c r="U123" s="16"/>
      <c r="V123" s="17"/>
      <c r="W123" s="660"/>
      <c r="X123" s="24">
        <f ca="1">Horarios!C123</f>
        <v>46209.083333333336</v>
      </c>
      <c r="Y123" s="25">
        <f ca="1">Horarios!C123</f>
        <v>46209.083333333336</v>
      </c>
      <c r="Z123" s="266">
        <f t="shared" si="319"/>
        <v>92</v>
      </c>
      <c r="AA123" s="86" t="str">
        <f t="shared" ca="1" si="320"/>
        <v>México</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6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6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6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6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6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6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6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6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6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6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8" t="str">
        <f ca="1">IF(SUM(COUNTIF(AG4:AG97,0),COUNTIF(AG101:AG156,0)&gt;0),AL148,AL149)</f>
        <v>PORRA INCOMPLETA:</v>
      </c>
      <c r="AK151" s="629"/>
      <c r="AL151" s="629"/>
      <c r="AM151" s="629"/>
      <c r="AN151" s="629"/>
      <c r="AO151" s="629"/>
      <c r="AP151" s="629"/>
      <c r="AQ151" s="629"/>
      <c r="AR151" s="629"/>
      <c r="AS151" s="629"/>
      <c r="AT151" s="629"/>
      <c r="AU151" s="63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31"/>
      <c r="AK152" s="632"/>
      <c r="AL152" s="632"/>
      <c r="AM152" s="632"/>
      <c r="AN152" s="632"/>
      <c r="AO152" s="632"/>
      <c r="AP152" s="632"/>
      <c r="AQ152" s="632"/>
      <c r="AR152" s="632"/>
      <c r="AS152" s="632"/>
      <c r="AT152" s="632"/>
      <c r="AU152" s="63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31"/>
      <c r="AK153" s="632"/>
      <c r="AL153" s="632"/>
      <c r="AM153" s="632"/>
      <c r="AN153" s="632"/>
      <c r="AO153" s="632"/>
      <c r="AP153" s="632"/>
      <c r="AQ153" s="632"/>
      <c r="AR153" s="632"/>
      <c r="AS153" s="632"/>
      <c r="AT153" s="632"/>
      <c r="AU153" s="63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31"/>
      <c r="AK154" s="632"/>
      <c r="AL154" s="632"/>
      <c r="AM154" s="632"/>
      <c r="AN154" s="632"/>
      <c r="AO154" s="632"/>
      <c r="AP154" s="632"/>
      <c r="AQ154" s="632"/>
      <c r="AR154" s="632"/>
      <c r="AS154" s="632"/>
      <c r="AT154" s="632"/>
      <c r="AU154" s="63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40" t="str">
        <f ca="1">IF(SUM(COUNTIF(AG4:AG97,0),COUNTIF(AG101:AG156,0)&gt;0),AM148,AM149)</f>
        <v>Aún falta alguna apuesta</v>
      </c>
      <c r="AK155" s="641"/>
      <c r="AL155" s="641"/>
      <c r="AM155" s="641"/>
      <c r="AN155" s="641"/>
      <c r="AO155" s="641"/>
      <c r="AP155" s="641"/>
      <c r="AQ155" s="641"/>
      <c r="AR155" s="641"/>
      <c r="AS155" s="641"/>
      <c r="AT155" s="641"/>
      <c r="AU155" s="64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40"/>
      <c r="AK156" s="641"/>
      <c r="AL156" s="641"/>
      <c r="AM156" s="641"/>
      <c r="AN156" s="641"/>
      <c r="AO156" s="641"/>
      <c r="AP156" s="641"/>
      <c r="AQ156" s="641"/>
      <c r="AR156" s="641"/>
      <c r="AS156" s="641"/>
      <c r="AT156" s="641"/>
      <c r="AU156" s="64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43"/>
      <c r="AK157" s="644"/>
      <c r="AL157" s="644"/>
      <c r="AM157" s="644"/>
      <c r="AN157" s="644"/>
      <c r="AO157" s="644"/>
      <c r="AP157" s="644"/>
      <c r="AQ157" s="644"/>
      <c r="AR157" s="644"/>
      <c r="AS157" s="644"/>
      <c r="AT157" s="644"/>
      <c r="AU157" s="64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abSelected="1"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IF(AND(NOT(ISBLANK(WORLDCUP!AC108)),NOT(ISBLANK(WORLDCUP!AD108))),1,0)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IF(AND(NOT(ISBLANK(WORLDCUP!AC109)),NOT(ISBLANK(WORLDCUP!AD109))),1,0)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IF(AND(NOT(ISBLANK(WORLDCUP!AC110)),NOT(ISBLANK(WORLDCUP!AD110))),1,0)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IF(AND(NOT(ISBLANK(WORLDCUP!AC111)),NOT(ISBLANK(WORLDCUP!AD111))),1,0)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México-W80</v>
      </c>
      <c r="C203" s="337" t="str">
        <f ca="1">CONCATENATE(WORLDCUP!AA123,"-",WORLDCUP!AF123,"·",IF(WORLDCUP!AC123&gt;WORLDCUP!AD123,1,IF(WORLDCUP!AC123&lt;WORLDCUP!AD123,2,IF(AND(WORLDCUP!AC123=WORLDCUP!AD123,WORLDCUP!AC123&lt;&gt;"",WORLDCUP!AD123&lt;&gt;""),"X",0))),"|",WORLDCUP!AC123,"-",WORLDCUP!AD123)</f>
        <v>México-W80·0|-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2026-07-01T14:06:47Z</dcterms:modified>
</cp:coreProperties>
</file>