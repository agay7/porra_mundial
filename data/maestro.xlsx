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890CDA7-A31E-4A80-A64A-8DB0DCD1E2DD}"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<sst xmlns="http://schemas.openxmlformats.org/spreadsheetml/2006/main" count="6814" uniqueCount="1534">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</sst>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16" zoomScale="55" zoomScaleNormal="100" workbookViewId="0">
      <selection activeCell="AE128" sqref="AE12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54"/>
      <c r="X132" s="24">
        <f ca="1">Horarios!C132</f>
        <v>46213.875</v>
      </c>
      <c r="Y132" s="25">
        <f ca="1">Horarios!C132</f>
        <v>46213.875</v>
      </c>
      <c r="Z132" s="268">
        <f t="shared" si="324"/>
        <v>98</v>
      </c>
      <c r="AA132" s="86" t="str">
        <f t="shared" ca="1" si="325"/>
        <v>España</v>
      </c>
      <c r="AB132" s="87"/>
      <c r="AC132" s="50"/>
      <c r="AD132" s="51"/>
      <c r="AE132" s="87"/>
      <c r="AF132" s="108" t="str">
        <f ca="1">+INDEX($N$101:$N$147,MATCH(AH132,$J$101:$J$147,0))</f>
        <v>Bélgica</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ca="1" si="325"/>
        <v>Noruega</v>
      </c>
      <c r="AB133" s="87"/>
      <c r="AC133" s="50"/>
      <c r="AD133" s="51"/>
      <c r="AE133" s="87"/>
      <c r="AF133" s="108" t="str">
        <f ca="1">+INDEX($N$101:$N$147,MATCH(AH133,$J$101:$J$147,0))</f>
        <v>Inglaterra</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55"/>
      <c r="X134" s="28">
        <f ca="1">Horarios!C134</f>
        <v>46215.125</v>
      </c>
      <c r="Y134" s="29">
        <f ca="1">Horarios!C134</f>
        <v>46215.125</v>
      </c>
      <c r="Z134" s="269">
        <f t="shared" si="324"/>
        <v>100</v>
      </c>
      <c r="AA134" s="90" t="str">
        <f t="shared" ca="1" si="325"/>
        <v>Argentina</v>
      </c>
      <c r="AB134" s="91"/>
      <c r="AC134" s="50"/>
      <c r="AD134" s="51"/>
      <c r="AE134" s="91"/>
      <c r="AF134" s="109" t="str">
        <f ca="1">+INDEX($N$101:$N$147,MATCH(AH134,$J$101:$J$147,0))</f>
        <v>Suiza</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 ca="1">WORLDCUP!AA132</f>
        <v>España</v>
      </c>
      <c r="C99" t="str">
        <f ca="1">WORLDCUP!AF132</f>
        <v>Bélgica</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 ca="1">WORLDCUP!AA133</f>
        <v>Noruega</v>
      </c>
      <c r="C100" t="str">
        <f ca="1">WORLDCUP!AF133</f>
        <v>Inglaterra</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 ca="1">WORLDCUP!AA134</f>
        <v>Argentina</v>
      </c>
      <c r="C101" t="str">
        <f ca="1">WORLDCUP!AF134</f>
        <v>Suiza</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 ca="1">WORLDCUP!AA131</f>
        <v>Francia</v>
      </c>
      <c r="D210" s="669"/>
      <c r="E210" s="356"/>
      <c r="F210" s="356"/>
      <c r="G210" s="356"/>
      <c r="H210" s="356"/>
      <c r="I210" s="338"/>
      <c r="J210" s="356"/>
      <c r="K210" s="356"/>
      <c r="L210" s="356"/>
      <c r="M210" s="372"/>
      <c r="N210" s="363"/>
    </row>
    <row r="211" spans="1:14" ht="15" customHeight="1">
      <c r="A211" s="686"/>
      <c r="B211" s="346" t="str">
        <f>B210</f>
        <v>Cuartofinalista</v>
      </c>
      <c r="C211" s="335" t="str">
        <f ca="1">WORLDCUP!AA132</f>
        <v>España</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 ca="1">WORLDCUP!AA133</f>
        <v>Noruega</v>
      </c>
      <c r="D212" s="669"/>
      <c r="E212" s="356"/>
      <c r="F212" s="356"/>
      <c r="G212" s="356"/>
      <c r="H212" s="356"/>
      <c r="I212" s="338"/>
      <c r="J212" s="356"/>
      <c r="K212" s="356"/>
      <c r="L212" s="356"/>
      <c r="M212" s="372"/>
      <c r="N212" s="363"/>
    </row>
    <row r="213" spans="1:14" ht="15" customHeight="1">
      <c r="A213" s="686"/>
      <c r="B213" s="346" t="str">
        <f t="shared" si="3"/>
        <v>Cuartofinalista</v>
      </c>
      <c r="C213" s="335" t="str">
        <f ca="1">WORLDCUP!AA134</f>
        <v>Argentina</v>
      </c>
      <c r="D213" s="669"/>
      <c r="E213" s="356"/>
      <c r="F213" s="356"/>
      <c r="G213" s="356"/>
      <c r="H213" s="356"/>
      <c r="I213" s="338"/>
      <c r="J213" s="356"/>
      <c r="K213" s="356"/>
      <c r="L213" s="356"/>
      <c r="M213" s="372"/>
      <c r="N213" s="363"/>
    </row>
    <row r="214" spans="1:14" ht="15" customHeight="1">
      <c r="A214" s="686"/>
      <c r="B214" s="346" t="str">
        <f t="shared" si="3"/>
        <v>Cuartofinalista</v>
      </c>
      <c r="C214" s="335" t="str">
        <f ca="1">WORLDCUP!AF131</f>
        <v>Marruecos</v>
      </c>
      <c r="D214" s="669"/>
      <c r="E214" s="356"/>
      <c r="F214" s="356"/>
      <c r="G214" s="356"/>
      <c r="H214" s="356"/>
      <c r="I214" s="338"/>
      <c r="J214" s="356"/>
      <c r="K214" s="356"/>
      <c r="L214" s="356"/>
      <c r="M214" s="372"/>
      <c r="N214" s="363"/>
    </row>
    <row r="215" spans="1:14" ht="15" customHeight="1">
      <c r="A215" s="686"/>
      <c r="B215" s="346" t="str">
        <f t="shared" si="3"/>
        <v>Cuartofinalista</v>
      </c>
      <c r="C215" s="335" t="str">
        <f ca="1">WORLDCUP!AF132</f>
        <v>Bélgica</v>
      </c>
      <c r="D215" s="669"/>
      <c r="E215" s="356"/>
      <c r="F215" s="356"/>
      <c r="G215" s="356"/>
      <c r="H215" s="356"/>
      <c r="I215" s="338"/>
      <c r="J215" s="356"/>
      <c r="K215" s="356"/>
      <c r="L215" s="356"/>
      <c r="M215" s="372"/>
      <c r="N215" s="363"/>
    </row>
    <row r="216" spans="1:14" ht="15" customHeight="1">
      <c r="A216" s="686"/>
      <c r="B216" s="346" t="str">
        <f t="shared" si="3"/>
        <v>Cuartofinalista</v>
      </c>
      <c r="C216" s="335" t="str">
        <f ca="1">WORLDCUP!AF133</f>
        <v>Inglaterra</v>
      </c>
      <c r="D216" s="669"/>
      <c r="E216" s="356"/>
      <c r="F216" s="356"/>
      <c r="G216" s="356"/>
      <c r="H216" s="356"/>
      <c r="I216" s="338"/>
      <c r="J216" s="356"/>
      <c r="K216" s="356"/>
      <c r="L216" s="356"/>
      <c r="M216" s="372"/>
      <c r="N216" s="363"/>
    </row>
    <row r="217" spans="1:14" ht="15" customHeight="1">
      <c r="A217" s="686"/>
      <c r="B217" s="346" t="str">
        <f t="shared" si="3"/>
        <v>Cuartofinalista</v>
      </c>
      <c r="C217" s="335" t="str">
        <f ca="1">WORLDCUP!AF134</f>
        <v>Suiza</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España-Bélgica·0|-</v>
      </c>
      <c r="D221" s="689"/>
      <c r="E221" s="668"/>
      <c r="F221" s="668"/>
      <c r="G221" s="668"/>
      <c r="H221" s="668"/>
      <c r="I221" s="338"/>
      <c r="J221" s="356"/>
      <c r="K221" s="356"/>
      <c r="L221" s="356"/>
      <c r="M221" s="372"/>
      <c r="N221" s="363"/>
    </row>
    <row r="222" spans="1:14" ht="15" customHeight="1">
      <c r="A222" s="686"/>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Noruega-Inglaterra·0|-</v>
      </c>
      <c r="D222" s="689"/>
      <c r="E222" s="668"/>
      <c r="F222" s="668"/>
      <c r="G222" s="668"/>
      <c r="H222" s="668"/>
      <c r="I222" s="338"/>
      <c r="J222" s="356"/>
      <c r="K222" s="356"/>
      <c r="L222" s="356"/>
      <c r="M222" s="372"/>
      <c r="N222" s="363"/>
    </row>
    <row r="223" spans="1:14" ht="15" customHeight="1">
      <c r="A223" s="686"/>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1</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1</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1</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2026-07-08T05:03:55Z</dcterms:modified>
</cp:coreProperties>
</file>