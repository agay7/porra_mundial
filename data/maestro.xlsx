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527E21CF-2FBE-452B-A747-5BB75481B76B}"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36" i="3" l="1"/>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0" i="3" l="1"/>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4" i="3" l="1"/>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19" i="3"/>
  <c r="CM39" i="3"/>
  <c r="CM37" i="3"/>
  <c r="CM52" i="3" l="1"/>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R53" i="3"/>
  <c r="R81" i="3"/>
  <c r="R87" i="3"/>
  <c r="Q55" i="3"/>
  <c r="R70" i="3"/>
  <c r="Q96" i="3"/>
  <c r="Q72" i="3"/>
  <c r="R49" i="3"/>
  <c r="R32" i="3"/>
  <c r="R69" i="3"/>
  <c r="R24" i="3"/>
  <c r="Q78" i="3"/>
  <c r="Q80" i="3"/>
  <c r="R31" i="3"/>
  <c r="Q23" i="3"/>
  <c r="Q16" i="3"/>
  <c r="R16" i="3"/>
  <c r="R79" i="3"/>
  <c r="CO45" i="3" s="1"/>
  <c r="R96" i="3"/>
  <c r="R55" i="3"/>
  <c r="R41" i="3"/>
  <c r="R88" i="3"/>
  <c r="R85" i="3"/>
  <c r="R72" i="3"/>
  <c r="R95" i="3"/>
  <c r="Q56" i="3"/>
  <c r="R77" i="3"/>
  <c r="Q86" i="3"/>
  <c r="R39" i="3"/>
  <c r="Q73" i="3"/>
  <c r="Q97" i="3"/>
  <c r="Q8" i="3"/>
  <c r="Q40" i="3"/>
  <c r="Q88" i="3"/>
  <c r="R48" i="3"/>
  <c r="R9" i="3"/>
  <c r="R94" i="3"/>
  <c r="Q65" i="3"/>
  <c r="R17" i="3"/>
  <c r="Q81" i="3"/>
  <c r="Q49" i="3"/>
  <c r="Q48" i="3"/>
  <c r="Q64" i="3"/>
  <c r="R8" i="3"/>
  <c r="Q54" i="3" l="1"/>
  <c r="R54" i="3"/>
  <c r="Q63" i="3"/>
  <c r="Q38" i="3"/>
  <c r="Q22" i="3"/>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CO15"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Q21" i="3"/>
  <c r="CP45" i="3"/>
  <c r="CQ45" i="3" s="1"/>
  <c r="CP44" i="3"/>
  <c r="CP49" i="3"/>
  <c r="CP48" i="3"/>
  <c r="CO50" i="3"/>
  <c r="CP40" i="3"/>
  <c r="CO40" i="3"/>
  <c r="CO49" i="3"/>
  <c r="CO48" i="3"/>
  <c r="CP32" i="3"/>
  <c r="CP16" i="3"/>
  <c r="CO42" i="3"/>
  <c r="CO44" i="3"/>
  <c r="CO32" i="3"/>
  <c r="CP28" i="3"/>
  <c r="CP17" i="3"/>
  <c r="CO28" i="3"/>
  <c r="CP15" i="3"/>
  <c r="CO17" i="3"/>
  <c r="CO16" i="3"/>
  <c r="CO6" i="3"/>
  <c r="CP6" i="3"/>
  <c r="CP27" i="3"/>
  <c r="CO29" i="3"/>
  <c r="CP29" i="3"/>
  <c r="CO33" i="3"/>
  <c r="CO25" i="3"/>
  <c r="CP25" i="3"/>
  <c r="CP41" i="3"/>
  <c r="CO36" i="3"/>
  <c r="CP20" i="3" l="1"/>
  <c r="CQ42" i="3"/>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Q9" i="3"/>
  <c r="CP35" i="3"/>
  <c r="CQ35" i="3" s="1"/>
  <c r="CO11" i="3"/>
  <c r="CQ36" i="3"/>
  <c r="CQ22" i="3"/>
  <c r="CO7" i="3"/>
  <c r="CQ7" i="3" s="1"/>
  <c r="CQ44" i="3"/>
  <c r="CQ49" i="3"/>
  <c r="CQ48" i="3"/>
  <c r="CQ16" i="3"/>
  <c r="CQ40" i="3"/>
  <c r="CQ32" i="3"/>
  <c r="CQ28" i="3"/>
  <c r="CQ17" i="3"/>
  <c r="CQ6" i="3"/>
  <c r="CQ41" i="3"/>
  <c r="CQ29" i="3"/>
  <c r="CQ25" i="3"/>
  <c r="CQ14" i="3" l="1"/>
  <c r="CR41" i="3" s="1"/>
  <c r="CQ13" i="3"/>
  <c r="CR27" i="3" s="1"/>
  <c r="CQ11" i="3"/>
  <c r="CR53" i="3" s="1"/>
  <c r="CR47" i="3"/>
  <c r="CR48" i="3"/>
  <c r="CR21" i="3"/>
  <c r="CR49" i="3"/>
  <c r="CR19" i="3"/>
  <c r="CR35" i="3"/>
  <c r="CR34" i="3"/>
  <c r="CR28" i="3"/>
  <c r="CR17" i="3"/>
  <c r="CR20" i="3"/>
  <c r="CR16" i="3"/>
  <c r="CR18" i="3"/>
  <c r="CR7" i="3"/>
  <c r="CR46" i="3"/>
  <c r="CR9" i="3"/>
  <c r="CR6" i="3"/>
  <c r="CR8" i="3"/>
  <c r="CR13" i="3"/>
  <c r="CR29" i="3"/>
  <c r="CR25" i="3"/>
  <c r="CR51" i="3"/>
  <c r="CR26" i="3" l="1"/>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25" i="3"/>
  <c r="U32" i="3"/>
  <c r="T86" i="3"/>
  <c r="U64" i="3"/>
  <c r="T8" i="3"/>
  <c r="T36" i="3"/>
  <c r="U41" i="3"/>
  <c r="T69" i="3"/>
  <c r="U73" i="3"/>
  <c r="T81" i="3"/>
  <c r="U16" i="3"/>
  <c r="T24" i="3"/>
  <c r="T73" i="3"/>
  <c r="U95" i="3"/>
  <c r="U86" i="3"/>
  <c r="T97" i="3"/>
  <c r="T32" i="3"/>
  <c r="U81" i="3"/>
  <c r="U78" i="3"/>
  <c r="T89" i="3"/>
  <c r="U87" i="3"/>
  <c r="T87" i="3"/>
  <c r="T88" i="3"/>
  <c r="T56" i="3"/>
  <c r="U49" i="3"/>
  <c r="T16" i="3"/>
  <c r="U52" i="3"/>
  <c r="T64" i="3"/>
  <c r="T94" i="3"/>
  <c r="T68" i="3"/>
  <c r="U93" i="3"/>
  <c r="T33" i="3"/>
  <c r="T96" i="3"/>
  <c r="U72" i="3"/>
  <c r="U96" i="3"/>
  <c r="T72" i="3"/>
  <c r="T57" i="3"/>
  <c r="U94" i="3"/>
  <c r="T65" i="3"/>
  <c r="U17" i="3"/>
  <c r="T55" i="3"/>
  <c r="U97" i="3"/>
  <c r="T25" i="3"/>
  <c r="U79" i="3"/>
  <c r="T60" i="3"/>
  <c r="T62" i="3"/>
  <c r="T48" i="3"/>
  <c r="U44" i="3"/>
  <c r="T9" i="3"/>
  <c r="T49" i="3"/>
  <c r="T54" i="3" l="1"/>
  <c r="U54" i="3"/>
  <c r="T47" i="3"/>
  <c r="U61" i="3"/>
  <c r="U6" i="3"/>
  <c r="U39" i="3"/>
  <c r="U38" i="3"/>
  <c r="CT31" i="3"/>
  <c r="U14" i="3"/>
  <c r="CT13" i="3" s="1"/>
  <c r="U37" i="3"/>
  <c r="CT24" i="3" s="1"/>
  <c r="U36" i="3"/>
  <c r="CT53" i="3"/>
  <c r="T44" i="3"/>
  <c r="CT27" i="3" s="1"/>
  <c r="T6" i="3"/>
  <c r="T45" i="3"/>
  <c r="U46" i="3"/>
  <c r="CT26" i="3" s="1"/>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CT10" i="3" s="1"/>
  <c r="T76" i="3"/>
  <c r="CT43" i="3" s="1"/>
  <c r="CT23" i="3"/>
  <c r="T61" i="3"/>
  <c r="CT37" i="3" s="1"/>
  <c r="CT32" i="3"/>
  <c r="CT22" i="3"/>
  <c r="CT21" i="3"/>
  <c r="CT48" i="3"/>
  <c r="CT6" i="3"/>
  <c r="CT46" i="3"/>
  <c r="CT30" i="3"/>
  <c r="CT18" i="3"/>
  <c r="CT16" i="3"/>
  <c r="CT41" i="3"/>
  <c r="CT39" i="3"/>
  <c r="CT52" i="3"/>
  <c r="CT29" i="3"/>
  <c r="CT36" i="3"/>
  <c r="CT8" i="3"/>
  <c r="CT25" i="3" l="1"/>
  <c r="CT9" i="3"/>
  <c r="CU51" i="3" s="1"/>
  <c r="CT7" i="3"/>
  <c r="CU33" i="3" s="1"/>
  <c r="CU47" i="3"/>
  <c r="CU49" i="3"/>
  <c r="CU48" i="3"/>
  <c r="CU44" i="3"/>
  <c r="CU24" i="3"/>
  <c r="CU41" i="3"/>
  <c r="CU21" i="3"/>
  <c r="CU27" i="3"/>
  <c r="CU38" i="3"/>
  <c r="CU10" i="3"/>
  <c r="CU26" i="3"/>
  <c r="CU20" i="3"/>
  <c r="CU50" i="3"/>
  <c r="CU18" i="3"/>
  <c r="CU19" i="3"/>
  <c r="CU46" i="3"/>
  <c r="CU32" i="3"/>
  <c r="CU15" i="3"/>
  <c r="CU14" i="3"/>
  <c r="CU42" i="3"/>
  <c r="CU17" i="3"/>
  <c r="CU16" i="3"/>
  <c r="CU28" i="3"/>
  <c r="CU22" i="3"/>
  <c r="CU29" i="3"/>
  <c r="CU8" i="3"/>
  <c r="CU37" i="3"/>
  <c r="CU6" i="3"/>
  <c r="CU52" i="3"/>
  <c r="CU13" i="3"/>
  <c r="CU36" i="3"/>
  <c r="CU7" i="3" l="1"/>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<sst xmlns="http://schemas.openxmlformats.org/spreadsheetml/2006/main" count="6814" uniqueCount="1534">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</sst>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W57" zoomScale="73" zoomScaleNormal="100" workbookViewId="0">
      <selection activeCell="AD79" sqref="AD79"/>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6</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6</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4"/>
        <v>-</v>
      </c>
      <c r="BV44" s="16" t="str">
        <f t="shared" ca="1" si="25"/>
        <v>-</v>
      </c>
      <c r="BW44" s="16" t="str">
        <f t="shared" ca="1" si="26"/>
        <v>-</v>
      </c>
      <c r="BX44" s="16" t="str">
        <f t="shared" ca="1" si="48"/>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27"/>
        <v>-</v>
      </c>
      <c r="CB44" s="16" t="str">
        <f t="shared" ca="1" si="28"/>
        <v>-</v>
      </c>
      <c r="CC44" s="16" t="str">
        <f t="shared" ca="1" si="49"/>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29"/>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0"/>
        <v>-</v>
      </c>
      <c r="CJ44" s="16" t="str">
        <f t="shared" ca="1" si="31"/>
        <v>-</v>
      </c>
      <c r="CK44" s="16" t="str">
        <f t="shared" ca="1" si="32"/>
        <v>-</v>
      </c>
      <c r="CL44" s="16" t="str">
        <f t="shared" ca="1" si="50"/>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33"/>
        <v>-</v>
      </c>
      <c r="CP44" s="16" t="str">
        <f t="shared" ca="1" si="34"/>
        <v>-</v>
      </c>
      <c r="CQ44" s="16" t="str">
        <f t="shared" ca="1" si="51"/>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35"/>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36"/>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6</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6</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7</v>
      </c>
      <c r="BN58" s="16">
        <f ca="1">CF58</f>
        <v>7</v>
      </c>
      <c r="BO58" s="16" t="str">
        <f t="shared" ref="BO58:BO69" si="174">"4"&amp;BC58</f>
        <v>4A</v>
      </c>
      <c r="BP58" s="16"/>
      <c r="BQ58" s="16"/>
      <c r="BR58" s="16">
        <f t="shared" ref="BR58:BR69" ca="1" si="175">+BE58</f>
        <v>1</v>
      </c>
      <c r="BS58" s="16">
        <f ca="1">COUNTIFS(BR$58:BR$69,"&gt;"&amp;BR58)+1</f>
        <v>6</v>
      </c>
      <c r="BT58" s="16" t="str">
        <f ca="1">IF(COUNTIF(BS$58:BS$69,BS58)=1,"-","Pos. "&amp;BS58&amp;" ("&amp;COUNTIF(BS$58:BS$69,BS58)&amp;")")</f>
        <v>Pos. 6 (4)</v>
      </c>
      <c r="BU58" s="16">
        <f t="shared" ref="BU58:BU69" ca="1" si="176">IF(BT58="-","-",BL58)</f>
        <v>-1</v>
      </c>
      <c r="BV58" s="16">
        <f t="shared" ref="BV58:BV69" ca="1" si="177">BS58+COUNTIFS(BT$58:BT$69,BT58,BU$58:BU$69,"&gt;"&amp;BU58)</f>
        <v>7</v>
      </c>
      <c r="BW58" s="16" t="str">
        <f t="shared" ref="BW58:BW69" ca="1" si="178">IF(COUNTIF(BV$58:BV$69,BV58)=1,"-","Pos. "&amp;BV58&amp;" ("&amp;COUNTIF(BV$58:BV$69,BV58)&amp;")")</f>
        <v>Pos. 7 (2)</v>
      </c>
      <c r="BX58" s="16">
        <f t="shared" ref="BX58:BX69" ca="1" si="179">IF(BW58="-","-",BJ58)</f>
        <v>2</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9</v>
      </c>
      <c r="BN59" s="16">
        <f t="shared" ref="BN59:BN69" ca="1" si="192">CF59</f>
        <v>9</v>
      </c>
      <c r="BO59" s="16" t="str">
        <f t="shared" si="174"/>
        <v>4B</v>
      </c>
      <c r="BP59" s="16"/>
      <c r="BQ59" s="16"/>
      <c r="BR59" s="16">
        <f t="shared" ca="1" si="175"/>
        <v>1</v>
      </c>
      <c r="BS59" s="16">
        <f t="shared" ref="BS59:BS69" ca="1" si="193">COUNTIFS(BR$58:BR$69,"&gt;"&amp;BR59)+1</f>
        <v>6</v>
      </c>
      <c r="BT59" s="16" t="str">
        <f t="shared" ref="BT59:BT69" ca="1" si="194">IF(COUNTIF(BS$58:BS$69,BS59)=1,"-","Pos. "&amp;BS59&amp;" ("&amp;COUNTIF(BS$58:BS$69,BS59)&amp;")")</f>
        <v>Pos. 6 (4)</v>
      </c>
      <c r="BU59" s="16">
        <f t="shared" ca="1" si="176"/>
        <v>-3</v>
      </c>
      <c r="BV59" s="16">
        <f t="shared" ca="1" si="177"/>
        <v>9</v>
      </c>
      <c r="BW59" s="16" t="str">
        <f t="shared" ca="1" si="178"/>
        <v>-</v>
      </c>
      <c r="BX59" s="16" t="str">
        <f t="shared" ca="1" si="179"/>
        <v>-</v>
      </c>
      <c r="BY59" s="16">
        <f t="shared" ca="1" si="180"/>
        <v>9</v>
      </c>
      <c r="BZ59" s="16" t="str">
        <f t="shared" ca="1" si="181"/>
        <v>-</v>
      </c>
      <c r="CA59" s="16" t="str">
        <f t="shared" ca="1" si="182"/>
        <v>-</v>
      </c>
      <c r="CB59" s="16">
        <f t="shared" ref="CB59:CB68" ca="1" si="195">BY59+COUNTIFS(BZ$58:BZ$69,BZ59,CA$58:CA$69,"&gt;"&amp;CA59)</f>
        <v>9</v>
      </c>
      <c r="CC59" s="16"/>
      <c r="CD59" s="16">
        <f t="shared" ca="1" si="183"/>
        <v>9</v>
      </c>
      <c r="CE59" s="16" t="str">
        <f t="shared" ref="CE59:CE69" ca="1" si="196">IF(BZ59="-","-",COUNTIF(CD$58:CD$69,"&lt;"&amp;CD59))</f>
        <v>-</v>
      </c>
      <c r="CF59" s="16">
        <f t="shared" ref="CF59:CF69" ca="1" si="197">BY59+COUNTIFS(BZ$58:BZ$69,BZ59,CE$58:CE$69,"&lt;"&amp;CE59)</f>
        <v>9</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(3)</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Paraguay</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3</v>
      </c>
      <c r="BN61" s="16">
        <f t="shared" ca="1" si="192"/>
        <v>3</v>
      </c>
      <c r="BO61" s="16" t="str">
        <f t="shared" si="174"/>
        <v>4D</v>
      </c>
      <c r="BP61" s="16"/>
      <c r="BQ61" s="16"/>
      <c r="BR61" s="16">
        <f t="shared" ca="1" si="175"/>
        <v>3</v>
      </c>
      <c r="BS61" s="16">
        <f t="shared" ca="1" si="193"/>
        <v>1</v>
      </c>
      <c r="BT61" s="16" t="str">
        <f t="shared" ca="1" si="194"/>
        <v>Pos. 1 (3)</v>
      </c>
      <c r="BU61" s="16">
        <f t="shared" ca="1" si="176"/>
        <v>-2</v>
      </c>
      <c r="BV61" s="16">
        <f t="shared" ca="1" si="177"/>
        <v>3</v>
      </c>
      <c r="BW61" s="16" t="str">
        <f t="shared" ca="1" si="178"/>
        <v>-</v>
      </c>
      <c r="BX61" s="16" t="str">
        <f t="shared" ca="1" si="179"/>
        <v>-</v>
      </c>
      <c r="BY61" s="16">
        <f t="shared" ca="1" si="180"/>
        <v>3</v>
      </c>
      <c r="BZ61" s="16" t="str">
        <f t="shared" ca="1" si="181"/>
        <v>-</v>
      </c>
      <c r="CA61" s="16" t="str">
        <f t="shared" ca="1" si="182"/>
        <v>-</v>
      </c>
      <c r="CB61" s="16">
        <f t="shared" ca="1" si="195"/>
        <v>3</v>
      </c>
      <c r="CC61" s="16"/>
      <c r="CD61" s="16">
        <f t="shared" ca="1" si="183"/>
        <v>3</v>
      </c>
      <c r="CE61" s="16" t="str">
        <f t="shared" ca="1" si="196"/>
        <v>-</v>
      </c>
      <c r="CF61" s="16">
        <f t="shared" ca="1" si="197"/>
        <v>3</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Cabo Verde</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8</v>
      </c>
      <c r="BN62" s="16">
        <f t="shared" ca="1" si="192"/>
        <v>8</v>
      </c>
      <c r="BO62" s="16" t="str">
        <f t="shared" si="174"/>
        <v>4E</v>
      </c>
      <c r="BP62" s="16"/>
      <c r="BQ62" s="16"/>
      <c r="BR62" s="16">
        <f t="shared" ca="1" si="175"/>
        <v>1</v>
      </c>
      <c r="BS62" s="16">
        <f t="shared" ca="1" si="193"/>
        <v>6</v>
      </c>
      <c r="BT62" s="16" t="str">
        <f t="shared" ca="1" si="194"/>
        <v>Pos. 6 (4)</v>
      </c>
      <c r="BU62" s="16">
        <f t="shared" ca="1" si="176"/>
        <v>-1</v>
      </c>
      <c r="BV62" s="16">
        <f t="shared" ca="1" si="177"/>
        <v>7</v>
      </c>
      <c r="BW62" s="16" t="str">
        <f t="shared" ca="1" si="178"/>
        <v>Pos. 7 (2)</v>
      </c>
      <c r="BX62" s="16">
        <f t="shared" ca="1" si="179"/>
        <v>0</v>
      </c>
      <c r="BY62" s="16">
        <f t="shared" ca="1" si="180"/>
        <v>8</v>
      </c>
      <c r="BZ62" s="16" t="str">
        <f t="shared" ca="1" si="181"/>
        <v>-</v>
      </c>
      <c r="CA62" s="16" t="str">
        <f t="shared" ca="1" si="182"/>
        <v>-</v>
      </c>
      <c r="CB62" s="16">
        <f t="shared" ca="1" si="195"/>
        <v>8</v>
      </c>
      <c r="CC62" s="16"/>
      <c r="CD62" s="16">
        <f t="shared" ca="1" si="183"/>
        <v>8</v>
      </c>
      <c r="CE62" s="16" t="str">
        <f t="shared" ca="1" si="196"/>
        <v>-</v>
      </c>
      <c r="CF62" s="16">
        <f t="shared" ca="1" si="197"/>
        <v>8</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Bélgica</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23"/>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(3)</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RD Congo</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5</v>
      </c>
      <c r="BN64" s="16">
        <f t="shared" ca="1" si="192"/>
        <v>5</v>
      </c>
      <c r="BO64" s="16" t="str">
        <f t="shared" si="174"/>
        <v>4G</v>
      </c>
      <c r="BP64" s="16"/>
      <c r="BQ64" s="16"/>
      <c r="BR64" s="16">
        <f t="shared" ca="1" si="175"/>
        <v>2</v>
      </c>
      <c r="BS64" s="16">
        <f t="shared" ca="1" si="193"/>
        <v>4</v>
      </c>
      <c r="BT64" s="16" t="str">
        <f t="shared" ca="1" si="194"/>
        <v>Pos. 4 (2)</v>
      </c>
      <c r="BU64" s="16">
        <f t="shared" ca="1" si="176"/>
        <v>0</v>
      </c>
      <c r="BV64" s="16">
        <f t="shared" ca="1" si="177"/>
        <v>4</v>
      </c>
      <c r="BW64" s="16" t="str">
        <f t="shared" ca="1" si="178"/>
        <v>Pos. 4 (2)</v>
      </c>
      <c r="BX64" s="16">
        <f t="shared" ca="1" si="179"/>
        <v>1</v>
      </c>
      <c r="BY64" s="16">
        <f t="shared" ca="1" si="180"/>
        <v>5</v>
      </c>
      <c r="BZ64" s="16" t="str">
        <f t="shared" ca="1" si="181"/>
        <v>-</v>
      </c>
      <c r="CA64" s="16" t="str">
        <f t="shared" ca="1" si="182"/>
        <v>-</v>
      </c>
      <c r="CB64" s="16">
        <f t="shared" ca="1" si="195"/>
        <v>5</v>
      </c>
      <c r="CC64" s="16"/>
      <c r="CD64" s="16">
        <f t="shared" ca="1" si="183"/>
        <v>5</v>
      </c>
      <c r="CE64" s="16" t="str">
        <f t="shared" ca="1" si="196"/>
        <v>-</v>
      </c>
      <c r="CF64" s="16">
        <f t="shared" ca="1" si="197"/>
        <v>5</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República Checa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4</v>
      </c>
      <c r="BN65" s="16">
        <f t="shared" ca="1" si="192"/>
        <v>4</v>
      </c>
      <c r="BO65" s="16" t="str">
        <f t="shared" si="174"/>
        <v>4H</v>
      </c>
      <c r="BP65" s="16"/>
      <c r="BQ65" s="16"/>
      <c r="BR65" s="16">
        <f t="shared" ca="1" si="175"/>
        <v>2</v>
      </c>
      <c r="BS65" s="16">
        <f t="shared" ca="1" si="193"/>
        <v>4</v>
      </c>
      <c r="BT65" s="16" t="str">
        <f t="shared" ca="1" si="194"/>
        <v>Pos. 4 (2)</v>
      </c>
      <c r="BU65" s="16">
        <f t="shared" ca="1" si="176"/>
        <v>0</v>
      </c>
      <c r="BV65" s="16">
        <f t="shared" ca="1" si="177"/>
        <v>4</v>
      </c>
      <c r="BW65" s="16" t="str">
        <f t="shared" ca="1" si="178"/>
        <v>Pos. 4 (2)</v>
      </c>
      <c r="BX65" s="16">
        <f t="shared" ca="1" si="179"/>
        <v>2</v>
      </c>
      <c r="BY65" s="16">
        <f t="shared" ca="1" si="180"/>
        <v>4</v>
      </c>
      <c r="BZ65" s="16" t="str">
        <f t="shared" ca="1" si="181"/>
        <v>-</v>
      </c>
      <c r="CA65" s="16" t="str">
        <f t="shared" ca="1" si="182"/>
        <v>-</v>
      </c>
      <c r="CB65" s="16">
        <f t="shared" ca="1" si="195"/>
        <v>4</v>
      </c>
      <c r="CC65" s="16"/>
      <c r="CD65" s="16">
        <f t="shared" ca="1" si="183"/>
        <v>4</v>
      </c>
      <c r="CE65" s="16" t="str">
        <f t="shared" ca="1" si="196"/>
        <v>-</v>
      </c>
      <c r="CF65" s="16">
        <f t="shared" ca="1" si="197"/>
        <v>4</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Ecuador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10</v>
      </c>
      <c r="BT66" s="16" t="str">
        <f t="shared" ca="1" si="194"/>
        <v>Pos. 10 (3)</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1</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Bosnia y Herzegovina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10</v>
      </c>
      <c r="BT67" s="16" t="str">
        <f t="shared" ca="1" si="194"/>
        <v>Pos. 10 (3)</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6</v>
      </c>
      <c r="CB67" s="16">
        <f t="shared" ca="1" si="195"/>
        <v>11</v>
      </c>
      <c r="CC67" s="16"/>
      <c r="CD67" s="16">
        <f t="shared" ca="1" si="183"/>
        <v>11</v>
      </c>
      <c r="CE67" s="16">
        <f t="shared" ca="1" si="196"/>
        <v>10</v>
      </c>
      <c r="CF67" s="16">
        <f t="shared" ca="1" si="197"/>
        <v>11</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6</v>
      </c>
      <c r="BN68" s="16">
        <f t="shared" ca="1" si="192"/>
        <v>6</v>
      </c>
      <c r="BO68" s="16" t="str">
        <f t="shared" si="174"/>
        <v>4K</v>
      </c>
      <c r="BP68" s="16"/>
      <c r="BQ68" s="16"/>
      <c r="BR68" s="16">
        <f t="shared" ca="1" si="175"/>
        <v>1</v>
      </c>
      <c r="BS68" s="16">
        <f t="shared" ca="1" si="193"/>
        <v>6</v>
      </c>
      <c r="BT68" s="16" t="str">
        <f t="shared" ca="1" si="194"/>
        <v>Pos. 6 (4)</v>
      </c>
      <c r="BU68" s="16">
        <f t="shared" ca="1" si="176"/>
        <v>0</v>
      </c>
      <c r="BV68" s="16">
        <f t="shared" ca="1" si="177"/>
        <v>6</v>
      </c>
      <c r="BW68" s="16" t="str">
        <f t="shared" ca="1" si="178"/>
        <v>-</v>
      </c>
      <c r="BX68" s="16" t="str">
        <f t="shared" ca="1" si="179"/>
        <v>-</v>
      </c>
      <c r="BY68" s="16">
        <f t="shared" ca="1" si="180"/>
        <v>6</v>
      </c>
      <c r="BZ68" s="16" t="str">
        <f t="shared" ca="1" si="181"/>
        <v>-</v>
      </c>
      <c r="CA68" s="16" t="str">
        <f t="shared" ca="1" si="182"/>
        <v>-</v>
      </c>
      <c r="CB68" s="16">
        <f t="shared" ca="1" si="195"/>
        <v>6</v>
      </c>
      <c r="CC68" s="16"/>
      <c r="CD68" s="16">
        <f t="shared" ca="1" si="183"/>
        <v>6</v>
      </c>
      <c r="CE68" s="16" t="str">
        <f t="shared" ca="1" si="196"/>
        <v>-</v>
      </c>
      <c r="CF68" s="16">
        <f t="shared" ca="1" si="197"/>
        <v>6</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10</v>
      </c>
      <c r="BT69" s="16" t="str">
        <f t="shared" ca="1" si="194"/>
        <v>Pos. 10 (3)</v>
      </c>
      <c r="BU69" s="16">
        <f t="shared" ca="1" si="176"/>
        <v>-1</v>
      </c>
      <c r="BV69" s="16">
        <f t="shared" ca="1" si="177"/>
        <v>10</v>
      </c>
      <c r="BW69" s="16" t="str">
        <f t="shared" ca="1" si="178"/>
        <v>-</v>
      </c>
      <c r="BX69" s="16" t="str">
        <f t="shared" ca="1" si="179"/>
        <v>-</v>
      </c>
      <c r="BY69" s="16">
        <f t="shared" ca="1" si="180"/>
        <v>10</v>
      </c>
      <c r="BZ69" s="16" t="str">
        <f t="shared" ca="1" si="181"/>
        <v>-</v>
      </c>
      <c r="CA69" s="16" t="str">
        <f t="shared" ca="1" si="182"/>
        <v>-</v>
      </c>
      <c r="CB69" s="16">
        <f ca="1">BY69+COUNTIFS(BZ$58:BZ$69,BZ69,CA$58:CA$69,"&gt;"&amp;CA69)</f>
        <v>10</v>
      </c>
      <c r="CC69" s="16"/>
      <c r="CD69" s="16">
        <f t="shared" ca="1" si="183"/>
        <v>10</v>
      </c>
      <c r="CE69" s="16" t="str">
        <f t="shared" ca="1" si="196"/>
        <v>-</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9"/>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30"/>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P.3 (2)</v>
      </c>
      <c r="G76" s="16"/>
      <c r="H76" s="16" t="str">
        <f t="shared" ref="H76:H81" ca="1" si="238">IF(D76="Pendiente","-",INDEX($BZ$6:$BZ$53,MATCH($AA76,$BD$6:$BD$53,0)))</f>
        <v>-</v>
      </c>
      <c r="I76" s="16" t="str">
        <f t="shared" ref="I76:I81" ca="1" si="239">IF(D76="Pendiente","-",INDEX($BZ$6:$BZ$53,MATCH($AF76,$BD$6:$BD$53,0)))</f>
        <v>P.3 (2)</v>
      </c>
      <c r="J76" s="16"/>
      <c r="K76" s="16" t="str">
        <f t="shared" ref="K76:K81" ca="1" si="240">IF(D76="Pendiente","-",INDEX($CE$6:$CE$53,MATCH($AA76,$BD$6:$BD$53,0)))</f>
        <v>-</v>
      </c>
      <c r="L76" s="16" t="str">
        <f t="shared" ref="L76:L81" ca="1" si="241">IF(D76="Pendiente","-",INDEX($CE$6:$CE$53,MATCH($AF76,$BD$6:$BD$53,0)))</f>
        <v>P.3 (2)</v>
      </c>
      <c r="M76" s="16"/>
      <c r="N76" s="16" t="str">
        <f t="shared" ref="N76:N81" ca="1" si="242">IF(D76="Pendiente","-",INDEX($CH$6:$CH$53,MATCH($AA76,$BD$6:$BD$53,0)))</f>
        <v>-</v>
      </c>
      <c r="O76" s="16" t="str">
        <f t="shared" ref="O76:O81" ca="1" si="243">IF(D76="Pendiente","-",INDEX($CH$6:$CH$53,MATCH($AF76,$BD$6:$BD$53,0)))</f>
        <v>P.3 (2)</v>
      </c>
      <c r="P76" s="16"/>
      <c r="Q76" s="16" t="str">
        <f t="shared" ref="Q76:Q81" ca="1" si="244">IF(D76="Pendiente","-",INDEX($CN$6:$CN$53,MATCH($AA76,$BD$6:$BD$53,0)))</f>
        <v>-</v>
      </c>
      <c r="R76" s="16" t="str">
        <f t="shared" ref="R76:R81" ca="1" si="245">IF(D76="Pendiente","-",INDEX($CN$6:$CN$53,MATCH($AF76,$BD$6:$BD$53,0)))</f>
        <v>P.3 (2)</v>
      </c>
      <c r="S76" s="16"/>
      <c r="T76" s="16" t="str">
        <f t="shared" ref="T76:T81" ca="1" si="246">IF(D76="Pendiente","-",INDEX($CS$6:$CS$53,MATCH($AA76,$BD$6:$BD$53,0)))</f>
        <v>-</v>
      </c>
      <c r="U76" s="16" t="str">
        <f t="shared" ref="U76:U81" ca="1" si="247">IF(D76="Pendiente","-",INDEX($CS$6:$CS$53,MATCH($AF76,$BD$6:$BD$53,0)))</f>
        <v>P.3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v>
      </c>
      <c r="F77" s="16" t="str">
        <f t="shared" ca="1" si="237"/>
        <v>P.3 (2)</v>
      </c>
      <c r="G77" s="16"/>
      <c r="H77" s="16" t="str">
        <f t="shared" ca="1" si="238"/>
        <v>-</v>
      </c>
      <c r="I77" s="16" t="str">
        <f t="shared" ca="1" si="239"/>
        <v>P.3 (2)</v>
      </c>
      <c r="J77" s="16"/>
      <c r="K77" s="16" t="str">
        <f t="shared" ca="1" si="240"/>
        <v>-</v>
      </c>
      <c r="L77" s="16" t="str">
        <f t="shared" ca="1" si="241"/>
        <v>P.3 (2)</v>
      </c>
      <c r="M77" s="16"/>
      <c r="N77" s="16" t="str">
        <f t="shared" ca="1" si="242"/>
        <v>-</v>
      </c>
      <c r="O77" s="16" t="str">
        <f t="shared" ca="1" si="243"/>
        <v>P.3 (2)</v>
      </c>
      <c r="P77" s="16"/>
      <c r="Q77" s="16" t="str">
        <f t="shared" ca="1" si="244"/>
        <v>-</v>
      </c>
      <c r="R77" s="16" t="str">
        <f t="shared" ca="1" si="245"/>
        <v>P.3 (2)</v>
      </c>
      <c r="S77" s="16"/>
      <c r="T77" s="16" t="str">
        <f t="shared" ca="1" si="246"/>
        <v>-</v>
      </c>
      <c r="U77" s="16" t="str">
        <f t="shared" ca="1" si="247"/>
        <v>P.3 (2)</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v>
      </c>
      <c r="G78" s="16"/>
      <c r="H78" s="16" t="str">
        <f t="shared" ca="1" si="238"/>
        <v>-</v>
      </c>
      <c r="I78" s="16" t="str">
        <f t="shared" ca="1" si="239"/>
        <v>-</v>
      </c>
      <c r="J78" s="16"/>
      <c r="K78" s="16" t="str">
        <f t="shared" ca="1" si="240"/>
        <v>-</v>
      </c>
      <c r="L78" s="16" t="str">
        <f t="shared" ca="1" si="241"/>
        <v>-</v>
      </c>
      <c r="M78" s="16"/>
      <c r="N78" s="16" t="str">
        <f t="shared" ca="1" si="242"/>
        <v>-</v>
      </c>
      <c r="O78" s="16" t="str">
        <f t="shared" ca="1" si="243"/>
        <v>-</v>
      </c>
      <c r="P78" s="16"/>
      <c r="Q78" s="16" t="str">
        <f t="shared" ca="1" si="244"/>
        <v>-</v>
      </c>
      <c r="R78" s="16" t="str">
        <f t="shared" ca="1" si="245"/>
        <v>-</v>
      </c>
      <c r="S78" s="16"/>
      <c r="T78" s="16" t="str">
        <f t="shared" ca="1" si="246"/>
        <v>-</v>
      </c>
      <c r="U78" s="16" t="str">
        <f t="shared" ca="1" si="247"/>
        <v>-</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ACDEFGHK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3"/>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3"/>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4">
        <f t="array" aca="1" ref="AK104" ca="1">Ver_flag_visit</f>
        <v>#VALUE!</v>
      </c>
      <c r="AL104" s="83" t="str">
        <f t="shared" ca="1" si="297"/>
        <v>Paraguay</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Paraguay</v>
      </c>
      <c r="AW104" s="207"/>
      <c r="AX104" s="162"/>
      <c r="AY104" s="263"/>
      <c r="AZ104" s="265" t="str">
        <f t="shared" ca="1" si="303"/>
        <v>1B - 3G</v>
      </c>
      <c r="BA104" s="168"/>
      <c r="BF104" t="str">
        <f t="shared" ca="1" si="304"/>
        <v>C</v>
      </c>
      <c r="BG104">
        <f t="shared" ca="1" si="305"/>
        <v>2</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30">
        <f t="array" aca="1" ref="AK105" ca="1">Ver_flag_visit</f>
        <v>#VALUE!</v>
      </c>
      <c r="AL105" s="83" t="str">
        <f t="shared" ca="1" si="297"/>
        <v>Cabo Verde</v>
      </c>
      <c r="AM105" s="568">
        <f t="shared" ca="1" si="301"/>
        <v>2</v>
      </c>
      <c r="AN105" s="84">
        <f t="shared" ref="AN105:AT105" ca="1" si="308">+IF($H$113&gt;=48,INDEX($BE$58:$BN$69,MATCH($AL105,$BD$58:$BD$69,0),MATCH(AN$5,$BE$57:$BN$57,0)),$BB61)</f>
        <v>2</v>
      </c>
      <c r="AO105" s="84">
        <f t="shared" ca="1" si="308"/>
        <v>0</v>
      </c>
      <c r="AP105" s="84">
        <f t="shared" ca="1" si="308"/>
        <v>2</v>
      </c>
      <c r="AQ105" s="84">
        <f t="shared" ca="1" si="308"/>
        <v>0</v>
      </c>
      <c r="AR105" s="84">
        <f t="shared" ca="1" si="308"/>
        <v>2</v>
      </c>
      <c r="AS105" s="84">
        <f t="shared" ca="1" si="308"/>
        <v>2</v>
      </c>
      <c r="AT105" s="85">
        <f t="shared" ca="1" si="308"/>
        <v>0</v>
      </c>
      <c r="AU105" s="316" t="str">
        <f t="shared" ca="1" si="299"/>
        <v/>
      </c>
      <c r="AV105" s="174" t="str">
        <f t="shared" ca="1" si="300"/>
        <v>Cabo Verde</v>
      </c>
      <c r="AW105" s="207"/>
      <c r="AX105" s="162"/>
      <c r="AY105" s="263"/>
      <c r="AZ105" s="265" t="str">
        <f t="shared" ca="1" si="303"/>
        <v>1D - 3E</v>
      </c>
      <c r="BA105" s="168"/>
      <c r="BF105" t="str">
        <f t="shared" ca="1" si="304"/>
        <v>D</v>
      </c>
      <c r="BG105">
        <f t="shared" ca="1" si="305"/>
        <v>3</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25">
        <f t="array" aca="1" ref="AK106" ca="1">Ver_flag_visit</f>
        <v>#VALUE!</v>
      </c>
      <c r="AL106" s="83" t="str">
        <f t="shared" ca="1" si="297"/>
        <v>Bélgica</v>
      </c>
      <c r="AM106" s="568">
        <f t="shared" ca="1" si="301"/>
        <v>2</v>
      </c>
      <c r="AN106" s="84">
        <f t="shared" ref="AN106:AT106" ca="1" si="309">+IF($H$113&gt;=48,INDEX($BE$58:$BN$69,MATCH($AL106,$BD$58:$BD$69,0),MATCH(AN$5,$BE$57:$BN$57,0)),$BB62)</f>
        <v>2</v>
      </c>
      <c r="AO106" s="84">
        <f t="shared" ca="1" si="309"/>
        <v>0</v>
      </c>
      <c r="AP106" s="84">
        <f t="shared" ca="1" si="309"/>
        <v>2</v>
      </c>
      <c r="AQ106" s="84">
        <f t="shared" ca="1" si="309"/>
        <v>0</v>
      </c>
      <c r="AR106" s="84">
        <f t="shared" ca="1" si="309"/>
        <v>1</v>
      </c>
      <c r="AS106" s="84">
        <f t="shared" ca="1" si="309"/>
        <v>1</v>
      </c>
      <c r="AT106" s="85">
        <f t="shared" ca="1" si="309"/>
        <v>0</v>
      </c>
      <c r="AU106" s="316" t="str">
        <f t="shared" ca="1" si="299"/>
        <v/>
      </c>
      <c r="AV106" s="174" t="str">
        <f t="shared" ca="1" si="300"/>
        <v>Bélgica</v>
      </c>
      <c r="AW106" s="207"/>
      <c r="AX106" s="162"/>
      <c r="AY106" s="263"/>
      <c r="AZ106" s="265" t="str">
        <f t="shared" ca="1" si="303"/>
        <v>1E - 3C</v>
      </c>
      <c r="BA106" s="168"/>
      <c r="BF106" t="str">
        <f t="shared" ca="1" si="304"/>
        <v>H</v>
      </c>
      <c r="BG106">
        <f t="shared" ca="1" si="305"/>
        <v>7</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42">
        <f t="array" aca="1" ref="AK107" ca="1">Ver_flag_visit</f>
        <v>#VALUE!</v>
      </c>
      <c r="AL107" s="83" t="str">
        <f t="shared" ca="1" si="297"/>
        <v>RD Congo</v>
      </c>
      <c r="AM107" s="568">
        <f t="shared" ca="1" si="301"/>
        <v>1</v>
      </c>
      <c r="AN107" s="84">
        <f t="shared" ref="AN107:AT107" ca="1" si="310">+IF($H$113&gt;=48,INDEX($BE$58:$BN$69,MATCH($AL107,$BD$58:$BD$69,0),MATCH(AN$5,$BE$57:$BN$57,0)),$BB63)</f>
        <v>1</v>
      </c>
      <c r="AO107" s="84">
        <f t="shared" ca="1" si="310"/>
        <v>0</v>
      </c>
      <c r="AP107" s="84">
        <f t="shared" ca="1" si="310"/>
        <v>1</v>
      </c>
      <c r="AQ107" s="84">
        <f t="shared" ca="1" si="310"/>
        <v>0</v>
      </c>
      <c r="AR107" s="84">
        <f t="shared" ca="1" si="310"/>
        <v>1</v>
      </c>
      <c r="AS107" s="84">
        <f t="shared" ca="1" si="310"/>
        <v>1</v>
      </c>
      <c r="AT107" s="85">
        <f t="shared" ca="1" si="310"/>
        <v>0</v>
      </c>
      <c r="AU107" s="316" t="str">
        <f t="shared" ca="1" si="299"/>
        <v/>
      </c>
      <c r="AV107" s="174" t="str">
        <f ca="1">INDEX($BD$58:$BD$69,MATCH(AI107,$BM$58:$BM$69,0))</f>
        <v>RD Congo</v>
      </c>
      <c r="AW107" s="207"/>
      <c r="AX107" s="162"/>
      <c r="AY107" s="263"/>
      <c r="AZ107" s="265" t="str">
        <f t="shared" ca="1" si="303"/>
        <v>1G - 3A</v>
      </c>
      <c r="BA107" s="168"/>
      <c r="BF107" t="str">
        <f t="shared" ca="1" si="304"/>
        <v>G</v>
      </c>
      <c r="BG107">
        <f t="shared" ca="1" si="305"/>
        <v>6</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
        <f t="array" aca="1" ref="AK108" ca="1">Ver_flag_visit</f>
        <v>#VALUE!</v>
      </c>
      <c r="AL108" s="83" t="str">
        <f t="shared" ca="1" si="297"/>
        <v>República Checa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3</v>
      </c>
      <c r="AT108" s="85">
        <f t="shared" ca="1" si="311"/>
        <v>-1</v>
      </c>
      <c r="AU108" s="316" t="str">
        <f t="shared" ca="1" si="299"/>
        <v/>
      </c>
      <c r="AV108" s="174" t="str">
        <f t="shared" ca="1" si="300"/>
        <v>República Checa</v>
      </c>
      <c r="AW108" s="207"/>
      <c r="AX108" s="162"/>
      <c r="AY108" s="263"/>
      <c r="AZ108" s="265" t="str">
        <f t="shared" ca="1" si="303"/>
        <v>1I - 3F</v>
      </c>
      <c r="BA108" s="168"/>
      <c r="BF108" t="str">
        <f t="shared" ca="1" si="304"/>
        <v>K</v>
      </c>
      <c r="BG108">
        <f t="shared" ca="1" si="305"/>
        <v>8</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20">
        <f t="array" aca="1" ref="AK109" ca="1">Ver_flag_visit</f>
        <v>#VALUE!</v>
      </c>
      <c r="AL109" s="83" t="str">
        <f t="shared" ca="1" si="297"/>
        <v>Ecuador</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0</v>
      </c>
      <c r="AS109" s="84">
        <f t="shared" ca="1" si="312"/>
        <v>1</v>
      </c>
      <c r="AT109" s="85">
        <f t="shared" ca="1" si="312"/>
        <v>-1</v>
      </c>
      <c r="AU109" s="316" t="str">
        <f t="shared" ca="1" si="299"/>
        <v/>
      </c>
      <c r="AV109" s="174" t="str">
        <f t="shared" ca="1" si="300"/>
        <v>Ecuador</v>
      </c>
      <c r="AW109" s="207"/>
      <c r="AX109" s="162"/>
      <c r="AY109" s="263"/>
      <c r="AZ109" s="265" t="str">
        <f t="shared" ca="1" si="303"/>
        <v>1K - 3D</v>
      </c>
      <c r="BA109" s="168"/>
      <c r="BF109" t="str">
        <f t="shared" ca="1" si="304"/>
        <v>A</v>
      </c>
      <c r="BG109">
        <f t="shared" ca="1" si="305"/>
        <v>1</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6</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6">
        <f t="array" aca="1" ref="AK110" ca="1">Ver_flag_visit</f>
        <v>#VALUE!</v>
      </c>
      <c r="AL110" s="83" t="str">
        <f t="shared" ca="1" si="297"/>
        <v>Bosnia y Herzegovina</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2</v>
      </c>
      <c r="AS110" s="84">
        <f t="shared" ca="1" si="313"/>
        <v>5</v>
      </c>
      <c r="AT110" s="85">
        <f t="shared" ca="1" si="313"/>
        <v>-3</v>
      </c>
      <c r="AU110" s="316" t="str">
        <f t="shared" ca="1" si="299"/>
        <v/>
      </c>
      <c r="AV110" s="174" t="str">
        <f t="shared" ca="1" si="300"/>
        <v>Bosnia y Herzegovina</v>
      </c>
      <c r="AW110" s="207"/>
      <c r="AX110" s="162"/>
      <c r="AY110" s="263"/>
      <c r="AZ110" s="265" t="str">
        <f t="shared" ca="1" si="303"/>
        <v>1L - 3K</v>
      </c>
      <c r="BA110" s="168"/>
      <c r="BF110" t="str">
        <f t="shared" ca="1" si="304"/>
        <v>E</v>
      </c>
      <c r="BG110">
        <f t="shared" ca="1" si="305"/>
        <v>4</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ACDEFGHK</v>
      </c>
    </row>
    <row r="113" spans="1:59" ht="16" customHeight="1" thickBot="1">
      <c r="A113" s="16" t="s">
        <v>660</v>
      </c>
      <c r="B113" s="16" t="s">
        <v>740</v>
      </c>
      <c r="C113" s="16"/>
      <c r="D113" s="16" t="str">
        <f t="shared" si="289"/>
        <v>W85</v>
      </c>
      <c r="E113" s="16" t="s">
        <v>1</v>
      </c>
      <c r="F113" s="16" t="s">
        <v>733</v>
      </c>
      <c r="G113" s="16" t="s">
        <v>733</v>
      </c>
      <c r="H113" s="16">
        <f ca="1">+IF($AJ$99&lt;&gt;144,SUM(H101:H112),$AJ$99)</f>
        <v>82</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3E</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0</v>
      </c>
      <c r="E52" s="7">
        <f>WORLDCUP!AD70</f>
        <v>0</v>
      </c>
      <c r="H52" s="7">
        <f>IF(AND(NOT(ISBLANK(WORLDCUP!AC70)),NOT(ISBLANK(WORLDCUP!AD70))),1,0)</f>
        <v>0</v>
      </c>
      <c r="J52" s="613">
        <f ca="1">WORLDCUP!X70</f>
        <v>46195.958333333336</v>
      </c>
      <c r="K52" s="614">
        <f ca="1">WORLDCUP!Y70</f>
        <v>46195.958333333336</v>
      </c>
    </row>
    <row r="53" spans="1:11">
      <c r="A53" s="7">
        <v>52</v>
      </c>
      <c r="B53" s="611" t="str">
        <f ca="1">WORLDCUP!AA71</f>
        <v>Noruega</v>
      </c>
      <c r="C53" t="str">
        <f ca="1">WORLDCUP!AF71</f>
        <v>Senegal</v>
      </c>
      <c r="D53" s="7">
        <f>WORLDCUP!AC71</f>
        <v>0</v>
      </c>
      <c r="E53" s="7">
        <f>WORLDCUP!AD71</f>
        <v>0</v>
      </c>
      <c r="H53" s="7">
        <f>IF(AND(NOT(ISBLANK(WORLDCUP!AC71)),NOT(ISBLANK(WORLDCUP!AD71))),1,0)</f>
        <v>0</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0</v>
      </c>
      <c r="E59" s="7">
        <f>WORLDCUP!AD79</f>
        <v>0</v>
      </c>
      <c r="H59" s="7">
        <f>IF(AND(NOT(ISBLANK(WORLDCUP!AC79)),NOT(ISBLANK(WORLDCUP!AD79))),1,0)</f>
        <v>0</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0</v>
      </c>
      <c r="E64" s="7">
        <f>WORLDCUP!AD86</f>
        <v>0</v>
      </c>
      <c r="H64" s="7">
        <f>IF(AND(NOT(ISBLANK(WORLDCUP!AC86)),NOT(ISBLANK(WORLDCUP!AD86))),1,0)</f>
        <v>0</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Noruega</v>
      </c>
      <c r="J146" s="613"/>
    </row>
    <row r="147" spans="1:10">
      <c r="A147" s="7">
        <v>1033</v>
      </c>
      <c r="B147" t="s">
        <v>1529</v>
      </c>
      <c r="C147" s="7">
        <v>2</v>
      </c>
      <c r="D147" t="str">
        <f ca="1">WORLDCUP!AL71</f>
        <v>Francia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Jordania</v>
      </c>
      <c r="J152" s="613"/>
    </row>
    <row r="153" spans="1:10">
      <c r="A153" s="7">
        <v>1039</v>
      </c>
      <c r="B153" t="s">
        <v>1530</v>
      </c>
      <c r="C153" s="7">
        <v>4</v>
      </c>
      <c r="D153" t="str">
        <f ca="1">WORLDCUP!AL81</f>
        <v>Argelia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1º GRUPO A</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2º GRUPO 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3º GRUPO A</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4º GRUPO 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1º GRUPO B</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2º GRUPO B</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3º GRUPO B</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4º GRUPO B</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1º GRUPO C</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2º GRUPO C</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3º GRUPO C</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4º GRUPO C</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1º GRUPO D</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2º GRUPO D</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3º GRUPO D</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4º GRUPO D</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1º GRUPO E</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2º GRUPO E</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3º GRUPO E</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4º GRUPO E</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1º GRUPO F</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2º GRUPO F</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3º GRUPO F</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4º GRUPO F</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1º GRUPO G</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2º GRUPO G</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3º GRUPO G</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4º GRUPO G</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1º GRUPO H</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2º GRUPO H</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3º GRUPO H</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4º GRUPO H</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1º GRUPO I</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2º GRUPO I</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3º GRUPO I</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4º GRUPO I</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2A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1C</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1E</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1F</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2E</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1I</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1A</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1G</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1D</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1H</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1B</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2D</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2B</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2F</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2C</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2I</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2G</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2H</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5"/>
      <c r="E165" s="694"/>
      <c r="F165" s="694"/>
      <c r="G165" s="694"/>
      <c r="H165" s="694"/>
      <c r="I165" s="338"/>
      <c r="J165" s="356"/>
      <c r="K165" s="356"/>
      <c r="L165" s="356"/>
      <c r="M165" s="372"/>
      <c r="N165" s="363"/>
    </row>
    <row r="166" spans="1:14" ht="15" customHeight="1">
      <c r="A166" s="673"/>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5"/>
      <c r="E166" s="694"/>
      <c r="F166" s="694"/>
      <c r="G166" s="694"/>
      <c r="H166" s="694"/>
      <c r="I166" s="338"/>
      <c r="J166" s="356"/>
      <c r="K166" s="356"/>
      <c r="L166" s="356"/>
      <c r="M166" s="372"/>
      <c r="N166" s="363"/>
    </row>
    <row r="167" spans="1:14" ht="15" customHeight="1">
      <c r="A167" s="673"/>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5"/>
      <c r="E167" s="694"/>
      <c r="F167" s="694"/>
      <c r="G167" s="694"/>
      <c r="H167" s="694"/>
      <c r="I167" s="338"/>
      <c r="J167" s="356"/>
      <c r="K167" s="356"/>
      <c r="L167" s="356"/>
      <c r="M167" s="372"/>
      <c r="N167" s="363"/>
    </row>
    <row r="168" spans="1:14" ht="15" customHeight="1">
      <c r="A168" s="673"/>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5"/>
      <c r="E168" s="356"/>
      <c r="F168" s="356"/>
      <c r="G168" s="356"/>
      <c r="H168" s="356"/>
      <c r="I168" s="338"/>
      <c r="J168" s="356"/>
      <c r="K168" s="356"/>
      <c r="L168" s="356"/>
      <c r="M168" s="372"/>
      <c r="N168" s="363"/>
    </row>
    <row r="169" spans="1:14" ht="15" customHeight="1">
      <c r="A169" s="673"/>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5"/>
      <c r="E169" s="356"/>
      <c r="F169" s="356"/>
      <c r="G169" s="356"/>
      <c r="H169" s="356"/>
      <c r="I169" s="338"/>
      <c r="J169" s="356"/>
      <c r="K169" s="356"/>
      <c r="L169" s="356"/>
      <c r="M169" s="372"/>
      <c r="N169" s="363"/>
    </row>
    <row r="170" spans="1:14" ht="15" customHeight="1">
      <c r="A170" s="673"/>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5"/>
      <c r="E172" s="356"/>
      <c r="F172" s="356"/>
      <c r="G172" s="356"/>
      <c r="H172" s="356"/>
      <c r="I172" s="338"/>
      <c r="J172" s="356"/>
      <c r="K172" s="356"/>
      <c r="L172" s="356"/>
      <c r="M172" s="372"/>
      <c r="N172" s="363"/>
    </row>
    <row r="173" spans="1:14" ht="15" customHeight="1">
      <c r="A173" s="673"/>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5"/>
      <c r="E173" s="356"/>
      <c r="F173" s="356"/>
      <c r="G173" s="356"/>
      <c r="H173" s="356"/>
      <c r="I173" s="338"/>
      <c r="J173" s="356"/>
      <c r="K173" s="356"/>
      <c r="L173" s="356"/>
      <c r="M173" s="372"/>
      <c r="N173" s="363"/>
    </row>
    <row r="174" spans="1:14" ht="15" customHeight="1">
      <c r="A174" s="673"/>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5"/>
      <c r="E176" s="356"/>
      <c r="F176" s="356"/>
      <c r="G176" s="356"/>
      <c r="H176" s="356"/>
      <c r="I176" s="338"/>
      <c r="J176" s="356"/>
      <c r="K176" s="356"/>
      <c r="L176" s="356"/>
      <c r="M176" s="372"/>
      <c r="N176" s="363"/>
    </row>
    <row r="177" spans="1:14" ht="15" customHeight="1">
      <c r="A177" s="673"/>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5"/>
      <c r="E177" s="356"/>
      <c r="F177" s="356"/>
      <c r="G177" s="356"/>
      <c r="H177" s="356"/>
      <c r="I177" s="338"/>
      <c r="J177" s="356"/>
      <c r="K177" s="356"/>
      <c r="L177" s="356"/>
      <c r="M177" s="372"/>
      <c r="N177" s="363"/>
    </row>
    <row r="178" spans="1:14" ht="15" customHeight="1">
      <c r="A178" s="673"/>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Paraguay</v>
      </c>
      <c r="G7" s="9" t="str">
        <f ca="1">+WORLDCUP!BD65</f>
        <v>Cabo Verde</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Paraguay</v>
      </c>
      <c r="G9" s="9" t="str">
        <f ca="1">+WORLDCUP!BD65</f>
        <v>Cabo Verde</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Escocia</v>
      </c>
      <c r="G15" s="9" t="str">
        <f ca="1">+WORLDCUP!BD65</f>
        <v>Cabo Verde</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Jordania</v>
      </c>
      <c r="F22" s="9" t="str">
        <f ca="1">+WORLDCUP!BD61</f>
        <v>Paraguay</v>
      </c>
      <c r="G22" s="9" t="str">
        <f ca="1">+WORLDCUP!BD65</f>
        <v>Cabo Verde</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Jordania</v>
      </c>
      <c r="F24" s="9" t="str">
        <f ca="1">+WORLDCUP!BD61</f>
        <v>Paraguay</v>
      </c>
      <c r="G24" s="9" t="str">
        <f ca="1">+WORLDCUP!BD65</f>
        <v>Cabo Verde</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Jordania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Escocia</v>
      </c>
      <c r="G28" s="9" t="str">
        <f ca="1">+WORLDCUP!BD65</f>
        <v>Cabo Verde</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Escocia</v>
      </c>
      <c r="G30" s="9" t="str">
        <f ca="1">+WORLDCUP!BD65</f>
        <v>Cabo Verde</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Jordania</v>
      </c>
      <c r="F42" s="9" t="str">
        <f ca="1">+WORLDCUP!BD61</f>
        <v>Paraguay</v>
      </c>
      <c r="G42" s="9" t="str">
        <f ca="1">+WORLDCUP!BD65</f>
        <v>Cabo Verde</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Jordania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Jordania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Cabo Verde</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Cabo Verde</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Cabo Verde</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Cabo Verde</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Cabo Verde</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Cabo Verde</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1</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2026-06-22T19:05:15Z</dcterms:modified>
</cp:coreProperties>
</file>