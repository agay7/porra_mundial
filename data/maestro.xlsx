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3C8D0136-7BC6-4EF8-8DA6-AC0C04D26026}"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V26" i="32"/>
  <c r="V30" i="32"/>
  <c r="AY101" i="3"/>
  <c r="AK99" i="3"/>
  <c r="C53" i="32" l="1"/>
  <c r="Y53" i="3" s="1"/>
  <c r="C56" i="32"/>
  <c r="X56" i="3" s="1"/>
  <c r="C125" i="32"/>
  <c r="Y125" i="3" s="1"/>
  <c r="C143" i="32"/>
  <c r="X143" i="3" s="1"/>
  <c r="C124" i="32"/>
  <c r="Y124" i="3" s="1"/>
  <c r="C41" i="32"/>
  <c r="X41" i="3" s="1"/>
  <c r="C134" i="32"/>
  <c r="Y134" i="3" s="1"/>
  <c r="C120" i="32"/>
  <c r="X120" i="3" s="1"/>
  <c r="C88" i="32"/>
  <c r="X88" i="3" s="1"/>
  <c r="C60" i="32"/>
  <c r="Y60" i="3" s="1"/>
  <c r="C84" i="32"/>
  <c r="X84" i="3" s="1"/>
  <c r="C16" i="32"/>
  <c r="X16" i="3" s="1"/>
  <c r="C31" i="32"/>
  <c r="Y31" i="3" s="1"/>
  <c r="C6" i="32"/>
  <c r="X6" i="3" s="1"/>
  <c r="C79" i="32"/>
  <c r="Y79" i="3" s="1"/>
  <c r="C9" i="32"/>
  <c r="X9" i="3" s="1"/>
  <c r="C64" i="32"/>
  <c r="Y64" i="3" s="1"/>
  <c r="C23" i="32"/>
  <c r="X23" i="3" s="1"/>
  <c r="C114" i="32"/>
  <c r="X114" i="3" s="1"/>
  <c r="C110" i="32"/>
  <c r="X110" i="3" s="1"/>
  <c r="C115" i="32"/>
  <c r="Y115" i="3" s="1"/>
  <c r="C21" i="32"/>
  <c r="X21" i="3" s="1"/>
  <c r="C29" i="32"/>
  <c r="Y29" i="3" s="1"/>
  <c r="C101" i="32"/>
  <c r="Y101" i="3" s="1"/>
  <c r="C65" i="32"/>
  <c r="Y65" i="3" s="1"/>
  <c r="C127" i="32"/>
  <c r="X127" i="3" s="1"/>
  <c r="C78" i="32"/>
  <c r="Y78" i="3" s="1"/>
  <c r="C122" i="32"/>
  <c r="Y122" i="3" s="1"/>
  <c r="C5" i="32"/>
  <c r="Y5" i="3" s="1"/>
  <c r="C17" i="32"/>
  <c r="X17" i="3" s="1"/>
  <c r="C12" i="32"/>
  <c r="X12" i="3" s="1"/>
  <c r="C139" i="32"/>
  <c r="X139" i="3" s="1"/>
  <c r="C25" i="32"/>
  <c r="X25" i="3" s="1"/>
  <c r="C95" i="32"/>
  <c r="X95" i="3" s="1"/>
  <c r="C86" i="32"/>
  <c r="X86" i="3" s="1"/>
  <c r="C138" i="32"/>
  <c r="Y138" i="3" s="1"/>
  <c r="C85" i="32"/>
  <c r="X85" i="3" s="1"/>
  <c r="C20" i="32"/>
  <c r="Y20" i="3" s="1"/>
  <c r="C14" i="32"/>
  <c r="X14" i="3" s="1"/>
  <c r="C113" i="32"/>
  <c r="X113" i="3" s="1"/>
  <c r="C69" i="32"/>
  <c r="Y69" i="3" s="1"/>
  <c r="C105" i="32"/>
  <c r="X105" i="3" s="1"/>
  <c r="C93" i="32"/>
  <c r="Y93" i="3" s="1"/>
  <c r="C61" i="32"/>
  <c r="X61" i="3" s="1"/>
  <c r="C106" i="32"/>
  <c r="Y106" i="3" s="1"/>
  <c r="C38" i="32"/>
  <c r="Y38" i="3" s="1"/>
  <c r="C33" i="32"/>
  <c r="X33" i="3" s="1"/>
  <c r="C103" i="32"/>
  <c r="X103" i="3" s="1"/>
  <c r="C116" i="32"/>
  <c r="X116" i="3" s="1"/>
  <c r="C92" i="32"/>
  <c r="X92" i="3" s="1"/>
  <c r="C54" i="32"/>
  <c r="Y54" i="3" s="1"/>
  <c r="C102" i="32"/>
  <c r="X102" i="3" s="1"/>
  <c r="C45" i="32"/>
  <c r="X45" i="3" s="1"/>
  <c r="C55" i="32"/>
  <c r="Y55" i="3" s="1"/>
  <c r="C49" i="32"/>
  <c r="X49" i="3" s="1"/>
  <c r="C4" i="32"/>
  <c r="X4" i="3" s="1"/>
  <c r="C48" i="32"/>
  <c r="Y48" i="3" s="1"/>
  <c r="C28" i="32"/>
  <c r="X28" i="3" s="1"/>
  <c r="C108" i="32"/>
  <c r="Y108" i="3" s="1"/>
  <c r="C62" i="32"/>
  <c r="Y62" i="3" s="1"/>
  <c r="C94" i="32"/>
  <c r="X94" i="3" s="1"/>
  <c r="C81" i="32"/>
  <c r="X81" i="3" s="1"/>
  <c r="C13" i="32"/>
  <c r="Y13" i="3" s="1"/>
  <c r="C57" i="32"/>
  <c r="Y57" i="3" s="1"/>
  <c r="C7" i="32"/>
  <c r="X7" i="3" s="1"/>
  <c r="C121" i="32"/>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6" i="3" l="1"/>
  <c r="Y120" i="3"/>
  <c r="Y6" i="3"/>
  <c r="X124" i="3"/>
  <c r="Y56" i="3"/>
  <c r="Y143" i="3"/>
  <c r="X125" i="3"/>
  <c r="Y9" i="3"/>
  <c r="X53" i="3"/>
  <c r="Y88" i="3"/>
  <c r="Y84" i="3"/>
  <c r="X134" i="3"/>
  <c r="Y41" i="3"/>
  <c r="X60" i="3"/>
  <c r="X79" i="3"/>
  <c r="Y110" i="3"/>
  <c r="Y21" i="3"/>
  <c r="X93" i="3"/>
  <c r="X115" i="3"/>
  <c r="X89" i="3"/>
  <c r="X31" i="3"/>
  <c r="Y114" i="3"/>
  <c r="X57" i="3"/>
  <c r="Y61" i="3"/>
  <c r="X65" i="3"/>
  <c r="Y104" i="3"/>
  <c r="Y133" i="3"/>
  <c r="Y23" i="3"/>
  <c r="X64" i="3"/>
  <c r="Y81" i="3"/>
  <c r="Y85" i="3"/>
  <c r="X29" i="3"/>
  <c r="Y105" i="3"/>
  <c r="X101" i="3"/>
  <c r="Y12" i="3"/>
  <c r="X38" i="3"/>
  <c r="Y121" i="3"/>
  <c r="Y25" i="3"/>
  <c r="Y76" i="3"/>
  <c r="X107" i="3"/>
  <c r="Y92" i="3"/>
  <c r="X13" i="3"/>
  <c r="X54" i="3"/>
  <c r="X5" i="3"/>
  <c r="X106" i="3"/>
  <c r="X15" i="3"/>
  <c r="Y127" i="3"/>
  <c r="X78" i="3"/>
  <c r="X47" i="3"/>
  <c r="Y96" i="3"/>
  <c r="Y49" i="3"/>
  <c r="Y45" i="3"/>
  <c r="X32" i="3"/>
  <c r="Y72" i="3"/>
  <c r="Y30" i="3"/>
  <c r="Y103" i="3"/>
  <c r="Y116" i="3"/>
  <c r="X68" i="3"/>
  <c r="Y95" i="3"/>
  <c r="X126" i="3"/>
  <c r="X131" i="3"/>
  <c r="X63" i="3"/>
  <c r="X122" i="3"/>
  <c r="X111" i="3"/>
  <c r="Y112" i="3"/>
  <c r="X97" i="3"/>
  <c r="Y22" i="3"/>
  <c r="X44" i="3"/>
  <c r="Y113" i="3"/>
  <c r="Y46" i="3"/>
  <c r="X62" i="3"/>
  <c r="Y86" i="3"/>
  <c r="X138" i="3"/>
  <c r="X24" i="3"/>
  <c r="X55" i="3"/>
  <c r="Y102" i="3"/>
  <c r="Y8" i="3"/>
  <c r="Y94" i="3"/>
  <c r="Y7" i="3"/>
  <c r="Y36" i="3"/>
  <c r="X20" i="3"/>
  <c r="X69" i="3"/>
  <c r="Y14" i="3"/>
  <c r="Y33" i="3"/>
  <c r="Y28" i="3"/>
  <c r="X123" i="3"/>
  <c r="Y4" i="3"/>
  <c r="Y139" i="3"/>
  <c r="Y77" i="3"/>
  <c r="X80" i="3"/>
  <c r="X52" i="3"/>
  <c r="X48" i="3"/>
  <c r="X108" i="3"/>
  <c r="Y17"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BW40" i="3" s="1"/>
  <c r="E55" i="3"/>
  <c r="E57" i="3"/>
  <c r="F55" i="3"/>
  <c r="BU33" i="3" s="1"/>
  <c r="F52" i="3"/>
  <c r="F25" i="3"/>
  <c r="E21" i="3"/>
  <c r="F23" i="3"/>
  <c r="E84" i="3"/>
  <c r="F88" i="3"/>
  <c r="E86" i="3"/>
  <c r="E17" i="3"/>
  <c r="F14" i="3"/>
  <c r="F12" i="3"/>
  <c r="E22" i="3"/>
  <c r="E24" i="3"/>
  <c r="F21" i="3"/>
  <c r="E29" i="3"/>
  <c r="F30" i="3"/>
  <c r="F33" i="3"/>
  <c r="E81" i="3"/>
  <c r="E79" i="3"/>
  <c r="F77" i="3"/>
  <c r="F61" i="3"/>
  <c r="BW36" i="3" s="1"/>
  <c r="E65" i="3"/>
  <c r="BU34" i="3" s="1"/>
  <c r="E63" i="3"/>
  <c r="E9" i="3"/>
  <c r="F4" i="3"/>
  <c r="F6" i="3"/>
  <c r="F79" i="3"/>
  <c r="E80" i="3"/>
  <c r="F76" i="3"/>
  <c r="F80" i="3"/>
  <c r="BW43" i="3" s="1"/>
  <c r="E77" i="3"/>
  <c r="BU45" i="3" s="1"/>
  <c r="F78" i="3"/>
  <c r="E61" i="3"/>
  <c r="F62" i="3"/>
  <c r="F64" i="3"/>
  <c r="F72" i="3"/>
  <c r="E68" i="3"/>
  <c r="E70" i="3"/>
  <c r="BW45" i="3" l="1"/>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X42" i="3" s="1"/>
  <c r="BV31" i="3"/>
  <c r="BV18" i="3"/>
  <c r="BV33" i="3"/>
  <c r="BX33" i="3" s="1"/>
  <c r="BV13" i="3"/>
  <c r="BV20" i="3"/>
  <c r="BX20" i="3" s="1"/>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X38" i="3" s="1"/>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41" i="3" l="1"/>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5" i="3" s="1"/>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CF46" i="3" s="1"/>
  <c r="L80" i="3"/>
  <c r="K53" i="3"/>
  <c r="K87" i="3"/>
  <c r="CF47" i="3" s="1"/>
  <c r="CF11" i="3" l="1"/>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I26" i="3" s="1"/>
  <c r="CH40" i="3"/>
  <c r="CH11" i="3"/>
  <c r="O12" i="3" s="1"/>
  <c r="CH14" i="3"/>
  <c r="CH13" i="3"/>
  <c r="O13" i="3" s="1"/>
  <c r="O94" i="3"/>
  <c r="CI42" i="3" l="1"/>
  <c r="O64" i="3"/>
  <c r="N79" i="3"/>
  <c r="O93" i="3"/>
  <c r="N95" i="3"/>
  <c r="N96" i="3"/>
  <c r="O47" i="3"/>
  <c r="N61" i="3"/>
  <c r="O97" i="3"/>
  <c r="O44" i="3"/>
  <c r="N56" i="3"/>
  <c r="O95" i="3"/>
  <c r="CI36" i="3"/>
  <c r="CK36" i="3"/>
  <c r="CI27"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K46" i="3"/>
  <c r="CI33" i="3"/>
  <c r="O53" i="3"/>
  <c r="O79" i="3"/>
  <c r="N6" i="3"/>
  <c r="N86" i="3"/>
  <c r="O32" i="3"/>
  <c r="CI21" i="3" s="1"/>
  <c r="CI43" i="3"/>
  <c r="N88" i="3"/>
  <c r="N30" i="3"/>
  <c r="CI25" i="3"/>
  <c r="CI18" i="3"/>
  <c r="N73" i="3"/>
  <c r="CI34" i="3"/>
  <c r="CI49" i="3"/>
  <c r="N15" i="3"/>
  <c r="CI37" i="3"/>
  <c r="O96" i="3"/>
  <c r="CJ53" i="3" s="1"/>
  <c r="CL53" i="3" s="1"/>
  <c r="CI39" i="3"/>
  <c r="CK30" i="3"/>
  <c r="N68" i="3"/>
  <c r="CK39" i="3" s="1"/>
  <c r="CK50" i="3"/>
  <c r="O40" i="3"/>
  <c r="O15" i="3"/>
  <c r="CK10" i="3" s="1"/>
  <c r="N65" i="3"/>
  <c r="O9" i="3"/>
  <c r="CI23" i="3"/>
  <c r="O36" i="3"/>
  <c r="CJ22" i="3" s="1"/>
  <c r="O61" i="3"/>
  <c r="CJ36" i="3" s="1"/>
  <c r="CI47" i="3"/>
  <c r="CK37" i="3"/>
  <c r="N13" i="3"/>
  <c r="O68" i="3"/>
  <c r="CI38" i="3" s="1"/>
  <c r="O57" i="3"/>
  <c r="O65" i="3"/>
  <c r="N40" i="3"/>
  <c r="O31" i="3"/>
  <c r="CJ21" i="3" s="1"/>
  <c r="N92" i="3"/>
  <c r="CK51" i="3" s="1"/>
  <c r="CK12" i="3"/>
  <c r="N77" i="3"/>
  <c r="CK45" i="3" s="1"/>
  <c r="CK44" i="3"/>
  <c r="CI19" i="3"/>
  <c r="CI50" i="3"/>
  <c r="O25" i="3"/>
  <c r="CK15" i="3" s="1"/>
  <c r="O37" i="3"/>
  <c r="CI24" i="3" s="1"/>
  <c r="N5" i="3"/>
  <c r="CJ9" i="3" s="1"/>
  <c r="O72" i="3"/>
  <c r="O84" i="3"/>
  <c r="CI46" i="3" s="1"/>
  <c r="O87" i="3"/>
  <c r="N60" i="3"/>
  <c r="CK35" i="3" s="1"/>
  <c r="O78" i="3"/>
  <c r="O23" i="3"/>
  <c r="N94" i="3"/>
  <c r="CK52" i="3" s="1"/>
  <c r="N39" i="3"/>
  <c r="CK38" i="3"/>
  <c r="CI52"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10" i="3" s="1"/>
  <c r="CI48" i="3"/>
  <c r="CK26" i="3"/>
  <c r="CJ48" i="3"/>
  <c r="O20" i="3"/>
  <c r="CI14" i="3" s="1"/>
  <c r="N33" i="3"/>
  <c r="N69" i="3"/>
  <c r="O73" i="3"/>
  <c r="O60" i="3"/>
  <c r="CK34" i="3" s="1"/>
  <c r="O63" i="3"/>
  <c r="CI40" i="3"/>
  <c r="CK11" i="3"/>
  <c r="O70" i="3"/>
  <c r="N22" i="3"/>
  <c r="CI15" i="3" s="1"/>
  <c r="CK42" i="3"/>
  <c r="N78" i="3"/>
  <c r="O81" i="3"/>
  <c r="CI13" i="3"/>
  <c r="N14" i="3"/>
  <c r="CI11" i="3" s="1"/>
  <c r="CK13" i="3"/>
  <c r="N23" i="3"/>
  <c r="N20" i="3"/>
  <c r="O24" i="3"/>
  <c r="CK17" i="3" s="1"/>
  <c r="N17" i="3"/>
  <c r="CI12" i="3" s="1"/>
  <c r="O14" i="3"/>
  <c r="CK33" i="3"/>
  <c r="CK53" i="3"/>
  <c r="CK14" i="3"/>
  <c r="CK49" i="3"/>
  <c r="CK31" i="3"/>
  <c r="CK43" i="3" l="1"/>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J7" i="3"/>
  <c r="CL7" i="3" s="1"/>
  <c r="CJ23" i="3"/>
  <c r="CL23" i="3" s="1"/>
  <c r="CJ37" i="3"/>
  <c r="CL37" i="3" s="1"/>
  <c r="CJ39" i="3"/>
  <c r="CL39" i="3" s="1"/>
  <c r="CJ41" i="3"/>
  <c r="CL41" i="3" s="1"/>
  <c r="CJ29" i="3"/>
  <c r="CL29" i="3" s="1"/>
  <c r="CJ27" i="3"/>
  <c r="CL27" i="3" s="1"/>
  <c r="CL6" i="3" l="1"/>
  <c r="CM38" i="3" s="1"/>
  <c r="CM45" i="3"/>
  <c r="CM50" i="3"/>
  <c r="CM53" i="3"/>
  <c r="CM48" i="3"/>
  <c r="CM16" i="3"/>
  <c r="CM40" i="3"/>
  <c r="CM30" i="3"/>
  <c r="CM17" i="3"/>
  <c r="CM15" i="3"/>
  <c r="CM34" i="3"/>
  <c r="CM31" i="3"/>
  <c r="CM47" i="3"/>
  <c r="CM43" i="3"/>
  <c r="CM21" i="3"/>
  <c r="CM35" i="3"/>
  <c r="CM18" i="3"/>
  <c r="CM49" i="3"/>
  <c r="CM44" i="3"/>
  <c r="CM14" i="3"/>
  <c r="CM26" i="3"/>
  <c r="CM42" i="3"/>
  <c r="CM19" i="3"/>
  <c r="CM28" i="3"/>
  <c r="CM11" i="3"/>
  <c r="CM13" i="3"/>
  <c r="CM12" i="3"/>
  <c r="CM10" i="3"/>
  <c r="CM32" i="3"/>
  <c r="CM9" i="3"/>
  <c r="CM8" i="3"/>
  <c r="CM7" i="3"/>
  <c r="CM6" i="3"/>
  <c r="CM29" i="3"/>
  <c r="CM39" i="3"/>
  <c r="CM41" i="3"/>
  <c r="CM51" i="3"/>
  <c r="CM36" i="3"/>
  <c r="CM27" i="3"/>
  <c r="CM25" i="3"/>
  <c r="CM23" i="3"/>
  <c r="CM52" i="3"/>
  <c r="CM37" i="3"/>
  <c r="CM22" i="3" l="1"/>
  <c r="CM46" i="3"/>
  <c r="CM24" i="3"/>
  <c r="CN43" i="3" s="1"/>
  <c r="R76" i="3" s="1"/>
  <c r="CM20" i="3"/>
  <c r="CN41" i="3" s="1"/>
  <c r="Q71" i="3" s="1"/>
  <c r="CM33" i="3"/>
  <c r="CN33" i="3" s="1"/>
  <c r="Q57" i="3" s="1"/>
  <c r="CN45" i="3" l="1"/>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R6" i="3"/>
  <c r="R12" i="3"/>
  <c r="R14" i="3"/>
  <c r="R37" i="3"/>
  <c r="Q41" i="3"/>
  <c r="R78" i="3"/>
  <c r="R80" i="3"/>
  <c r="R40" i="3"/>
  <c r="Q62" i="3"/>
  <c r="R38" i="3"/>
  <c r="R56" i="3"/>
  <c r="R62" i="3"/>
  <c r="Q30" i="3"/>
  <c r="R53" i="3"/>
  <c r="R54" i="3"/>
  <c r="R28" i="3"/>
  <c r="R81" i="3"/>
  <c r="Q69" i="3"/>
  <c r="R87" i="3"/>
  <c r="Q55" i="3"/>
  <c r="R70" i="3"/>
  <c r="Q96" i="3"/>
  <c r="Q72" i="3"/>
  <c r="R44" i="3"/>
  <c r="R49" i="3"/>
  <c r="Q46" i="3"/>
  <c r="CO43" i="3"/>
  <c r="R32" i="3"/>
  <c r="R69" i="3"/>
  <c r="R24" i="3"/>
  <c r="Q78" i="3"/>
  <c r="Q80" i="3"/>
  <c r="R31" i="3"/>
  <c r="Q23" i="3"/>
  <c r="Q16" i="3"/>
  <c r="CP43" i="3"/>
  <c r="Q93" i="3"/>
  <c r="R16" i="3"/>
  <c r="R79" i="3"/>
  <c r="CO45" i="3" s="1"/>
  <c r="Q63" i="3"/>
  <c r="Q38" i="3"/>
  <c r="R23" i="3"/>
  <c r="Q14" i="3"/>
  <c r="R96" i="3"/>
  <c r="R55" i="3"/>
  <c r="R41" i="3"/>
  <c r="R93" i="3"/>
  <c r="R7" i="3"/>
  <c r="R88" i="3"/>
  <c r="R85" i="3"/>
  <c r="R72" i="3"/>
  <c r="R95" i="3"/>
  <c r="CO53" i="3" s="1"/>
  <c r="Q22" i="3"/>
  <c r="Q56" i="3"/>
  <c r="R77" i="3"/>
  <c r="Q31" i="3"/>
  <c r="Q86" i="3"/>
  <c r="R39" i="3"/>
  <c r="Q73" i="3"/>
  <c r="Q97" i="3"/>
  <c r="Q8" i="3"/>
  <c r="Q40" i="3"/>
  <c r="Q88" i="3"/>
  <c r="R48" i="3"/>
  <c r="CO27" i="3" s="1"/>
  <c r="Q13" i="3"/>
  <c r="R9" i="3"/>
  <c r="Q92" i="3"/>
  <c r="R94" i="3"/>
  <c r="Q65" i="3"/>
  <c r="R17" i="3"/>
  <c r="R30" i="3"/>
  <c r="R22" i="3"/>
  <c r="Q54" i="3"/>
  <c r="Q81" i="3"/>
  <c r="CP42" i="3" s="1"/>
  <c r="Q49" i="3"/>
  <c r="Q48" i="3"/>
  <c r="Q64" i="3"/>
  <c r="R68" i="3"/>
  <c r="R8" i="3"/>
  <c r="R60" i="3"/>
  <c r="CP53" i="3"/>
  <c r="Q61" i="3" l="1"/>
  <c r="R84" i="3"/>
  <c r="Q29" i="3"/>
  <c r="CO19" i="3"/>
  <c r="R29" i="3"/>
  <c r="CP47" i="3"/>
  <c r="CO15" i="3"/>
  <c r="Q68" i="3"/>
  <c r="CP39" i="3" s="1"/>
  <c r="CP37" i="3"/>
  <c r="R21" i="3"/>
  <c r="CP23" i="3"/>
  <c r="CP36" i="3"/>
  <c r="CO30" i="3"/>
  <c r="R45" i="3"/>
  <c r="Q60" i="3"/>
  <c r="CO35" i="3" s="1"/>
  <c r="CP50" i="3"/>
  <c r="CP33" i="3"/>
  <c r="Q52" i="3"/>
  <c r="CP31" i="3" s="1"/>
  <c r="CP12" i="3"/>
  <c r="CP30" i="3"/>
  <c r="Q45" i="3"/>
  <c r="CO23" i="3"/>
  <c r="CQ23" i="3" s="1"/>
  <c r="CO22" i="3"/>
  <c r="CP22" i="3"/>
  <c r="Q4" i="3"/>
  <c r="CP7" i="3" s="1"/>
  <c r="Q12" i="3"/>
  <c r="CP11" i="3" s="1"/>
  <c r="R5" i="3"/>
  <c r="CO8" i="3" s="1"/>
  <c r="CO12" i="3"/>
  <c r="CO47" i="3"/>
  <c r="CQ47" i="3" s="1"/>
  <c r="CO9" i="3"/>
  <c r="R20" i="3"/>
  <c r="CP51" i="3"/>
  <c r="Q21" i="3"/>
  <c r="CO18" i="3"/>
  <c r="CP20" i="3"/>
  <c r="CO26" i="3"/>
  <c r="CP45" i="3"/>
  <c r="CQ45" i="3" s="1"/>
  <c r="CP44" i="3"/>
  <c r="CO10" i="3"/>
  <c r="CP49" i="3"/>
  <c r="CP34" i="3"/>
  <c r="CP48" i="3"/>
  <c r="CO24" i="3"/>
  <c r="CO37" i="3"/>
  <c r="CP38" i="3"/>
  <c r="CP14" i="3"/>
  <c r="CP46" i="3"/>
  <c r="CO34" i="3"/>
  <c r="CO50" i="3"/>
  <c r="CP40" i="3"/>
  <c r="CQ43" i="3"/>
  <c r="CO46" i="3"/>
  <c r="CP24" i="3"/>
  <c r="CO21" i="3"/>
  <c r="CO40" i="3"/>
  <c r="CO49" i="3"/>
  <c r="CO48" i="3"/>
  <c r="CO38" i="3"/>
  <c r="CP32" i="3"/>
  <c r="CP16" i="3"/>
  <c r="CO42" i="3"/>
  <c r="CQ42" i="3" s="1"/>
  <c r="CP10" i="3"/>
  <c r="CO44" i="3"/>
  <c r="CQ30" i="3"/>
  <c r="CO32" i="3"/>
  <c r="CP28" i="3"/>
  <c r="CP17" i="3"/>
  <c r="CO28" i="3"/>
  <c r="CP26" i="3"/>
  <c r="CP9" i="3"/>
  <c r="CP15" i="3"/>
  <c r="CQ15" i="3" s="1"/>
  <c r="CP13" i="3"/>
  <c r="CO17" i="3"/>
  <c r="CP21" i="3"/>
  <c r="CP18" i="3"/>
  <c r="CO16" i="3"/>
  <c r="CO20" i="3"/>
  <c r="CQ20" i="3" s="1"/>
  <c r="CP19" i="3"/>
  <c r="CQ19" i="3" s="1"/>
  <c r="CO14" i="3"/>
  <c r="CO13" i="3"/>
  <c r="CO6" i="3"/>
  <c r="CP6" i="3"/>
  <c r="CP8" i="3"/>
  <c r="CQ8" i="3" s="1"/>
  <c r="CP52" i="3"/>
  <c r="CP27" i="3"/>
  <c r="CQ27" i="3" s="1"/>
  <c r="CO52" i="3"/>
  <c r="CO41" i="3"/>
  <c r="CO29" i="3"/>
  <c r="CP29" i="3"/>
  <c r="CO51" i="3"/>
  <c r="CO33" i="3"/>
  <c r="CO25" i="3"/>
  <c r="CP25" i="3"/>
  <c r="CP41" i="3"/>
  <c r="CO36" i="3"/>
  <c r="CQ53" i="3"/>
  <c r="CO39" i="3" l="1"/>
  <c r="CQ39" i="3" s="1"/>
  <c r="CQ50" i="3"/>
  <c r="CQ37" i="3"/>
  <c r="CQ33" i="3"/>
  <c r="CQ51" i="3"/>
  <c r="CO31" i="3"/>
  <c r="CQ31" i="3" s="1"/>
  <c r="CQ12" i="3"/>
  <c r="CQ9" i="3"/>
  <c r="CP35" i="3"/>
  <c r="CQ35" i="3" s="1"/>
  <c r="CO11" i="3"/>
  <c r="CQ11" i="3" s="1"/>
  <c r="CQ36" i="3"/>
  <c r="CQ18" i="3"/>
  <c r="CQ22" i="3"/>
  <c r="CO7" i="3"/>
  <c r="CQ7" i="3" s="1"/>
  <c r="CQ26" i="3"/>
  <c r="CQ44" i="3"/>
  <c r="CQ10" i="3"/>
  <c r="CQ49" i="3"/>
  <c r="CQ24" i="3"/>
  <c r="CQ48" i="3"/>
  <c r="CQ34" i="3"/>
  <c r="CQ14" i="3"/>
  <c r="CQ21" i="3"/>
  <c r="CQ46" i="3"/>
  <c r="CQ16" i="3"/>
  <c r="CQ40" i="3"/>
  <c r="CQ38" i="3"/>
  <c r="CQ32" i="3"/>
  <c r="CQ28" i="3"/>
  <c r="CQ13" i="3"/>
  <c r="CQ1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T52" i="3" s="1"/>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l="1"/>
  <c r="U57" i="3"/>
  <c r="U37" i="3"/>
  <c r="CT24" i="3" s="1"/>
  <c r="T41" i="3"/>
  <c r="T54" i="3"/>
  <c r="T37" i="3"/>
  <c r="U33" i="3"/>
  <c r="U25" i="3"/>
  <c r="T21" i="3"/>
  <c r="U32" i="3"/>
  <c r="T84" i="3"/>
  <c r="T86" i="3"/>
  <c r="T29" i="3"/>
  <c r="T12" i="3"/>
  <c r="T61" i="3"/>
  <c r="CT37" i="3" s="1"/>
  <c r="T6" i="3"/>
  <c r="U64" i="3"/>
  <c r="U68" i="3"/>
  <c r="U7" i="3"/>
  <c r="T28" i="3"/>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CT53" i="3" s="1"/>
  <c r="T44" i="3"/>
  <c r="T5" i="3"/>
  <c r="U39" i="3"/>
  <c r="CT25" i="3" s="1"/>
  <c r="T72" i="3"/>
  <c r="T57" i="3"/>
  <c r="U94" i="3"/>
  <c r="CT50" i="3" s="1"/>
  <c r="U36" i="3"/>
  <c r="T65" i="3"/>
  <c r="U61" i="3"/>
  <c r="U17" i="3"/>
  <c r="CT11" i="3" s="1"/>
  <c r="T23" i="3"/>
  <c r="U69" i="3"/>
  <c r="CT40" i="3" s="1"/>
  <c r="T55" i="3"/>
  <c r="U97" i="3"/>
  <c r="CT51" i="3" s="1"/>
  <c r="U6" i="3"/>
  <c r="T25" i="3"/>
  <c r="CT34" i="3"/>
  <c r="U79" i="3"/>
  <c r="T60" i="3"/>
  <c r="CT35" i="3" s="1"/>
  <c r="T4" i="3"/>
  <c r="CT7" i="3" s="1"/>
  <c r="T62" i="3"/>
  <c r="T7" i="3"/>
  <c r="U20" i="3"/>
  <c r="T48" i="3"/>
  <c r="CT28" i="3" s="1"/>
  <c r="U44" i="3"/>
  <c r="U76" i="3"/>
  <c r="CT43" i="3"/>
  <c r="U46" i="3"/>
  <c r="T45" i="3"/>
  <c r="T47" i="3"/>
  <c r="T9" i="3"/>
  <c r="T49" i="3"/>
  <c r="CT31" i="3"/>
  <c r="CT15" i="3"/>
  <c r="CT49" i="3"/>
  <c r="CT22" i="3" l="1"/>
  <c r="CT19"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l="1"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<sst xmlns="http://schemas.openxmlformats.org/spreadsheetml/2006/main" count="6812" uniqueCount="1534">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</sst>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6">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3" t="str">
        <f>Idiomas!D8</f>
        <v>XXIII Mundial USA/MEX/CAN 2026</v>
      </c>
      <c r="C3" s="663"/>
      <c r="D3" s="663"/>
      <c r="E3" s="663"/>
      <c r="F3" s="663"/>
      <c r="G3" s="663"/>
      <c r="H3" s="663"/>
      <c r="I3" s="663"/>
      <c r="J3" s="663"/>
      <c r="K3" s="663"/>
      <c r="L3" s="663"/>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1" t="str">
        <f>HYPERLINK(Idiomas!D10,Idiomas!D5)</f>
        <v>Si quieres organizar una porra (quiniela) con tu grupo puedes descargar el archivo de adminsitrador desde el enlace de abajo</v>
      </c>
      <c r="F16" s="662"/>
      <c r="G16" s="662"/>
      <c r="H16" s="662"/>
      <c r="I16" s="662"/>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58" t="str">
        <f>HYPERLINK(Idiomas!D10,Idiomas!D9)</f>
        <v>▼ Descargar Excel Administrador Porra ▼</v>
      </c>
      <c r="F17" s="659"/>
      <c r="G17" s="659"/>
      <c r="H17" s="659"/>
      <c r="I17" s="660"/>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4"/>
      <c r="C24" s="665"/>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65" zoomScale="73" zoomScaleNormal="100" workbookViewId="0">
      <selection activeCell="AY74" sqref="AY74"/>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5" t="str">
        <f>Idiomas!D8</f>
        <v>XXIII Mundial USA/MEX/CAN 2026</v>
      </c>
      <c r="X1" s="645"/>
      <c r="Y1" s="645"/>
      <c r="Z1" s="645"/>
      <c r="AA1" s="645"/>
      <c r="AB1" s="645"/>
      <c r="AC1" s="645"/>
      <c r="AD1" s="645"/>
      <c r="AE1" s="645"/>
      <c r="AF1" s="645"/>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41"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41"/>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41"/>
      <c r="X6" s="24">
        <f ca="1">Horarios!C6</f>
        <v>46191.75</v>
      </c>
      <c r="Y6" s="25">
        <f ca="1">Horarios!C6</f>
        <v>46191.75</v>
      </c>
      <c r="Z6" s="26" t="str">
        <f>Idiomas!D62</f>
        <v>J2</v>
      </c>
      <c r="AA6" s="27" t="str">
        <f ca="1">A8</f>
        <v>República Checa</v>
      </c>
      <c r="AB6" s="49" t="e" cm="1" vm="4">
        <f t="array" aca="1" ref="AB6" ca="1">Ver_flag_local</f>
        <v>#VALUE!</v>
      </c>
      <c r="AC6" s="50"/>
      <c r="AD6" s="51"/>
      <c r="AE6" s="574" t="e" cm="1" vm="2">
        <f t="array" aca="1" ref="AE6" ca="1">Ver_flag_visit</f>
        <v>#VALUE!</v>
      </c>
      <c r="AF6" s="32" t="str">
        <f ca="1">A6</f>
        <v>Sudáfrica</v>
      </c>
      <c r="AG6" s="309">
        <f t="shared" si="13"/>
        <v>0</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3</v>
      </c>
      <c r="BF6" s="16">
        <f ca="1">+BG6+BH6+BI6</f>
        <v>1</v>
      </c>
      <c r="BG6" s="16">
        <f t="shared" ref="BG6:BG53" ca="1" si="17">+COUNTIFS(FGLocal,BD6,Ganador,"Local")+COUNTIFS(FGVisitante,BD6,Ganador,"Visitante")</f>
        <v>1</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2</v>
      </c>
      <c r="BK6" s="16">
        <f t="shared" ref="BK6:BK53" ca="1" si="21">+SUMIFS(FG_GolesLocal,FGVisitante,BD6,Ganador,"&lt;&gt;"&amp;"Pendiente",FG_GolesLocal,"&lt;&gt;"&amp;"",FG_GolesVisitante,"&lt;&gt;"&amp;"")+SUMIFS(FG_GolesVisitante,FGLocal,BD6,Ganador,"&lt;&gt;"&amp;"Pendiente",FG_GolesLocal,"&lt;&gt;"&amp;"",FG_GolesVisitante,"&lt;&gt;"&amp;"")</f>
        <v>0</v>
      </c>
      <c r="BL6" s="16">
        <f ca="1">+BJ6-BK6</f>
        <v>2</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4">IF($BT6="-","-",COUNTIFS(FGLocal,$BD6,Ganador,"Local",Part1Empate1V,$BT6)+COUNTIFS(FGVisitante,$BD6,Ganador,"Visitante",Part1Empate1L,$BT6))</f>
        <v>0</v>
      </c>
      <c r="BV6" s="16">
        <f t="shared" ref="BV6:BV53" ca="1" si="25">IF($BT6="-","-",COUNTIFS(FGLocal,$BD6,Ganador,"Empate",Part1Empate1V,$BT6)+COUNTIFS(FGVisitante,$BD6,Ganador,"Empate",Part1Empate1L,$BT6))</f>
        <v>0</v>
      </c>
      <c r="BW6" s="16">
        <f t="shared" ref="BW6:BW53" ca="1" si="26">IF($BT6="-","-",COUNTIFS(FGLocal,$BD6,Ganador,"Visitante",Part1Empate1V,$BT6)+COUNTIFS(FGVisitante,$BD6,Ganador,"Local",Part1Empate1L,$BT6))</f>
        <v>0</v>
      </c>
      <c r="BX6" s="16">
        <f ca="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27">IF($BZ6="-","-",SUMIFS(FG_GolesLocal,FGLocal,$BD6,Part1Empate2V,$BZ6)+SUMIFS(FG_GolesVisitante,FGVisitante,$BD6,Part1Empate2L,$BZ6))</f>
        <v>0</v>
      </c>
      <c r="CB6" s="16">
        <f t="shared" ref="CB6:CB53" ca="1" si="28">IF($BZ6="-","-",SUMIFS(FG_GolesVisitante,FGLocal,$BD6,Part1Empate2V,$BZ6)+SUMIFS(FG_GolesLocal,FGVisitante,$BD6,Part1Empate2L,$BZ6))</f>
        <v>0</v>
      </c>
      <c r="CC6" s="16">
        <f ca="1">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29">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0">IF($CH6="-","-",COUNTIFS(FGLocal,$BD6,Ganador,"Local",Part2Empate4V,$CH6)+COUNTIFS(FGVisitante,$BD6,Ganador,"Visitante",Part2Empate4L,$CH6))</f>
        <v>0</v>
      </c>
      <c r="CJ6" s="16">
        <f t="shared" ref="CJ6:CJ53" ca="1" si="31">IF($CH6="-","-",COUNTIFS(FGLocal,$BD6,Ganador,"Empate",Part2Empate4V,$CH6)+COUNTIFS(FGVisitante,$BD6,Ganador,"Empate",Part2Empate4L,$CH6))</f>
        <v>0</v>
      </c>
      <c r="CK6" s="16">
        <f t="shared" ref="CK6:CK53" ca="1" si="32">IF($CH6="-","-",COUNTIFS(FGLocal,$BD6,Ganador,"Visitante",Part2Empate4V,$CH6)+COUNTIFS(FGVisitante,$BD6,Ganador,"Local",Part2Empate4L,$CH6))</f>
        <v>0</v>
      </c>
      <c r="CL6" s="16">
        <f ca="1">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33">IF($CN6="-","-",SUMIFS(FG_GolesLocal,FGLocal,$BD6,Part2Empate5V,$CN6)+SUMIFS(FG_GolesVisitante,FGVisitante,$BD6,Part2Empate5L,$CN6))</f>
        <v>0</v>
      </c>
      <c r="CP6" s="16">
        <f t="shared" ref="CP6:CP53" ca="1" si="34">IF($CN6="-","-",SUMIFS(FG_GolesVisitante,FGLocal,$BD6,Part2Empate5V,$CN6)+SUMIFS(FG_GolesLocal,FGVisitante,$BD6,Part2Empate5L,$CN6))</f>
        <v>0</v>
      </c>
      <c r="CQ6" s="16">
        <f ca="1">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35">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36">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4</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41"/>
      <c r="X7" s="24">
        <f ca="1">Horarios!C7</f>
        <v>46192.125</v>
      </c>
      <c r="Y7" s="25">
        <f ca="1">Horarios!C7</f>
        <v>46192.125</v>
      </c>
      <c r="Z7" s="26" t="str">
        <f>$Z$6</f>
        <v>J2</v>
      </c>
      <c r="AA7" s="27" t="str">
        <f ca="1">A5</f>
        <v>México</v>
      </c>
      <c r="AB7" s="49" t="e" cm="1" vm="1">
        <f t="array" aca="1" ref="AB7" ca="1">Ver_flag_local</f>
        <v>#VALUE!</v>
      </c>
      <c r="AC7" s="50"/>
      <c r="AD7" s="51"/>
      <c r="AE7" s="574" t="e" cm="1" vm="3">
        <f t="array" aca="1" ref="AE7" ca="1">Ver_flag_visit</f>
        <v>#VALUE!</v>
      </c>
      <c r="AF7" s="32" t="str">
        <f ca="1">A7</f>
        <v>Corea del Sur</v>
      </c>
      <c r="AG7" s="309">
        <f t="shared" si="13"/>
        <v>0</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0</v>
      </c>
      <c r="BF7" s="16">
        <f t="shared" ref="BF7:BF53" ca="1" si="41">+BG7+BH7+BI7</f>
        <v>1</v>
      </c>
      <c r="BG7" s="16">
        <f t="shared" ca="1" si="17"/>
        <v>0</v>
      </c>
      <c r="BH7" s="16">
        <f t="shared" ca="1" si="18"/>
        <v>0</v>
      </c>
      <c r="BI7" s="16">
        <f t="shared" ca="1" si="19"/>
        <v>1</v>
      </c>
      <c r="BJ7" s="16">
        <f t="shared" ca="1" si="20"/>
        <v>0</v>
      </c>
      <c r="BK7" s="16">
        <f t="shared" ca="1" si="21"/>
        <v>2</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0</v>
      </c>
      <c r="BW7" s="16">
        <f t="shared" ca="1" si="26"/>
        <v>0</v>
      </c>
      <c r="BX7" s="16">
        <f ca="1">IF($BT7="-","-",BU7*3+BV7)</f>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0</v>
      </c>
      <c r="CB7" s="16">
        <f t="shared" ca="1" si="28"/>
        <v>0</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0</v>
      </c>
      <c r="CK7" s="16">
        <f t="shared" ca="1" si="32"/>
        <v>0</v>
      </c>
      <c r="CL7" s="16">
        <f ca="1">IF($CH7="-","-",CI7*3+CJ7)</f>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0</v>
      </c>
      <c r="CP7" s="16">
        <f t="shared" ca="1" si="34"/>
        <v>0</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4</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1"/>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1</v>
      </c>
      <c r="BG8" s="16">
        <f t="shared" ca="1" si="17"/>
        <v>1</v>
      </c>
      <c r="BH8" s="16">
        <f t="shared" ca="1" si="18"/>
        <v>0</v>
      </c>
      <c r="BI8" s="16">
        <f t="shared" ca="1" si="19"/>
        <v>0</v>
      </c>
      <c r="BJ8" s="16">
        <f t="shared" ca="1" si="20"/>
        <v>2</v>
      </c>
      <c r="BK8" s="16">
        <f t="shared" ca="1" si="21"/>
        <v>1</v>
      </c>
      <c r="BL8" s="16">
        <f t="shared" ca="1" si="42"/>
        <v>1</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4"/>
        <v>0</v>
      </c>
      <c r="BV8" s="16">
        <f t="shared" ca="1" si="25"/>
        <v>0</v>
      </c>
      <c r="BW8" s="16">
        <f t="shared" ca="1" si="26"/>
        <v>0</v>
      </c>
      <c r="BX8" s="16">
        <f ca="1">IF($BT8="-","-",BU8*3+BV8)</f>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27"/>
        <v>0</v>
      </c>
      <c r="CB8" s="16">
        <f t="shared" ca="1" si="28"/>
        <v>0</v>
      </c>
      <c r="CC8" s="16">
        <f ca="1">IF($BZ8="-","-",CA8-CB8)</f>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29"/>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0"/>
        <v>0</v>
      </c>
      <c r="CJ8" s="16">
        <f t="shared" ca="1" si="31"/>
        <v>0</v>
      </c>
      <c r="CK8" s="16">
        <f t="shared" ca="1" si="32"/>
        <v>0</v>
      </c>
      <c r="CL8" s="16">
        <f ca="1">IF($CH8="-","-",CI8*3+CJ8)</f>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33"/>
        <v>0</v>
      </c>
      <c r="CP8" s="16">
        <f t="shared" ca="1" si="34"/>
        <v>0</v>
      </c>
      <c r="CQ8" s="16">
        <f ca="1">IF($CN8="-","-",CO8-CP8)</f>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35"/>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36"/>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4</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2"/>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0</v>
      </c>
      <c r="BF9" s="16">
        <f t="shared" ca="1" si="41"/>
        <v>1</v>
      </c>
      <c r="BG9" s="16">
        <f t="shared" ca="1" si="17"/>
        <v>0</v>
      </c>
      <c r="BH9" s="16">
        <f t="shared" ca="1" si="18"/>
        <v>0</v>
      </c>
      <c r="BI9" s="16">
        <f t="shared" ca="1" si="19"/>
        <v>1</v>
      </c>
      <c r="BJ9" s="16">
        <f t="shared" ca="1" si="20"/>
        <v>1</v>
      </c>
      <c r="BK9" s="16">
        <f t="shared" ca="1" si="21"/>
        <v>2</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0</v>
      </c>
      <c r="BW9" s="16">
        <f t="shared" ca="1" si="26"/>
        <v>0</v>
      </c>
      <c r="BX9" s="16">
        <f ca="1">IF($BT9="-","-",BU9*3+BV9)</f>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0</v>
      </c>
      <c r="CB9" s="16">
        <f t="shared" ca="1" si="28"/>
        <v>0</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0</v>
      </c>
      <c r="CK9" s="16">
        <f t="shared" ca="1" si="32"/>
        <v>0</v>
      </c>
      <c r="CL9" s="16">
        <f ca="1">IF($CH9="-","-",CI9*3+CJ9)</f>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0</v>
      </c>
      <c r="CP9" s="16">
        <f t="shared" ca="1" si="34"/>
        <v>0</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4</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1</v>
      </c>
      <c r="BF10" s="16">
        <f t="shared" ca="1" si="41"/>
        <v>1</v>
      </c>
      <c r="BG10" s="16">
        <f t="shared" ca="1" si="17"/>
        <v>0</v>
      </c>
      <c r="BH10" s="16">
        <f t="shared" ca="1" si="18"/>
        <v>1</v>
      </c>
      <c r="BI10" s="16">
        <f t="shared" ca="1" si="19"/>
        <v>0</v>
      </c>
      <c r="BJ10" s="16">
        <f t="shared" ca="1" si="20"/>
        <v>1</v>
      </c>
      <c r="BK10" s="16">
        <f t="shared" ca="1" si="21"/>
        <v>1</v>
      </c>
      <c r="BL10" s="16">
        <f t="shared" ca="1" si="42"/>
        <v>0</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27"/>
        <v>1</v>
      </c>
      <c r="CB10" s="16">
        <f t="shared" ca="1" si="28"/>
        <v>1</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29"/>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33"/>
        <v>1</v>
      </c>
      <c r="CP10" s="16">
        <f t="shared" ca="1" si="34"/>
        <v>1</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35"/>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36"/>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37"/>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ref="DF10:DF53" ca="1" si="52">IF(OR(INDEX($AW$6:$AW$97,MATCH($BD10,$AV$6:$AV$97,0))="",DB10="-"),DD10,INDEX($AW$6:$AW$97,MATCH($BD10,$AV$6:$AV$97,0))+DD10/1000)</f>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38"/>
        <v>1</v>
      </c>
      <c r="DK10" s="16">
        <f t="shared" ca="1" si="39"/>
        <v>4</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1</v>
      </c>
      <c r="BG11" s="16">
        <f t="shared" ca="1" si="17"/>
        <v>0</v>
      </c>
      <c r="BH11" s="16">
        <f t="shared" ca="1" si="18"/>
        <v>1</v>
      </c>
      <c r="BI11" s="16">
        <f t="shared" ca="1" si="19"/>
        <v>0</v>
      </c>
      <c r="BJ11" s="16">
        <f t="shared" ca="1" si="20"/>
        <v>1</v>
      </c>
      <c r="BK11" s="16">
        <f t="shared" ca="1" si="21"/>
        <v>1</v>
      </c>
      <c r="BL11" s="16">
        <f t="shared" ca="1" si="42"/>
        <v>0</v>
      </c>
      <c r="BM11" s="16" t="str">
        <f t="shared" ca="1" si="22"/>
        <v>2B</v>
      </c>
      <c r="BN11" s="16" t="str">
        <f t="shared" ca="1" si="23"/>
        <v>2B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4"/>
        <v>0</v>
      </c>
      <c r="BV11" s="16">
        <f t="shared" ca="1" si="25"/>
        <v>1</v>
      </c>
      <c r="BW11" s="16">
        <f t="shared" ca="1" si="26"/>
        <v>0</v>
      </c>
      <c r="BX11" s="16">
        <f t="shared" ca="1" si="48"/>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27"/>
        <v>1</v>
      </c>
      <c r="CB11" s="16">
        <f t="shared" ca="1" si="28"/>
        <v>1</v>
      </c>
      <c r="CC11" s="16">
        <f t="shared" ca="1" si="49"/>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29"/>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0"/>
        <v>0</v>
      </c>
      <c r="CJ11" s="16">
        <f t="shared" ca="1" si="31"/>
        <v>1</v>
      </c>
      <c r="CK11" s="16">
        <f t="shared" ca="1" si="32"/>
        <v>0</v>
      </c>
      <c r="CL11" s="16">
        <f t="shared" ca="1" si="50"/>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33"/>
        <v>1</v>
      </c>
      <c r="CP11" s="16">
        <f t="shared" ca="1" si="34"/>
        <v>1</v>
      </c>
      <c r="CQ11" s="16">
        <f t="shared" ca="1" si="51"/>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35"/>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36"/>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37"/>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52"/>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38"/>
        <v>1</v>
      </c>
      <c r="DK11" s="16">
        <f t="shared" ca="1" si="39"/>
        <v>4</v>
      </c>
      <c r="DL11" s="16">
        <f t="shared" ca="1" si="40"/>
        <v>1</v>
      </c>
      <c r="DM11" s="16" t="str">
        <f t="shared" ca="1" si="46"/>
        <v>1.1</v>
      </c>
      <c r="DN11" s="16" cm="1">
        <f t="array" aca="1" ref="DN11" ca="1">OFFSET(Horarios!$P$3,DJ11-1,0,DL11,1)</f>
        <v>1</v>
      </c>
      <c r="DO11" s="16"/>
      <c r="DP11" s="16" t="s">
        <v>661</v>
      </c>
      <c r="DQ11" s="16" t="str">
        <f t="shared" ca="1" si="47"/>
        <v>Bosnia y Herzegovina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(4)</v>
      </c>
      <c r="F12" s="16" t="str">
        <f t="shared" ref="F12:F17" ca="1" si="55">IF(D12="Pendiente","-",INDEX($BT$6:$BT$53,MATCH($AF12,$BD$6:$BD$53,0)))</f>
        <v>P.1 (4)</v>
      </c>
      <c r="G12" s="16"/>
      <c r="H12" s="16" t="str">
        <f t="shared" ref="H12:H17" ca="1" si="56">IF(D12="Pendiente","-",INDEX($BZ$6:$BZ$53,MATCH($AA12,$BD$6:$BD$53,0)))</f>
        <v>P.1 (4)</v>
      </c>
      <c r="I12" s="16" t="str">
        <f t="shared" ref="I12:I17" ca="1" si="57">IF(D12="Pendiente","-",INDEX($BZ$6:$BZ$53,MATCH($AF12,$BD$6:$BD$53,0)))</f>
        <v>P.1 (4)</v>
      </c>
      <c r="J12" s="16"/>
      <c r="K12" s="16" t="str">
        <f t="shared" ref="K12:K17" ca="1" si="58">IF(D12="Pendiente","-",INDEX($CE$6:$CE$53,MATCH($AA12,$BD$6:$BD$53,0)))</f>
        <v>P.1 (4)</v>
      </c>
      <c r="L12" s="16" t="str">
        <f t="shared" ref="L12:L17" ca="1" si="59">IF(D12="Pendiente","-",INDEX($CE$6:$CE$53,MATCH($AF12,$BD$6:$BD$53,0)))</f>
        <v>P.1 (4)</v>
      </c>
      <c r="M12" s="16"/>
      <c r="N12" s="16" t="str">
        <f t="shared" ref="N12:N17" ca="1" si="60">IF(D12="Pendiente","-",INDEX($CH$6:$CH$53,MATCH($AA12,$BD$6:$BD$53,0)))</f>
        <v>P.1 (4)</v>
      </c>
      <c r="O12" s="16" t="str">
        <f t="shared" ref="O12:O17" ca="1" si="61">IF(D12="Pendiente","-",INDEX($CH$6:$CH$53,MATCH($AF12,$BD$6:$BD$53,0)))</f>
        <v>P.1 (4)</v>
      </c>
      <c r="P12" s="16"/>
      <c r="Q12" s="16" t="str">
        <f t="shared" ref="Q12:Q17" ca="1" si="62">IF(D12="Pendiente","-",INDEX($CN$6:$CN$53,MATCH($AA12,$BD$6:$BD$53,0)))</f>
        <v>P.1 (4)</v>
      </c>
      <c r="R12" s="16" t="str">
        <f t="shared" ref="R12:R17" ca="1" si="63">IF(D12="Pendiente","-",INDEX($CN$6:$CN$53,MATCH($AF12,$BD$6:$BD$53,0)))</f>
        <v>P.1 (4)</v>
      </c>
      <c r="S12" s="16"/>
      <c r="T12" s="16" t="str">
        <f t="shared" ref="T12:T17" ca="1" si="64">IF(D12="Pendiente","-",INDEX($CS$6:$CS$53,MATCH($AA12,$BD$6:$BD$53,0)))</f>
        <v>P.1 (4)</v>
      </c>
      <c r="U12" s="16" t="str">
        <f t="shared" ref="U12:U17" ca="1" si="65">IF(D12="Pendiente","-",INDEX($CS$6:$CS$53,MATCH($AF12,$BD$6:$BD$53,0)))</f>
        <v>P.1 (4)</v>
      </c>
      <c r="V12" s="17"/>
      <c r="W12" s="643"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1</v>
      </c>
      <c r="BG12" s="16">
        <f t="shared" ca="1" si="17"/>
        <v>0</v>
      </c>
      <c r="BH12" s="16">
        <f t="shared" ca="1" si="18"/>
        <v>1</v>
      </c>
      <c r="BI12" s="16">
        <f t="shared" ca="1" si="19"/>
        <v>0</v>
      </c>
      <c r="BJ12" s="16">
        <f t="shared" ca="1" si="20"/>
        <v>1</v>
      </c>
      <c r="BK12" s="16">
        <f t="shared" ca="1" si="21"/>
        <v>1</v>
      </c>
      <c r="BL12" s="16">
        <f t="shared" ca="1" si="42"/>
        <v>0</v>
      </c>
      <c r="BM12" s="16" t="str">
        <f t="shared" ca="1" si="22"/>
        <v>3B</v>
      </c>
      <c r="BN12" s="16" t="str">
        <f t="shared" ca="1" si="23"/>
        <v>3B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4"/>
        <v>0</v>
      </c>
      <c r="BV12" s="16">
        <f t="shared" ca="1" si="25"/>
        <v>1</v>
      </c>
      <c r="BW12" s="16">
        <f t="shared" ca="1" si="26"/>
        <v>0</v>
      </c>
      <c r="BX12" s="16">
        <f t="shared" ca="1" si="48"/>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27"/>
        <v>1</v>
      </c>
      <c r="CB12" s="16">
        <f t="shared" ca="1" si="28"/>
        <v>1</v>
      </c>
      <c r="CC12" s="16">
        <f t="shared" ca="1" si="49"/>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29"/>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0"/>
        <v>0</v>
      </c>
      <c r="CJ12" s="16">
        <f t="shared" ca="1" si="31"/>
        <v>1</v>
      </c>
      <c r="CK12" s="16">
        <f t="shared" ca="1" si="32"/>
        <v>0</v>
      </c>
      <c r="CL12" s="16">
        <f t="shared" ca="1" si="50"/>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33"/>
        <v>1</v>
      </c>
      <c r="CP12" s="16">
        <f t="shared" ca="1" si="34"/>
        <v>1</v>
      </c>
      <c r="CQ12" s="16">
        <f t="shared" ca="1" si="51"/>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35"/>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36"/>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37"/>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52"/>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38"/>
        <v>1</v>
      </c>
      <c r="DK12" s="16">
        <f t="shared" ca="1" si="39"/>
        <v>4</v>
      </c>
      <c r="DL12" s="16">
        <f t="shared" ca="1" si="40"/>
        <v>1</v>
      </c>
      <c r="DM12" s="16" t="str">
        <f t="shared" ca="1" si="46"/>
        <v>1.1</v>
      </c>
      <c r="DN12" s="16" cm="1">
        <f t="array" aca="1" ref="DN12" ca="1">OFFSET(Horarios!$P$3,DJ12-1,0,DL12,1)</f>
        <v>1</v>
      </c>
      <c r="DO12" s="16"/>
      <c r="DP12" s="16" t="s">
        <v>91</v>
      </c>
      <c r="DQ12" s="16" t="str">
        <f t="shared" ca="1" si="47"/>
        <v>Catar</v>
      </c>
    </row>
    <row r="13" spans="1:121" ht="16" customHeight="1">
      <c r="A13" s="16" t="str">
        <f ca="1">+Equipos!B6</f>
        <v>Canadá</v>
      </c>
      <c r="B13" s="16"/>
      <c r="C13" s="16"/>
      <c r="D13" s="16" t="str">
        <f t="shared" si="53"/>
        <v>Empate</v>
      </c>
      <c r="E13" s="16" t="str">
        <f t="shared" ca="1" si="54"/>
        <v>P.1 (4)</v>
      </c>
      <c r="F13" s="16" t="str">
        <f t="shared" ca="1" si="55"/>
        <v>P.1 (4)</v>
      </c>
      <c r="G13" s="16"/>
      <c r="H13" s="16" t="str">
        <f t="shared" ca="1" si="56"/>
        <v>P.1 (4)</v>
      </c>
      <c r="I13" s="16" t="str">
        <f t="shared" ca="1" si="57"/>
        <v>P.1 (4)</v>
      </c>
      <c r="J13" s="16"/>
      <c r="K13" s="16" t="str">
        <f t="shared" ca="1" si="58"/>
        <v>P.1 (4)</v>
      </c>
      <c r="L13" s="16" t="str">
        <f t="shared" ca="1" si="59"/>
        <v>P.1 (4)</v>
      </c>
      <c r="M13" s="16"/>
      <c r="N13" s="16" t="str">
        <f t="shared" ca="1" si="60"/>
        <v>P.1 (4)</v>
      </c>
      <c r="O13" s="16" t="str">
        <f t="shared" ca="1" si="61"/>
        <v>P.1 (4)</v>
      </c>
      <c r="P13" s="16"/>
      <c r="Q13" s="16" t="str">
        <f t="shared" ca="1" si="62"/>
        <v>P.1 (4)</v>
      </c>
      <c r="R13" s="16" t="str">
        <f t="shared" ca="1" si="63"/>
        <v>P.1 (4)</v>
      </c>
      <c r="S13" s="16"/>
      <c r="T13" s="16" t="str">
        <f t="shared" ca="1" si="64"/>
        <v>P.1 (4)</v>
      </c>
      <c r="U13" s="16" t="str">
        <f t="shared" ca="1" si="65"/>
        <v>P.1 (4)</v>
      </c>
      <c r="V13" s="17"/>
      <c r="W13" s="643"/>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1</v>
      </c>
      <c r="BF13" s="16">
        <f t="shared" ca="1" si="41"/>
        <v>1</v>
      </c>
      <c r="BG13" s="16">
        <f t="shared" ca="1" si="17"/>
        <v>0</v>
      </c>
      <c r="BH13" s="16">
        <f t="shared" ca="1" si="18"/>
        <v>1</v>
      </c>
      <c r="BI13" s="16">
        <f t="shared" ca="1" si="19"/>
        <v>0</v>
      </c>
      <c r="BJ13" s="16">
        <f t="shared" ca="1" si="20"/>
        <v>1</v>
      </c>
      <c r="BK13" s="16">
        <f t="shared" ca="1" si="21"/>
        <v>1</v>
      </c>
      <c r="BL13" s="16">
        <f t="shared" ca="1" si="42"/>
        <v>0</v>
      </c>
      <c r="BM13" s="16" t="str">
        <f t="shared" ca="1" si="22"/>
        <v>4B</v>
      </c>
      <c r="BN13" s="16" t="str">
        <f t="shared" ca="1" si="23"/>
        <v>4B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4"/>
        <v>0</v>
      </c>
      <c r="BV13" s="16">
        <f t="shared" ca="1" si="25"/>
        <v>1</v>
      </c>
      <c r="BW13" s="16">
        <f t="shared" ca="1" si="26"/>
        <v>0</v>
      </c>
      <c r="BX13" s="16">
        <f t="shared" ca="1" si="48"/>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27"/>
        <v>1</v>
      </c>
      <c r="CB13" s="16">
        <f t="shared" ca="1" si="28"/>
        <v>1</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29"/>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0"/>
        <v>0</v>
      </c>
      <c r="CJ13" s="16">
        <f t="shared" ca="1" si="31"/>
        <v>1</v>
      </c>
      <c r="CK13" s="16">
        <f t="shared" ca="1" si="32"/>
        <v>0</v>
      </c>
      <c r="CL13" s="16">
        <f t="shared" ca="1" si="50"/>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33"/>
        <v>1</v>
      </c>
      <c r="CP13" s="16">
        <f t="shared" ca="1" si="34"/>
        <v>1</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35"/>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36"/>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37"/>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52"/>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38"/>
        <v>1</v>
      </c>
      <c r="DK13" s="16">
        <f t="shared" ca="1" si="39"/>
        <v>4</v>
      </c>
      <c r="DL13" s="16">
        <f t="shared" ca="1" si="40"/>
        <v>1</v>
      </c>
      <c r="DM13" s="16" t="str">
        <f t="shared" ca="1" si="46"/>
        <v>1.1</v>
      </c>
      <c r="DN13" s="16" cm="1">
        <f t="array" aca="1" ref="DN13" ca="1">OFFSET(Horarios!$P$3,DJ13-1,0,DL13,1)</f>
        <v>1</v>
      </c>
      <c r="DO13" s="16"/>
      <c r="DP13" s="16" t="s">
        <v>662</v>
      </c>
      <c r="DQ13" s="16" t="str">
        <f t="shared" ca="1" si="47"/>
        <v>Suiza</v>
      </c>
    </row>
    <row r="14" spans="1:121" ht="16" customHeight="1">
      <c r="A14" s="16" t="str">
        <f ca="1">+Equipos!B7</f>
        <v>Bosnia y Herzegovina</v>
      </c>
      <c r="B14" s="16"/>
      <c r="C14" s="16"/>
      <c r="D14" s="16" t="str">
        <f t="shared" si="53"/>
        <v>Pendiente</v>
      </c>
      <c r="E14" s="16" t="str">
        <f t="shared" si="54"/>
        <v>-</v>
      </c>
      <c r="F14" s="16" t="str">
        <f t="shared" si="55"/>
        <v>-</v>
      </c>
      <c r="G14" s="16"/>
      <c r="H14" s="16" t="str">
        <f t="shared" si="56"/>
        <v>-</v>
      </c>
      <c r="I14" s="16" t="str">
        <f t="shared" si="57"/>
        <v>-</v>
      </c>
      <c r="J14" s="16"/>
      <c r="K14" s="16" t="str">
        <f t="shared" si="58"/>
        <v>-</v>
      </c>
      <c r="L14" s="16" t="str">
        <f t="shared" si="59"/>
        <v>-</v>
      </c>
      <c r="M14" s="16"/>
      <c r="N14" s="16" t="str">
        <f t="shared" si="60"/>
        <v>-</v>
      </c>
      <c r="O14" s="16" t="str">
        <f t="shared" si="61"/>
        <v>-</v>
      </c>
      <c r="P14" s="16"/>
      <c r="Q14" s="16" t="str">
        <f t="shared" si="62"/>
        <v>-</v>
      </c>
      <c r="R14" s="16" t="str">
        <f t="shared" si="63"/>
        <v>-</v>
      </c>
      <c r="S14" s="16"/>
      <c r="T14" s="16" t="str">
        <f t="shared" si="64"/>
        <v>-</v>
      </c>
      <c r="U14" s="16" t="str">
        <f t="shared" si="65"/>
        <v>-</v>
      </c>
      <c r="V14" s="17"/>
      <c r="W14" s="643"/>
      <c r="X14" s="24">
        <f ca="1">Horarios!C14</f>
        <v>46191.875</v>
      </c>
      <c r="Y14" s="25">
        <f ca="1">Horarios!C14</f>
        <v>46191.875</v>
      </c>
      <c r="Z14" s="26" t="str">
        <f>$Z$6</f>
        <v>J2</v>
      </c>
      <c r="AA14" s="27" t="str">
        <f ca="1">A16</f>
        <v>Suiza</v>
      </c>
      <c r="AB14" s="49" t="e" cm="1" vm="8">
        <f t="array" aca="1" ref="AB14" ca="1">Ver_flag_local</f>
        <v>#VALUE!</v>
      </c>
      <c r="AC14" s="50"/>
      <c r="AD14" s="51"/>
      <c r="AE14" s="574" t="e" cm="1" vm="6">
        <f t="array" aca="1" ref="AE14" ca="1">Ver_flag_visit</f>
        <v>#VALUE!</v>
      </c>
      <c r="AF14" s="32" t="str">
        <f ca="1">A14</f>
        <v>Bosnia y Herzegovina</v>
      </c>
      <c r="AG14" s="309">
        <f t="shared" si="66"/>
        <v>0</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1</v>
      </c>
      <c r="AN14" s="36">
        <f t="shared" ca="1" si="69"/>
        <v>1</v>
      </c>
      <c r="AO14" s="36">
        <f t="shared" ca="1" si="69"/>
        <v>0</v>
      </c>
      <c r="AP14" s="36">
        <f t="shared" ca="1" si="69"/>
        <v>1</v>
      </c>
      <c r="AQ14" s="36">
        <f t="shared" ca="1" si="69"/>
        <v>0</v>
      </c>
      <c r="AR14" s="36">
        <f t="shared" ca="1" si="69"/>
        <v>1</v>
      </c>
      <c r="AS14" s="36">
        <f t="shared" ca="1" si="69"/>
        <v>1</v>
      </c>
      <c r="AT14" s="70">
        <f t="shared" ca="1" si="69"/>
        <v>0</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1</v>
      </c>
      <c r="BF14" s="16">
        <f t="shared" ca="1" si="41"/>
        <v>1</v>
      </c>
      <c r="BG14" s="16">
        <f t="shared" ca="1" si="17"/>
        <v>0</v>
      </c>
      <c r="BH14" s="16">
        <f t="shared" ca="1" si="18"/>
        <v>1</v>
      </c>
      <c r="BI14" s="16">
        <f t="shared" ca="1" si="19"/>
        <v>0</v>
      </c>
      <c r="BJ14" s="16">
        <f t="shared" ca="1" si="20"/>
        <v>1</v>
      </c>
      <c r="BK14" s="16">
        <f t="shared" ca="1" si="21"/>
        <v>1</v>
      </c>
      <c r="BL14" s="16">
        <f t="shared" ca="1" si="42"/>
        <v>0</v>
      </c>
      <c r="BM14" s="16" t="str">
        <f t="shared" ca="1" si="22"/>
        <v>2C</v>
      </c>
      <c r="BN14" s="16" t="str">
        <f t="shared" ca="1" si="23"/>
        <v>2C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4"/>
        <v>0</v>
      </c>
      <c r="BV14" s="16">
        <f t="shared" ca="1" si="25"/>
        <v>1</v>
      </c>
      <c r="BW14" s="16">
        <f t="shared" ca="1" si="26"/>
        <v>0</v>
      </c>
      <c r="BX14" s="16">
        <f t="shared" ca="1" si="48"/>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27"/>
        <v>1</v>
      </c>
      <c r="CB14" s="16">
        <f t="shared" ca="1" si="28"/>
        <v>1</v>
      </c>
      <c r="CC14" s="16">
        <f t="shared" ca="1" si="49"/>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29"/>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0"/>
        <v>0</v>
      </c>
      <c r="CJ14" s="16">
        <f t="shared" ca="1" si="31"/>
        <v>1</v>
      </c>
      <c r="CK14" s="16">
        <f t="shared" ca="1" si="32"/>
        <v>0</v>
      </c>
      <c r="CL14" s="16">
        <f t="shared" ca="1" si="50"/>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33"/>
        <v>1</v>
      </c>
      <c r="CP14" s="16">
        <f t="shared" ca="1" si="34"/>
        <v>1</v>
      </c>
      <c r="CQ14" s="16">
        <f t="shared" ca="1" si="51"/>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35"/>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36"/>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37"/>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52"/>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38"/>
        <v>1</v>
      </c>
      <c r="DK14" s="16">
        <f t="shared" ca="1" si="39"/>
        <v>4</v>
      </c>
      <c r="DL14" s="16">
        <f t="shared" ca="1" si="40"/>
        <v>1</v>
      </c>
      <c r="DM14" s="16" t="str">
        <f t="shared" ca="1" si="46"/>
        <v>1.1</v>
      </c>
      <c r="DN14" s="16" cm="1">
        <f t="array" aca="1" ref="DN14" ca="1">OFFSET(Horarios!$P$3,DJ14-1,0,DL14,1)</f>
        <v>1</v>
      </c>
      <c r="DO14" s="16"/>
      <c r="DP14" s="16" t="s">
        <v>663</v>
      </c>
      <c r="DQ14" s="16" t="str">
        <f t="shared" ca="1" si="47"/>
        <v>Escocia</v>
      </c>
    </row>
    <row r="15" spans="1:121" ht="16" customHeight="1">
      <c r="A15" s="16" t="str">
        <f ca="1">+Equipos!B8</f>
        <v>Catar</v>
      </c>
      <c r="B15" s="16"/>
      <c r="C15" s="16"/>
      <c r="D15" s="16" t="str">
        <f t="shared" si="53"/>
        <v>Pendiente</v>
      </c>
      <c r="E15" s="16" t="str">
        <f t="shared" si="54"/>
        <v>-</v>
      </c>
      <c r="F15" s="16" t="str">
        <f t="shared" si="55"/>
        <v>-</v>
      </c>
      <c r="G15" s="16"/>
      <c r="H15" s="16" t="str">
        <f t="shared" si="56"/>
        <v>-</v>
      </c>
      <c r="I15" s="16" t="str">
        <f t="shared" si="57"/>
        <v>-</v>
      </c>
      <c r="J15" s="16"/>
      <c r="K15" s="16" t="str">
        <f t="shared" si="58"/>
        <v>-</v>
      </c>
      <c r="L15" s="16" t="str">
        <f t="shared" si="59"/>
        <v>-</v>
      </c>
      <c r="M15" s="16"/>
      <c r="N15" s="16" t="str">
        <f t="shared" si="60"/>
        <v>-</v>
      </c>
      <c r="O15" s="16" t="str">
        <f t="shared" si="61"/>
        <v>-</v>
      </c>
      <c r="P15" s="16"/>
      <c r="Q15" s="16" t="str">
        <f t="shared" si="62"/>
        <v>-</v>
      </c>
      <c r="R15" s="16" t="str">
        <f t="shared" si="63"/>
        <v>-</v>
      </c>
      <c r="S15" s="16"/>
      <c r="T15" s="16" t="str">
        <f t="shared" si="64"/>
        <v>-</v>
      </c>
      <c r="U15" s="16" t="str">
        <f t="shared" si="65"/>
        <v>-</v>
      </c>
      <c r="V15" s="17"/>
      <c r="W15" s="643"/>
      <c r="X15" s="24">
        <f ca="1">Horarios!C15</f>
        <v>46192</v>
      </c>
      <c r="Y15" s="25">
        <f ca="1">Horarios!C15</f>
        <v>46192</v>
      </c>
      <c r="Z15" s="26" t="str">
        <f>$Z$6</f>
        <v>J2</v>
      </c>
      <c r="AA15" s="27" t="str">
        <f ca="1">A13</f>
        <v>Canadá</v>
      </c>
      <c r="AB15" s="49" t="e" cm="1" vm="5">
        <f t="array" aca="1" ref="AB15" ca="1">Ver_flag_local</f>
        <v>#VALUE!</v>
      </c>
      <c r="AC15" s="50"/>
      <c r="AD15" s="51"/>
      <c r="AE15" s="574" t="e" cm="1" vm="7">
        <f t="array" aca="1" ref="AE15" ca="1">Ver_flag_visit</f>
        <v>#VALUE!</v>
      </c>
      <c r="AF15" s="32" t="str">
        <f ca="1">A15</f>
        <v>Catar</v>
      </c>
      <c r="AG15" s="309">
        <f t="shared" si="66"/>
        <v>0</v>
      </c>
      <c r="AH15" s="187">
        <v>27</v>
      </c>
      <c r="AI15" s="173" t="str">
        <f t="shared" ref="AI15:AI17" si="70">AJ15&amp;$B$12</f>
        <v>2B</v>
      </c>
      <c r="AJ15" s="71">
        <v>2</v>
      </c>
      <c r="AK15" s="581" t="e" cm="1" vm="6">
        <f t="array" aca="1" ref="AK15" ca="1">Ver_flag_visit</f>
        <v>#VALUE!</v>
      </c>
      <c r="AL15" s="37" t="str">
        <f ca="1">IFERROR(INDEX($BD$6:$BD$53,MATCH(AI15,$BN$6:$BN$53,0)),"")</f>
        <v>Bosnia y Herzegovina</v>
      </c>
      <c r="AM15" s="38">
        <f t="shared" ca="1" si="69"/>
        <v>1</v>
      </c>
      <c r="AN15" s="39">
        <f t="shared" ca="1" si="69"/>
        <v>1</v>
      </c>
      <c r="AO15" s="39">
        <f t="shared" ca="1" si="69"/>
        <v>0</v>
      </c>
      <c r="AP15" s="39">
        <f t="shared" ca="1" si="69"/>
        <v>1</v>
      </c>
      <c r="AQ15" s="39">
        <f t="shared" ca="1" si="69"/>
        <v>0</v>
      </c>
      <c r="AR15" s="39">
        <f t="shared" ca="1" si="69"/>
        <v>1</v>
      </c>
      <c r="AS15" s="39">
        <f t="shared" ca="1" si="69"/>
        <v>1</v>
      </c>
      <c r="AT15" s="72">
        <f t="shared" ca="1" si="69"/>
        <v>0</v>
      </c>
      <c r="AU15" s="316">
        <f ca="1">INDEX($DL$6:$DL$53,MATCH(AI15,$DP$6:$DP$53,0))</f>
        <v>1</v>
      </c>
      <c r="AV15" s="174" t="str">
        <f ca="1">INDEX($BD$6:$BD$53,MATCH(AI15,$BM$6:$BM$53,0))</f>
        <v>Bosnia y Herzegovina</v>
      </c>
      <c r="AW15" s="202"/>
      <c r="AX15" s="163"/>
      <c r="AY15" s="195" t="str">
        <f ca="1">+A14</f>
        <v>Bosnia y Herzegovina</v>
      </c>
      <c r="AZ15" s="196"/>
      <c r="BA15" s="168"/>
      <c r="BC15" s="16" t="str">
        <f ca="1">+INDEX(T_Equipos[Grupo],MATCH(WORLDCUP!BD15,T_Equipos[NombreEquipo],0))</f>
        <v>C</v>
      </c>
      <c r="BD15" s="16" t="str">
        <f ca="1">+Equipos!B11</f>
        <v>Marruecos</v>
      </c>
      <c r="BE15" s="16">
        <f t="shared" ca="1" si="16"/>
        <v>1</v>
      </c>
      <c r="BF15" s="16">
        <f t="shared" ca="1" si="41"/>
        <v>1</v>
      </c>
      <c r="BG15" s="16">
        <f t="shared" ca="1" si="17"/>
        <v>0</v>
      </c>
      <c r="BH15" s="16">
        <f t="shared" ca="1" si="18"/>
        <v>1</v>
      </c>
      <c r="BI15" s="16">
        <f t="shared" ca="1" si="19"/>
        <v>0</v>
      </c>
      <c r="BJ15" s="16">
        <f t="shared" ca="1" si="20"/>
        <v>1</v>
      </c>
      <c r="BK15" s="16">
        <f t="shared" ca="1" si="21"/>
        <v>1</v>
      </c>
      <c r="BL15" s="16">
        <f t="shared" ca="1" si="42"/>
        <v>0</v>
      </c>
      <c r="BM15" s="16" t="str">
        <f t="shared" ca="1" si="22"/>
        <v>3C</v>
      </c>
      <c r="BN15" s="16" t="str">
        <f t="shared" ca="1" si="23"/>
        <v>3C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4"/>
        <v>0</v>
      </c>
      <c r="BV15" s="16">
        <f t="shared" ca="1" si="25"/>
        <v>1</v>
      </c>
      <c r="BW15" s="16">
        <f t="shared" ca="1" si="26"/>
        <v>0</v>
      </c>
      <c r="BX15" s="16">
        <f t="shared" ca="1" si="48"/>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27"/>
        <v>1</v>
      </c>
      <c r="CB15" s="16">
        <f t="shared" ca="1" si="28"/>
        <v>1</v>
      </c>
      <c r="CC15" s="16">
        <f t="shared" ca="1" si="49"/>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29"/>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0"/>
        <v>0</v>
      </c>
      <c r="CJ15" s="16">
        <f t="shared" ca="1" si="31"/>
        <v>1</v>
      </c>
      <c r="CK15" s="16">
        <f t="shared" ca="1" si="32"/>
        <v>0</v>
      </c>
      <c r="CL15" s="16">
        <f t="shared" ca="1" si="50"/>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33"/>
        <v>1</v>
      </c>
      <c r="CP15" s="16">
        <f t="shared" ca="1" si="34"/>
        <v>1</v>
      </c>
      <c r="CQ15" s="16">
        <f t="shared" ca="1" si="51"/>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35"/>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36"/>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37"/>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52"/>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38"/>
        <v>2</v>
      </c>
      <c r="DK15" s="16">
        <f t="shared" ca="1" si="39"/>
        <v>4</v>
      </c>
      <c r="DL15" s="16">
        <f t="shared" ca="1" si="40"/>
        <v>1</v>
      </c>
      <c r="DM15" s="16" t="str">
        <f t="shared" ca="1" si="46"/>
        <v>2.1</v>
      </c>
      <c r="DN15" s="16" cm="1">
        <f t="array" aca="1" ref="DN15" ca="1">OFFSET(Horarios!$P$3,DJ15-1,0,DL15,1)</f>
        <v>2</v>
      </c>
      <c r="DO15" s="16"/>
      <c r="DP15" s="16" t="s">
        <v>668</v>
      </c>
      <c r="DQ15" s="16" t="str">
        <f t="shared" ca="1" si="47"/>
        <v>Brasil</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3"/>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7">
        <f t="array" aca="1" ref="AK16" ca="1">Ver_flag_visit</f>
        <v>#VALUE!</v>
      </c>
      <c r="AL16" s="37" t="str">
        <f ca="1">IFERROR(INDEX($BD$6:$BD$53,MATCH(AI16,$BN$6:$BN$53,0)),"")</f>
        <v>Catar</v>
      </c>
      <c r="AM16" s="38">
        <f t="shared" ca="1" si="69"/>
        <v>1</v>
      </c>
      <c r="AN16" s="39">
        <f t="shared" ca="1" si="69"/>
        <v>1</v>
      </c>
      <c r="AO16" s="39">
        <f t="shared" ca="1" si="69"/>
        <v>0</v>
      </c>
      <c r="AP16" s="39">
        <f t="shared" ca="1" si="69"/>
        <v>1</v>
      </c>
      <c r="AQ16" s="39">
        <f t="shared" ca="1" si="69"/>
        <v>0</v>
      </c>
      <c r="AR16" s="39">
        <f t="shared" ca="1" si="69"/>
        <v>1</v>
      </c>
      <c r="AS16" s="39">
        <f t="shared" ca="1" si="69"/>
        <v>1</v>
      </c>
      <c r="AT16" s="72">
        <f t="shared" ca="1" si="69"/>
        <v>0</v>
      </c>
      <c r="AU16" s="316">
        <f ca="1">INDEX($DL$6:$DL$53,MATCH(AI16,$DP$6:$DP$53,0))</f>
        <v>1</v>
      </c>
      <c r="AV16" s="174" t="str">
        <f ca="1">INDEX($BD$6:$BD$53,MATCH(AI16,$BM$6:$BM$53,0))</f>
        <v>Catar</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1</v>
      </c>
      <c r="BG16" s="16">
        <f t="shared" ca="1" si="17"/>
        <v>0</v>
      </c>
      <c r="BH16" s="16">
        <f t="shared" ca="1" si="18"/>
        <v>0</v>
      </c>
      <c r="BI16" s="16">
        <f t="shared" ca="1" si="19"/>
        <v>1</v>
      </c>
      <c r="BJ16" s="16">
        <f t="shared" ca="1" si="20"/>
        <v>0</v>
      </c>
      <c r="BK16" s="16">
        <f t="shared" ca="1" si="21"/>
        <v>1</v>
      </c>
      <c r="BL16" s="16">
        <f t="shared" ca="1" si="42"/>
        <v>-1</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2</v>
      </c>
      <c r="DK16" s="16">
        <f t="shared" ca="1" si="39"/>
        <v>4</v>
      </c>
      <c r="DL16" s="16">
        <f t="shared" ca="1" si="40"/>
        <v>1</v>
      </c>
      <c r="DM16" s="16" t="str">
        <f t="shared" ca="1" si="46"/>
        <v>2.1</v>
      </c>
      <c r="DN16" s="16" cm="1">
        <f t="array" aca="1" ref="DN16" ca="1">OFFSET(Horarios!$P$3,DJ16-1,0,DL16,1)</f>
        <v>2</v>
      </c>
      <c r="DO16" s="16"/>
      <c r="DP16" s="16" t="s">
        <v>92</v>
      </c>
      <c r="DQ16" s="16" t="str">
        <f t="shared" ca="1" si="47"/>
        <v>Marruecos</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4"/>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8">
        <f t="array" aca="1" ref="AK17" ca="1">Ver_flag_visit</f>
        <v>#VALUE!</v>
      </c>
      <c r="AL17" s="74" t="str">
        <f ca="1">IFERROR(INDEX($BD$6:$BD$53,MATCH(AI17,$BN$6:$BN$53,0)),"")</f>
        <v>Suiza</v>
      </c>
      <c r="AM17" s="75">
        <f t="shared" ca="1" si="69"/>
        <v>1</v>
      </c>
      <c r="AN17" s="76">
        <f t="shared" ca="1" si="69"/>
        <v>1</v>
      </c>
      <c r="AO17" s="76">
        <f t="shared" ca="1" si="69"/>
        <v>0</v>
      </c>
      <c r="AP17" s="76">
        <f t="shared" ca="1" si="69"/>
        <v>1</v>
      </c>
      <c r="AQ17" s="76">
        <f t="shared" ca="1" si="69"/>
        <v>0</v>
      </c>
      <c r="AR17" s="76">
        <f t="shared" ca="1" si="69"/>
        <v>1</v>
      </c>
      <c r="AS17" s="76">
        <f t="shared" ca="1" si="69"/>
        <v>1</v>
      </c>
      <c r="AT17" s="77">
        <f t="shared" ca="1" si="69"/>
        <v>0</v>
      </c>
      <c r="AU17" s="316">
        <f ca="1">INDEX($DL$6:$DL$53,MATCH(AI17,$DP$6:$DP$53,0))</f>
        <v>1</v>
      </c>
      <c r="AV17" s="174" t="str">
        <f ca="1">INDEX($BD$6:$BD$53,MATCH(AI17,$BM$6:$BM$53,0))</f>
        <v>Suiza</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1</v>
      </c>
      <c r="BG17" s="16">
        <f t="shared" ca="1" si="17"/>
        <v>1</v>
      </c>
      <c r="BH17" s="16">
        <f t="shared" ca="1" si="18"/>
        <v>0</v>
      </c>
      <c r="BI17" s="16">
        <f t="shared" ca="1" si="19"/>
        <v>0</v>
      </c>
      <c r="BJ17" s="16">
        <f t="shared" ca="1" si="20"/>
        <v>1</v>
      </c>
      <c r="BK17" s="16">
        <f t="shared" ca="1" si="21"/>
        <v>0</v>
      </c>
      <c r="BL17" s="16">
        <f t="shared" ca="1" si="42"/>
        <v>1</v>
      </c>
      <c r="BM17" s="16" t="str">
        <f t="shared" ca="1" si="22"/>
        <v>1C</v>
      </c>
      <c r="BN17" s="16" t="str">
        <f t="shared" ca="1" si="23"/>
        <v>1C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52"/>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38"/>
        <v>4</v>
      </c>
      <c r="DK17" s="16">
        <f t="shared" ca="1" si="39"/>
        <v>4</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3</v>
      </c>
      <c r="BF18" s="16">
        <f t="shared" ca="1" si="41"/>
        <v>1</v>
      </c>
      <c r="BG18" s="16">
        <f t="shared" ca="1" si="17"/>
        <v>1</v>
      </c>
      <c r="BH18" s="16">
        <f t="shared" ca="1" si="18"/>
        <v>0</v>
      </c>
      <c r="BI18" s="16">
        <f t="shared" ca="1" si="19"/>
        <v>0</v>
      </c>
      <c r="BJ18" s="16">
        <f t="shared" ca="1" si="20"/>
        <v>4</v>
      </c>
      <c r="BK18" s="16">
        <f t="shared" ca="1" si="21"/>
        <v>1</v>
      </c>
      <c r="BL18" s="16">
        <f t="shared" ca="1" si="42"/>
        <v>3</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4"/>
        <v>0</v>
      </c>
      <c r="BV18" s="16">
        <f t="shared" ca="1" si="25"/>
        <v>0</v>
      </c>
      <c r="BW18" s="16">
        <f t="shared" ca="1" si="26"/>
        <v>0</v>
      </c>
      <c r="BX18" s="16">
        <f t="shared" ca="1" si="48"/>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27"/>
        <v>0</v>
      </c>
      <c r="CB18" s="16">
        <f t="shared" ca="1" si="28"/>
        <v>0</v>
      </c>
      <c r="CC18" s="16">
        <f t="shared" ca="1" si="49"/>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29"/>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0"/>
        <v>0</v>
      </c>
      <c r="CJ18" s="16">
        <f t="shared" ca="1" si="31"/>
        <v>0</v>
      </c>
      <c r="CK18" s="16">
        <f t="shared" ca="1" si="32"/>
        <v>0</v>
      </c>
      <c r="CL18" s="16">
        <f t="shared" ca="1" si="50"/>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33"/>
        <v>0</v>
      </c>
      <c r="CP18" s="16">
        <f t="shared" ca="1" si="34"/>
        <v>0</v>
      </c>
      <c r="CQ18" s="16">
        <f t="shared" ca="1" si="51"/>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35"/>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36"/>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4</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0</v>
      </c>
      <c r="BF19" s="16">
        <f t="shared" ca="1" si="41"/>
        <v>1</v>
      </c>
      <c r="BG19" s="16">
        <f t="shared" ca="1" si="17"/>
        <v>0</v>
      </c>
      <c r="BH19" s="16">
        <f t="shared" ca="1" si="18"/>
        <v>0</v>
      </c>
      <c r="BI19" s="16">
        <f t="shared" ca="1" si="19"/>
        <v>1</v>
      </c>
      <c r="BJ19" s="16">
        <f t="shared" ca="1" si="20"/>
        <v>1</v>
      </c>
      <c r="BK19" s="16">
        <f t="shared" ca="1" si="21"/>
        <v>4</v>
      </c>
      <c r="BL19" s="16">
        <f t="shared" ca="1" si="42"/>
        <v>-3</v>
      </c>
      <c r="BM19" s="16" t="str">
        <f t="shared" ca="1" si="22"/>
        <v>4D</v>
      </c>
      <c r="BN19" s="16" t="str">
        <f t="shared" ca="1" si="23"/>
        <v>4D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4"/>
        <v>0</v>
      </c>
      <c r="BV19" s="16">
        <f t="shared" ca="1" si="25"/>
        <v>0</v>
      </c>
      <c r="BW19" s="16">
        <f t="shared" ca="1" si="26"/>
        <v>0</v>
      </c>
      <c r="BX19" s="16">
        <f t="shared" ca="1" si="48"/>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27"/>
        <v>0</v>
      </c>
      <c r="CB19" s="16">
        <f t="shared" ca="1" si="28"/>
        <v>0</v>
      </c>
      <c r="CC19" s="16">
        <f t="shared" ca="1" si="49"/>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29"/>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0"/>
        <v>0</v>
      </c>
      <c r="CJ19" s="16">
        <f t="shared" ca="1" si="31"/>
        <v>0</v>
      </c>
      <c r="CK19" s="16">
        <f t="shared" ca="1" si="32"/>
        <v>0</v>
      </c>
      <c r="CL19" s="16">
        <f t="shared" ca="1" si="50"/>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33"/>
        <v>0</v>
      </c>
      <c r="CP19" s="16">
        <f t="shared" ca="1" si="34"/>
        <v>0</v>
      </c>
      <c r="CQ19" s="16">
        <f t="shared" ca="1" si="51"/>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35"/>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36"/>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52"/>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38"/>
        <v>2</v>
      </c>
      <c r="DK19" s="16">
        <f t="shared" ca="1" si="39"/>
        <v>4</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P.2 (2)</v>
      </c>
      <c r="F20" s="16" t="str">
        <f t="shared" ref="F20:F25" ca="1" si="73">IF(D20="Pendiente","-",INDEX($BT$6:$BT$53,MATCH($AF20,$BD$6:$BD$53,0)))</f>
        <v>P.2 (2)</v>
      </c>
      <c r="G20" s="16"/>
      <c r="H20" s="16" t="str">
        <f t="shared" ref="H20:H25" ca="1" si="74">IF(D20="Pendiente","-",INDEX($BZ$6:$BZ$53,MATCH($AA20,$BD$6:$BD$53,0)))</f>
        <v>P.2 (2)</v>
      </c>
      <c r="I20" s="16" t="str">
        <f t="shared" ref="I20:I25" ca="1" si="75">IF(D20="Pendiente","-",INDEX($BZ$6:$BZ$53,MATCH($AF20,$BD$6:$BD$53,0)))</f>
        <v>P.2 (2)</v>
      </c>
      <c r="J20" s="16"/>
      <c r="K20" s="16" t="str">
        <f t="shared" ref="K20:K25" ca="1" si="76">IF(D20="Pendiente","-",INDEX($CE$6:$CE$53,MATCH($AA20,$BD$6:$BD$53,0)))</f>
        <v>P.2 (2)</v>
      </c>
      <c r="L20" s="16" t="str">
        <f t="shared" ref="L20:L25" ca="1" si="77">IF(D20="Pendiente","-",INDEX($CE$6:$CE$53,MATCH($AF20,$BD$6:$BD$53,0)))</f>
        <v>P.2 (2)</v>
      </c>
      <c r="M20" s="16"/>
      <c r="N20" s="16" t="str">
        <f t="shared" ref="N20:N25" ca="1" si="78">IF(D20="Pendiente","-",INDEX($CH$6:$CH$53,MATCH($AA20,$BD$6:$BD$53,0)))</f>
        <v>P.2 (2)</v>
      </c>
      <c r="O20" s="16" t="str">
        <f t="shared" ref="O20:O25" ca="1" si="79">IF(D20="Pendiente","-",INDEX($CH$6:$CH$53,MATCH($AF20,$BD$6:$BD$53,0)))</f>
        <v>P.2 (2)</v>
      </c>
      <c r="P20" s="16"/>
      <c r="Q20" s="16" t="str">
        <f t="shared" ref="Q20:Q25" ca="1" si="80">IF(D20="Pendiente","-",INDEX($CN$6:$CN$53,MATCH($AA20,$BD$6:$BD$53,0)))</f>
        <v>P.2 (2)</v>
      </c>
      <c r="R20" s="16" t="str">
        <f t="shared" ref="R20:R25" ca="1" si="81">IF(D20="Pendiente","-",INDEX($CN$6:$CN$53,MATCH($AF20,$BD$6:$BD$53,0)))</f>
        <v>P.2 (2)</v>
      </c>
      <c r="S20" s="16"/>
      <c r="T20" s="16" t="str">
        <f t="shared" ref="T20:T25" ca="1" si="82">IF(D20="Pendiente","-",INDEX($CS$6:$CS$53,MATCH($AA20,$BD$6:$BD$53,0)))</f>
        <v>P.2 (2)</v>
      </c>
      <c r="U20" s="16" t="str">
        <f t="shared" ref="U20:U25" ca="1" si="83">IF(D20="Pendiente","-",INDEX($CS$6:$CS$53,MATCH($AF20,$BD$6:$BD$53,0)))</f>
        <v>P.2 (2)</v>
      </c>
      <c r="V20" s="17"/>
      <c r="W20" s="652"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1</v>
      </c>
      <c r="BG20" s="16">
        <f t="shared" ca="1" si="17"/>
        <v>1</v>
      </c>
      <c r="BH20" s="16">
        <f t="shared" ca="1" si="18"/>
        <v>0</v>
      </c>
      <c r="BI20" s="16">
        <f t="shared" ca="1" si="19"/>
        <v>0</v>
      </c>
      <c r="BJ20" s="16">
        <f t="shared" ca="1" si="20"/>
        <v>2</v>
      </c>
      <c r="BK20" s="16">
        <f t="shared" ca="1" si="21"/>
        <v>0</v>
      </c>
      <c r="BL20" s="16">
        <f t="shared" ca="1" si="42"/>
        <v>2</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4"/>
        <v>0</v>
      </c>
      <c r="BV20" s="16">
        <f t="shared" ca="1" si="25"/>
        <v>0</v>
      </c>
      <c r="BW20" s="16">
        <f t="shared" ca="1" si="26"/>
        <v>0</v>
      </c>
      <c r="BX20" s="16">
        <f t="shared" ca="1" si="48"/>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27"/>
        <v>0</v>
      </c>
      <c r="CB20" s="16">
        <f t="shared" ca="1" si="28"/>
        <v>0</v>
      </c>
      <c r="CC20" s="16">
        <f t="shared" ca="1" si="49"/>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29"/>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0"/>
        <v>0</v>
      </c>
      <c r="CJ20" s="16">
        <f t="shared" ca="1" si="31"/>
        <v>0</v>
      </c>
      <c r="CK20" s="16">
        <f t="shared" ca="1" si="32"/>
        <v>0</v>
      </c>
      <c r="CL20" s="16">
        <f t="shared" ca="1" si="50"/>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33"/>
        <v>0</v>
      </c>
      <c r="CP20" s="16">
        <f t="shared" ca="1" si="34"/>
        <v>0</v>
      </c>
      <c r="CQ20" s="16">
        <f t="shared" ca="1" si="51"/>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35"/>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36"/>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4</v>
      </c>
      <c r="DL20" s="16">
        <f t="shared" ca="1" si="40"/>
        <v>1</v>
      </c>
      <c r="DM20" s="16" t="str">
        <f t="shared" ca="1" si="46"/>
        <v>3.1</v>
      </c>
      <c r="DN20" s="16" cm="1">
        <f t="array" aca="1" ref="DN20" ca="1">OFFSET(Horarios!$P$3,DJ20-1,0,DL20,1)</f>
        <v>3</v>
      </c>
      <c r="DO20" s="16"/>
      <c r="DP20" s="16" t="s">
        <v>93</v>
      </c>
      <c r="DQ20" s="16" t="str">
        <f t="shared" ca="1" si="47"/>
        <v>Turquía</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2"/>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1</v>
      </c>
      <c r="BG21" s="16">
        <f t="shared" ca="1" si="17"/>
        <v>0</v>
      </c>
      <c r="BH21" s="16">
        <f t="shared" ca="1" si="18"/>
        <v>0</v>
      </c>
      <c r="BI21" s="16">
        <f t="shared" ca="1" si="19"/>
        <v>1</v>
      </c>
      <c r="BJ21" s="16">
        <f t="shared" ca="1" si="20"/>
        <v>0</v>
      </c>
      <c r="BK21" s="16">
        <f t="shared" ca="1" si="21"/>
        <v>2</v>
      </c>
      <c r="BL21" s="16">
        <f t="shared" ca="1" si="42"/>
        <v>-2</v>
      </c>
      <c r="BM21" s="16" t="str">
        <f t="shared" ca="1" si="22"/>
        <v>3D</v>
      </c>
      <c r="BN21" s="16" t="str">
        <f t="shared" ca="1" si="23"/>
        <v>3D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4"/>
        <v>0</v>
      </c>
      <c r="BV21" s="16">
        <f t="shared" ca="1" si="25"/>
        <v>0</v>
      </c>
      <c r="BW21" s="16">
        <f t="shared" ca="1" si="26"/>
        <v>0</v>
      </c>
      <c r="BX21" s="16">
        <f t="shared" ca="1" si="48"/>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27"/>
        <v>0</v>
      </c>
      <c r="CB21" s="16">
        <f t="shared" ca="1" si="28"/>
        <v>0</v>
      </c>
      <c r="CC21" s="16">
        <f t="shared" ca="1" si="49"/>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29"/>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0"/>
        <v>0</v>
      </c>
      <c r="CJ21" s="16">
        <f t="shared" ca="1" si="31"/>
        <v>0</v>
      </c>
      <c r="CK21" s="16">
        <f t="shared" ca="1" si="32"/>
        <v>0</v>
      </c>
      <c r="CL21" s="16">
        <f t="shared" ca="1" si="50"/>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33"/>
        <v>0</v>
      </c>
      <c r="CP21" s="16">
        <f t="shared" ca="1" si="34"/>
        <v>0</v>
      </c>
      <c r="CQ21" s="16">
        <f t="shared" ca="1" si="51"/>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35"/>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36"/>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52"/>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38"/>
        <v>4</v>
      </c>
      <c r="DK21" s="16">
        <f t="shared" ca="1" si="39"/>
        <v>4</v>
      </c>
      <c r="DL21" s="16">
        <f t="shared" ca="1" si="40"/>
        <v>1</v>
      </c>
      <c r="DM21" s="16" t="str">
        <f t="shared" ca="1" si="46"/>
        <v>4.1</v>
      </c>
      <c r="DN21" s="16" cm="1">
        <f t="array" aca="1" ref="DN21" ca="1">OFFSET(Horarios!$P$3,DJ21-1,0,DL21,1)</f>
        <v>4</v>
      </c>
      <c r="DO21" s="16"/>
      <c r="DP21" s="16" t="s">
        <v>672</v>
      </c>
      <c r="DQ21" s="16" t="str">
        <f t="shared" ca="1" si="47"/>
        <v>Paraguay</v>
      </c>
    </row>
    <row r="22" spans="1:121" ht="16" customHeight="1">
      <c r="A22" s="16" t="str">
        <f ca="1">+Equipos!B11</f>
        <v>Marruecos</v>
      </c>
      <c r="B22" s="16"/>
      <c r="C22" s="16"/>
      <c r="D22" s="16" t="str">
        <f t="shared" si="71"/>
        <v>Pendiente</v>
      </c>
      <c r="E22" s="16" t="str">
        <f t="shared" si="72"/>
        <v>-</v>
      </c>
      <c r="F22" s="16" t="str">
        <f t="shared" si="73"/>
        <v>-</v>
      </c>
      <c r="G22" s="16"/>
      <c r="H22" s="16" t="str">
        <f t="shared" si="74"/>
        <v>-</v>
      </c>
      <c r="I22" s="16" t="str">
        <f t="shared" si="75"/>
        <v>-</v>
      </c>
      <c r="J22" s="16"/>
      <c r="K22" s="16" t="str">
        <f t="shared" si="76"/>
        <v>-</v>
      </c>
      <c r="L22" s="16" t="str">
        <f t="shared" si="77"/>
        <v>-</v>
      </c>
      <c r="M22" s="16"/>
      <c r="N22" s="16" t="str">
        <f t="shared" si="78"/>
        <v>-</v>
      </c>
      <c r="O22" s="16" t="str">
        <f t="shared" si="79"/>
        <v>-</v>
      </c>
      <c r="P22" s="16"/>
      <c r="Q22" s="16" t="str">
        <f t="shared" si="80"/>
        <v>-</v>
      </c>
      <c r="R22" s="16" t="str">
        <f t="shared" si="81"/>
        <v>-</v>
      </c>
      <c r="S22" s="16"/>
      <c r="T22" s="16" t="str">
        <f t="shared" si="82"/>
        <v>-</v>
      </c>
      <c r="U22" s="16" t="str">
        <f t="shared" si="83"/>
        <v>-</v>
      </c>
      <c r="V22" s="17"/>
      <c r="W22" s="652"/>
      <c r="X22" s="24">
        <f ca="1">Horarios!C22</f>
        <v>46193</v>
      </c>
      <c r="Y22" s="25">
        <f ca="1">Horarios!C22</f>
        <v>46193</v>
      </c>
      <c r="Z22" s="26" t="str">
        <f>$Z$6</f>
        <v>J2</v>
      </c>
      <c r="AA22" s="27" t="str">
        <f ca="1">A24</f>
        <v>Escocia</v>
      </c>
      <c r="AB22" s="49" t="e" cm="1" vm="12">
        <f t="array" aca="1" ref="AB22" ca="1">Ver_flag_local</f>
        <v>#VALUE!</v>
      </c>
      <c r="AC22" s="50"/>
      <c r="AD22" s="51"/>
      <c r="AE22" s="574" t="e" cm="1" vm="10">
        <f t="array" aca="1" ref="AE22" ca="1">Ver_flag_visit</f>
        <v>#VALUE!</v>
      </c>
      <c r="AF22" s="32" t="str">
        <f ca="1">A22</f>
        <v>Marruecos</v>
      </c>
      <c r="AG22" s="309">
        <f t="shared" si="84"/>
        <v>0</v>
      </c>
      <c r="AH22" s="187">
        <v>30</v>
      </c>
      <c r="AI22" s="173" t="str">
        <f>AJ22&amp;$B$20</f>
        <v>1C</v>
      </c>
      <c r="AJ22" s="40">
        <v>1</v>
      </c>
      <c r="AK22" s="580" t="e" cm="1" vm="12">
        <f t="array" aca="1" ref="AK22" ca="1">Ver_flag_visit</f>
        <v>#VALUE!</v>
      </c>
      <c r="AL22" s="34" t="str">
        <f ca="1">IFERROR(INDEX($BD$6:$BD$53,MATCH(AI22,$BN$6:$BN$53,0)),"")</f>
        <v>Escocia</v>
      </c>
      <c r="AM22" s="35">
        <f t="shared" ref="AM22:AT25" ca="1" si="87">INDEX($BE$6:$BN$53,MATCH($AL22,$BD$6:$BD$53,0),MATCH(AM$5,$BE$5:$BN$5,0))</f>
        <v>3</v>
      </c>
      <c r="AN22" s="36">
        <f t="shared" ca="1" si="87"/>
        <v>1</v>
      </c>
      <c r="AO22" s="36">
        <f t="shared" ca="1" si="87"/>
        <v>1</v>
      </c>
      <c r="AP22" s="36">
        <f t="shared" ca="1" si="87"/>
        <v>0</v>
      </c>
      <c r="AQ22" s="36">
        <f t="shared" ca="1" si="87"/>
        <v>0</v>
      </c>
      <c r="AR22" s="36">
        <f t="shared" ca="1" si="87"/>
        <v>1</v>
      </c>
      <c r="AS22" s="36">
        <f t="shared" ca="1" si="87"/>
        <v>0</v>
      </c>
      <c r="AT22" s="41">
        <f t="shared" ca="1" si="87"/>
        <v>1</v>
      </c>
      <c r="AU22" s="316">
        <f ca="1">INDEX($DL$6:$DL$53,MATCH(AI22,$DP$6:$DP$53,0))</f>
        <v>1</v>
      </c>
      <c r="AV22" s="174" t="str">
        <f ca="1">INDEX($BD$6:$BD$53,MATCH(AI22,$BM$6:$BM$53,0))</f>
        <v>Escocia</v>
      </c>
      <c r="AW22" s="202"/>
      <c r="AX22" s="163"/>
      <c r="AY22" s="193" t="str">
        <f ca="1">+A21</f>
        <v>Brasil</v>
      </c>
      <c r="AZ22" s="194"/>
      <c r="BA22" s="168"/>
      <c r="BC22" s="16" t="str">
        <f ca="1">+INDEX(T_Equipos[Grupo],MATCH(WORLDCUP!BD22,T_Equipos[NombreEquipo],0))</f>
        <v>E</v>
      </c>
      <c r="BD22" s="16" t="str">
        <f ca="1">+Equipos!B18</f>
        <v>Alemania</v>
      </c>
      <c r="BE22" s="16">
        <f t="shared" ca="1" si="16"/>
        <v>3</v>
      </c>
      <c r="BF22" s="16">
        <f t="shared" ca="1" si="41"/>
        <v>1</v>
      </c>
      <c r="BG22" s="16">
        <f t="shared" ca="1" si="17"/>
        <v>1</v>
      </c>
      <c r="BH22" s="16">
        <f t="shared" ca="1" si="18"/>
        <v>0</v>
      </c>
      <c r="BI22" s="16">
        <f t="shared" ca="1" si="19"/>
        <v>0</v>
      </c>
      <c r="BJ22" s="16">
        <f t="shared" ca="1" si="20"/>
        <v>7</v>
      </c>
      <c r="BK22" s="16">
        <f t="shared" ca="1" si="21"/>
        <v>1</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0</v>
      </c>
      <c r="BV22" s="16">
        <f t="shared" ca="1" si="25"/>
        <v>0</v>
      </c>
      <c r="BW22" s="16">
        <f t="shared" ca="1" si="26"/>
        <v>0</v>
      </c>
      <c r="BX22" s="16">
        <f t="shared" ca="1" si="48"/>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27"/>
        <v>0</v>
      </c>
      <c r="CB22" s="16">
        <f t="shared" ca="1" si="28"/>
        <v>0</v>
      </c>
      <c r="CC22" s="16">
        <f t="shared" ca="1" si="49"/>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29"/>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0"/>
        <v>0</v>
      </c>
      <c r="CJ22" s="16">
        <f t="shared" ca="1" si="31"/>
        <v>0</v>
      </c>
      <c r="CK22" s="16">
        <f t="shared" ca="1" si="32"/>
        <v>0</v>
      </c>
      <c r="CL22" s="16">
        <f t="shared" ca="1" si="50"/>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33"/>
        <v>0</v>
      </c>
      <c r="CP22" s="16">
        <f t="shared" ca="1" si="34"/>
        <v>0</v>
      </c>
      <c r="CQ22" s="16">
        <f t="shared" ca="1" si="51"/>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35"/>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36"/>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4</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Pendiente</v>
      </c>
      <c r="E23" s="16" t="str">
        <f t="shared" si="72"/>
        <v>-</v>
      </c>
      <c r="F23" s="16" t="str">
        <f t="shared" si="73"/>
        <v>-</v>
      </c>
      <c r="G23" s="16"/>
      <c r="H23" s="16" t="str">
        <f t="shared" si="74"/>
        <v>-</v>
      </c>
      <c r="I23" s="16" t="str">
        <f t="shared" si="75"/>
        <v>-</v>
      </c>
      <c r="J23" s="16"/>
      <c r="K23" s="16" t="str">
        <f t="shared" si="76"/>
        <v>-</v>
      </c>
      <c r="L23" s="16" t="str">
        <f t="shared" si="77"/>
        <v>-</v>
      </c>
      <c r="M23" s="16"/>
      <c r="N23" s="16" t="str">
        <f t="shared" si="78"/>
        <v>-</v>
      </c>
      <c r="O23" s="16" t="str">
        <f t="shared" si="79"/>
        <v>-</v>
      </c>
      <c r="P23" s="16"/>
      <c r="Q23" s="16" t="str">
        <f t="shared" si="80"/>
        <v>-</v>
      </c>
      <c r="R23" s="16" t="str">
        <f t="shared" si="81"/>
        <v>-</v>
      </c>
      <c r="S23" s="16"/>
      <c r="T23" s="16" t="str">
        <f t="shared" si="82"/>
        <v>-</v>
      </c>
      <c r="U23" s="16" t="str">
        <f t="shared" si="83"/>
        <v>-</v>
      </c>
      <c r="V23" s="17"/>
      <c r="W23" s="652"/>
      <c r="X23" s="24">
        <f ca="1">Horarios!C23</f>
        <v>46193.104166666664</v>
      </c>
      <c r="Y23" s="25">
        <f ca="1">Horarios!C23</f>
        <v>46193.104166666664</v>
      </c>
      <c r="Z23" s="26" t="str">
        <f>$Z$6</f>
        <v>J2</v>
      </c>
      <c r="AA23" s="27" t="str">
        <f ca="1">A21</f>
        <v>Brasil</v>
      </c>
      <c r="AB23" s="49" t="e" cm="1" vm="9">
        <f t="array" aca="1" ref="AB23" ca="1">Ver_flag_local</f>
        <v>#VALUE!</v>
      </c>
      <c r="AC23" s="50"/>
      <c r="AD23" s="51"/>
      <c r="AE23" s="574" t="e" cm="1" vm="11">
        <f t="array" aca="1" ref="AE23" ca="1">Ver_flag_visit</f>
        <v>#VALUE!</v>
      </c>
      <c r="AF23" s="32" t="str">
        <f ca="1">A23</f>
        <v>Haití</v>
      </c>
      <c r="AG23" s="309">
        <f t="shared" si="84"/>
        <v>0</v>
      </c>
      <c r="AH23" s="187">
        <v>29</v>
      </c>
      <c r="AI23" s="173" t="str">
        <f t="shared" ref="AI23:AI25" si="88">AJ23&amp;$B$20</f>
        <v>2C</v>
      </c>
      <c r="AJ23" s="42">
        <v>2</v>
      </c>
      <c r="AK23" s="581" t="e" cm="1" vm="9">
        <f t="array" aca="1" ref="AK23" ca="1">Ver_flag_visit</f>
        <v>#VALUE!</v>
      </c>
      <c r="AL23" s="37" t="str">
        <f ca="1">IFERROR(INDEX($BD$6:$BD$53,MATCH(AI23,$BN$6:$BN$53,0)),"")</f>
        <v>Brasil</v>
      </c>
      <c r="AM23" s="38">
        <f t="shared" ca="1" si="87"/>
        <v>1</v>
      </c>
      <c r="AN23" s="39">
        <f t="shared" ca="1" si="87"/>
        <v>1</v>
      </c>
      <c r="AO23" s="39">
        <f t="shared" ca="1" si="87"/>
        <v>0</v>
      </c>
      <c r="AP23" s="39">
        <f t="shared" ca="1" si="87"/>
        <v>1</v>
      </c>
      <c r="AQ23" s="39">
        <f t="shared" ca="1" si="87"/>
        <v>0</v>
      </c>
      <c r="AR23" s="39">
        <f t="shared" ca="1" si="87"/>
        <v>1</v>
      </c>
      <c r="AS23" s="39">
        <f t="shared" ca="1" si="87"/>
        <v>1</v>
      </c>
      <c r="AT23" s="43">
        <f t="shared" ca="1" si="87"/>
        <v>0</v>
      </c>
      <c r="AU23" s="316">
        <f ca="1">INDEX($DL$6:$DL$53,MATCH(AI23,$DP$6:$DP$53,0))</f>
        <v>1</v>
      </c>
      <c r="AV23" s="174" t="str">
        <f ca="1">INDEX($BD$6:$BD$53,MATCH(AI23,$BM$6:$BM$53,0))</f>
        <v>Brasil</v>
      </c>
      <c r="AW23" s="202"/>
      <c r="AX23" s="163"/>
      <c r="AY23" s="195" t="str">
        <f ca="1">+A22</f>
        <v>Marruecos</v>
      </c>
      <c r="AZ23" s="196"/>
      <c r="BA23" s="168"/>
      <c r="BC23" s="16" t="str">
        <f ca="1">+INDEX(T_Equipos[Grupo],MATCH(WORLDCUP!BD23,T_Equipos[NombreEquipo],0))</f>
        <v>E</v>
      </c>
      <c r="BD23" s="16" t="str">
        <f ca="1">+Equipos!B19</f>
        <v>Curazao</v>
      </c>
      <c r="BE23" s="16">
        <f t="shared" ca="1" si="16"/>
        <v>0</v>
      </c>
      <c r="BF23" s="16">
        <f t="shared" ca="1" si="41"/>
        <v>1</v>
      </c>
      <c r="BG23" s="16">
        <f t="shared" ca="1" si="17"/>
        <v>0</v>
      </c>
      <c r="BH23" s="16">
        <f t="shared" ca="1" si="18"/>
        <v>0</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0</v>
      </c>
      <c r="BW23" s="16">
        <f t="shared" ca="1" si="26"/>
        <v>0</v>
      </c>
      <c r="BX23" s="16">
        <f t="shared" ca="1" si="48"/>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0</v>
      </c>
      <c r="CK23" s="16">
        <f t="shared" ca="1" si="32"/>
        <v>0</v>
      </c>
      <c r="CL23" s="16">
        <f t="shared" ca="1" si="50"/>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4</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2"/>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0">
        <f t="array" aca="1" ref="AK24" ca="1">Ver_flag_visit</f>
        <v>#VALUE!</v>
      </c>
      <c r="AL24" s="37" t="str">
        <f ca="1">IFERROR(INDEX($BD$6:$BD$53,MATCH(AI24,$BN$6:$BN$53,0)),"")</f>
        <v>Marruecos</v>
      </c>
      <c r="AM24" s="38">
        <f t="shared" ca="1" si="87"/>
        <v>1</v>
      </c>
      <c r="AN24" s="39">
        <f t="shared" ca="1" si="87"/>
        <v>1</v>
      </c>
      <c r="AO24" s="39">
        <f t="shared" ca="1" si="87"/>
        <v>0</v>
      </c>
      <c r="AP24" s="39">
        <f t="shared" ca="1" si="87"/>
        <v>1</v>
      </c>
      <c r="AQ24" s="39">
        <f t="shared" ca="1" si="87"/>
        <v>0</v>
      </c>
      <c r="AR24" s="39">
        <f t="shared" ca="1" si="87"/>
        <v>1</v>
      </c>
      <c r="AS24" s="39">
        <f t="shared" ca="1" si="87"/>
        <v>1</v>
      </c>
      <c r="AT24" s="43">
        <f t="shared" ca="1" si="87"/>
        <v>0</v>
      </c>
      <c r="AU24" s="316">
        <f ca="1">INDEX($DL$6:$DL$53,MATCH(AI24,$DP$6:$DP$53,0))</f>
        <v>1</v>
      </c>
      <c r="AV24" s="174" t="str">
        <f ca="1">INDEX($BD$6:$BD$53,MATCH(AI24,$BM$6:$BM$53,0))</f>
        <v>Marruecos</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1</v>
      </c>
      <c r="BG24" s="16">
        <f t="shared" ca="1" si="17"/>
        <v>1</v>
      </c>
      <c r="BH24" s="16">
        <f t="shared" ca="1" si="18"/>
        <v>0</v>
      </c>
      <c r="BI24" s="16">
        <f t="shared" ca="1" si="19"/>
        <v>0</v>
      </c>
      <c r="BJ24" s="16">
        <f t="shared" ca="1" si="20"/>
        <v>1</v>
      </c>
      <c r="BK24" s="16">
        <f t="shared" ca="1" si="21"/>
        <v>0</v>
      </c>
      <c r="BL24" s="16">
        <f t="shared" ca="1" si="42"/>
        <v>1</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0</v>
      </c>
      <c r="BX24" s="16">
        <f t="shared" ca="1" si="48"/>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27"/>
        <v>0</v>
      </c>
      <c r="CB24" s="16">
        <f t="shared" ca="1" si="28"/>
        <v>0</v>
      </c>
      <c r="CC24" s="16">
        <f t="shared" ca="1" si="49"/>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29"/>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0"/>
        <v>0</v>
      </c>
      <c r="CJ24" s="16">
        <f t="shared" ca="1" si="31"/>
        <v>0</v>
      </c>
      <c r="CK24" s="16">
        <f t="shared" ca="1" si="32"/>
        <v>0</v>
      </c>
      <c r="CL24" s="16">
        <f t="shared" ca="1" si="50"/>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33"/>
        <v>0</v>
      </c>
      <c r="CP24" s="16">
        <f t="shared" ca="1" si="34"/>
        <v>0</v>
      </c>
      <c r="CQ24" s="16">
        <f t="shared" ca="1" si="51"/>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35"/>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36"/>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4</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3"/>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1</v>
      </c>
      <c r="AO25" s="47">
        <f t="shared" ca="1" si="87"/>
        <v>0</v>
      </c>
      <c r="AP25" s="47">
        <f t="shared" ca="1" si="87"/>
        <v>0</v>
      </c>
      <c r="AQ25" s="47">
        <f t="shared" ca="1" si="87"/>
        <v>1</v>
      </c>
      <c r="AR25" s="47">
        <f t="shared" ca="1" si="87"/>
        <v>0</v>
      </c>
      <c r="AS25" s="47">
        <f t="shared" ca="1" si="87"/>
        <v>1</v>
      </c>
      <c r="AT25" s="48">
        <f t="shared" ca="1" si="87"/>
        <v>-1</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0</v>
      </c>
      <c r="BF25" s="16">
        <f t="shared" ca="1" si="41"/>
        <v>1</v>
      </c>
      <c r="BG25" s="16">
        <f t="shared" ca="1" si="17"/>
        <v>0</v>
      </c>
      <c r="BH25" s="16">
        <f t="shared" ca="1" si="18"/>
        <v>0</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0</v>
      </c>
      <c r="BW25" s="16">
        <f t="shared" ca="1" si="26"/>
        <v>0</v>
      </c>
      <c r="BX25" s="16">
        <f t="shared" ca="1" si="48"/>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0</v>
      </c>
      <c r="CK25" s="16">
        <f t="shared" ca="1" si="32"/>
        <v>0</v>
      </c>
      <c r="CL25" s="16">
        <f t="shared" ca="1" si="50"/>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4</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1</v>
      </c>
      <c r="BF26" s="16">
        <f t="shared" ca="1" si="41"/>
        <v>1</v>
      </c>
      <c r="BG26" s="16">
        <f t="shared" ca="1" si="17"/>
        <v>0</v>
      </c>
      <c r="BH26" s="16">
        <f t="shared" ca="1" si="18"/>
        <v>1</v>
      </c>
      <c r="BI26" s="16">
        <f t="shared" ca="1" si="19"/>
        <v>0</v>
      </c>
      <c r="BJ26" s="16">
        <f t="shared" ca="1" si="20"/>
        <v>2</v>
      </c>
      <c r="BK26" s="16">
        <f t="shared" ca="1" si="21"/>
        <v>2</v>
      </c>
      <c r="BL26" s="16">
        <f t="shared" ca="1" si="42"/>
        <v>0</v>
      </c>
      <c r="BM26" s="16" t="str">
        <f t="shared" ca="1" si="22"/>
        <v>2F</v>
      </c>
      <c r="BN26" s="16" t="str">
        <f t="shared" ca="1" si="23"/>
        <v>2F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4"/>
        <v>0</v>
      </c>
      <c r="BV26" s="16">
        <f t="shared" ca="1" si="25"/>
        <v>1</v>
      </c>
      <c r="BW26" s="16">
        <f t="shared" ca="1" si="26"/>
        <v>0</v>
      </c>
      <c r="BX26" s="16">
        <f t="shared" ca="1" si="48"/>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27"/>
        <v>2</v>
      </c>
      <c r="CB26" s="16">
        <f t="shared" ca="1" si="28"/>
        <v>2</v>
      </c>
      <c r="CC26" s="16">
        <f t="shared" ca="1" si="49"/>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29"/>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0"/>
        <v>0</v>
      </c>
      <c r="CJ26" s="16">
        <f t="shared" ca="1" si="31"/>
        <v>1</v>
      </c>
      <c r="CK26" s="16">
        <f t="shared" ca="1" si="32"/>
        <v>0</v>
      </c>
      <c r="CL26" s="16">
        <f t="shared" ca="1" si="50"/>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33"/>
        <v>2</v>
      </c>
      <c r="CP26" s="16">
        <f t="shared" ca="1" si="34"/>
        <v>2</v>
      </c>
      <c r="CQ26" s="16">
        <f t="shared" ca="1" si="51"/>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35"/>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36"/>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37"/>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52"/>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38"/>
        <v>1</v>
      </c>
      <c r="DK26" s="16">
        <f t="shared" ca="1" si="39"/>
        <v>4</v>
      </c>
      <c r="DL26" s="16">
        <f t="shared" ca="1" si="40"/>
        <v>1</v>
      </c>
      <c r="DM26" s="16" t="str">
        <f t="shared" ca="1" si="46"/>
        <v>1.1</v>
      </c>
      <c r="DN26" s="16" cm="1">
        <f t="array" aca="1" ref="DN26" ca="1">OFFSET(Horarios!$P$3,DJ26-1,0,DL26,1)</f>
        <v>1</v>
      </c>
      <c r="DO26" s="16"/>
      <c r="DP26" s="16" t="s">
        <v>676</v>
      </c>
      <c r="DQ26" s="16" t="str">
        <f t="shared" ca="1" si="47"/>
        <v>Suecia</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1</v>
      </c>
      <c r="BF27" s="16">
        <f t="shared" ca="1" si="41"/>
        <v>1</v>
      </c>
      <c r="BG27" s="16">
        <f t="shared" ca="1" si="17"/>
        <v>0</v>
      </c>
      <c r="BH27" s="16">
        <f t="shared" ca="1" si="18"/>
        <v>1</v>
      </c>
      <c r="BI27" s="16">
        <f t="shared" ca="1" si="19"/>
        <v>0</v>
      </c>
      <c r="BJ27" s="16">
        <f t="shared" ca="1" si="20"/>
        <v>2</v>
      </c>
      <c r="BK27" s="16">
        <f t="shared" ca="1" si="21"/>
        <v>2</v>
      </c>
      <c r="BL27" s="16">
        <f t="shared" ca="1" si="42"/>
        <v>0</v>
      </c>
      <c r="BM27" s="16" t="str">
        <f t="shared" ca="1" si="22"/>
        <v>3F</v>
      </c>
      <c r="BN27" s="16" t="str">
        <f t="shared" ca="1" si="23"/>
        <v>3F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4"/>
        <v>0</v>
      </c>
      <c r="BV27" s="16">
        <f t="shared" ca="1" si="25"/>
        <v>1</v>
      </c>
      <c r="BW27" s="16">
        <f t="shared" ca="1" si="26"/>
        <v>0</v>
      </c>
      <c r="BX27" s="16">
        <f t="shared" ca="1" si="48"/>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27"/>
        <v>2</v>
      </c>
      <c r="CB27" s="16">
        <f t="shared" ca="1" si="28"/>
        <v>2</v>
      </c>
      <c r="CC27" s="16">
        <f t="shared" ca="1" si="49"/>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29"/>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0"/>
        <v>0</v>
      </c>
      <c r="CJ27" s="16">
        <f t="shared" ca="1" si="31"/>
        <v>1</v>
      </c>
      <c r="CK27" s="16">
        <f t="shared" ca="1" si="32"/>
        <v>0</v>
      </c>
      <c r="CL27" s="16">
        <f t="shared" ca="1" si="50"/>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33"/>
        <v>2</v>
      </c>
      <c r="CP27" s="16">
        <f t="shared" ca="1" si="34"/>
        <v>2</v>
      </c>
      <c r="CQ27" s="16">
        <f t="shared" ca="1" si="51"/>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35"/>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36"/>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37"/>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52"/>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38"/>
        <v>2</v>
      </c>
      <c r="DK27" s="16">
        <f t="shared" ca="1" si="39"/>
        <v>4</v>
      </c>
      <c r="DL27" s="16">
        <f t="shared" ca="1" si="40"/>
        <v>1</v>
      </c>
      <c r="DM27" s="16" t="str">
        <f t="shared" ca="1" si="46"/>
        <v>2.1</v>
      </c>
      <c r="DN27" s="16" cm="1">
        <f t="array" aca="1" ref="DN27" ca="1">OFFSET(Horarios!$P$3,DJ27-1,0,DL27,1)</f>
        <v>2</v>
      </c>
      <c r="DO27" s="16"/>
      <c r="DP27" s="16" t="s">
        <v>677</v>
      </c>
      <c r="DQ27" s="16" t="str">
        <f t="shared" ca="1" si="47"/>
        <v>Países Bajos</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P.1 (2)</v>
      </c>
      <c r="F28" s="16" t="str">
        <f t="shared" ref="F28:F33" ca="1" si="93">IF(D28="Pendiente","-",INDEX($BT$6:$BT$53,MATCH($AF28,$BD$6:$BD$53,0)))</f>
        <v>P.3 (2)</v>
      </c>
      <c r="G28" s="16"/>
      <c r="H28" s="16" t="str">
        <f t="shared" ref="H28:H33" ca="1" si="94">IF(D28="Pendiente","-",INDEX($BZ$6:$BZ$53,MATCH($AA28,$BD$6:$BD$53,0)))</f>
        <v>P.1 (2)</v>
      </c>
      <c r="I28" s="16" t="str">
        <f t="shared" ref="I28:I33" ca="1" si="95">IF(D28="Pendiente","-",INDEX($BZ$6:$BZ$53,MATCH($AF28,$BD$6:$BD$53,0)))</f>
        <v>P.3 (2)</v>
      </c>
      <c r="J28" s="16"/>
      <c r="K28" s="16" t="str">
        <f t="shared" ref="K28:K33" ca="1" si="96">IF(D28="Pendiente","-",INDEX($CE$6:$CE$53,MATCH($AA28,$BD$6:$BD$53,0)))</f>
        <v>P.1 (2)</v>
      </c>
      <c r="L28" s="16" t="str">
        <f t="shared" ref="L28:L33" ca="1" si="97">IF(D28="Pendiente","-",INDEX($CE$6:$CE$53,MATCH($AF28,$BD$6:$BD$53,0)))</f>
        <v>P.3 (2)</v>
      </c>
      <c r="M28" s="16"/>
      <c r="N28" s="16" t="str">
        <f t="shared" ref="N28:N33" ca="1" si="98">IF(D28="Pendiente","-",INDEX($CH$6:$CH$53,MATCH($AA28,$BD$6:$BD$53,0)))</f>
        <v>P.1 (2)</v>
      </c>
      <c r="O28" s="16" t="str">
        <f t="shared" ref="O28:O33" ca="1" si="99">IF(D28="Pendiente","-",INDEX($CH$6:$CH$53,MATCH($AF28,$BD$6:$BD$53,0)))</f>
        <v>P.3 (2)</v>
      </c>
      <c r="P28" s="16"/>
      <c r="Q28" s="16" t="str">
        <f t="shared" ref="Q28:Q33" ca="1" si="100">IF(D28="Pendiente","-",INDEX($CN$6:$CN$53,MATCH($AA28,$BD$6:$BD$53,0)))</f>
        <v>P.1 (2)</v>
      </c>
      <c r="R28" s="16" t="str">
        <f t="shared" ref="R28:R33" ca="1" si="101">IF(D28="Pendiente","-",INDEX($CN$6:$CN$53,MATCH($AF28,$BD$6:$BD$53,0)))</f>
        <v>P.3 (2)</v>
      </c>
      <c r="S28" s="16"/>
      <c r="T28" s="16" t="str">
        <f t="shared" ref="T28:T33" ca="1" si="102">IF(D28="Pendiente","-",INDEX($CS$6:$CS$53,MATCH($AA28,$BD$6:$BD$53,0)))</f>
        <v>P.1 (2)</v>
      </c>
      <c r="U28" s="16" t="str">
        <f t="shared" ref="U28:U33" ca="1" si="103">IF(D28="Pendiente","-",INDEX($CS$6:$CS$53,MATCH($AF28,$BD$6:$BD$53,0)))</f>
        <v>P.3 (2)</v>
      </c>
      <c r="V28" s="17"/>
      <c r="W28" s="654"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1</v>
      </c>
      <c r="BG28" s="16">
        <f t="shared" ca="1" si="17"/>
        <v>1</v>
      </c>
      <c r="BH28" s="16">
        <f t="shared" ca="1" si="18"/>
        <v>0</v>
      </c>
      <c r="BI28" s="16">
        <f t="shared" ca="1" si="19"/>
        <v>0</v>
      </c>
      <c r="BJ28" s="16">
        <f t="shared" ca="1" si="20"/>
        <v>5</v>
      </c>
      <c r="BK28" s="16">
        <f t="shared" ca="1" si="21"/>
        <v>1</v>
      </c>
      <c r="BL28" s="16">
        <f t="shared" ca="1" si="42"/>
        <v>4</v>
      </c>
      <c r="BM28" s="16" t="str">
        <f t="shared" ca="1" si="22"/>
        <v>1F</v>
      </c>
      <c r="BN28" s="16" t="str">
        <f t="shared" ca="1" si="23"/>
        <v>1F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52"/>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38"/>
        <v>2</v>
      </c>
      <c r="DK28" s="16">
        <f t="shared" ca="1" si="39"/>
        <v>4</v>
      </c>
      <c r="DL28" s="16">
        <f t="shared" ca="1" si="40"/>
        <v>1</v>
      </c>
      <c r="DM28" s="16" t="str">
        <f t="shared" ca="1" si="46"/>
        <v>2.1</v>
      </c>
      <c r="DN28" s="16" cm="1">
        <f t="array" aca="1" ref="DN28" ca="1">OFFSET(Horarios!$P$3,DJ28-1,0,DL28,1)</f>
        <v>2</v>
      </c>
      <c r="DO28" s="16"/>
      <c r="DP28" s="16" t="s">
        <v>95</v>
      </c>
      <c r="DQ28" s="16" t="str">
        <f t="shared" ca="1" si="47"/>
        <v>Japón</v>
      </c>
    </row>
    <row r="29" spans="1:121" ht="16" customHeight="1">
      <c r="A29" s="16" t="str">
        <f ca="1">+Equipos!B14</f>
        <v>Estados Unidos</v>
      </c>
      <c r="B29" s="16"/>
      <c r="C29" s="16"/>
      <c r="D29" s="16" t="str">
        <f t="shared" si="91"/>
        <v>Local</v>
      </c>
      <c r="E29" s="16" t="str">
        <f t="shared" ca="1" si="92"/>
        <v>P.1 (2)</v>
      </c>
      <c r="F29" s="16" t="str">
        <f t="shared" ca="1" si="93"/>
        <v>P.3 (2)</v>
      </c>
      <c r="G29" s="16"/>
      <c r="H29" s="16" t="str">
        <f t="shared" ca="1" si="94"/>
        <v>P.1 (2)</v>
      </c>
      <c r="I29" s="16" t="str">
        <f t="shared" ca="1" si="95"/>
        <v>P.3 (2)</v>
      </c>
      <c r="J29" s="16"/>
      <c r="K29" s="16" t="str">
        <f t="shared" ca="1" si="96"/>
        <v>P.1 (2)</v>
      </c>
      <c r="L29" s="16" t="str">
        <f t="shared" ca="1" si="97"/>
        <v>P.3 (2)</v>
      </c>
      <c r="M29" s="16"/>
      <c r="N29" s="16" t="str">
        <f t="shared" ca="1" si="98"/>
        <v>P.1 (2)</v>
      </c>
      <c r="O29" s="16" t="str">
        <f t="shared" ca="1" si="99"/>
        <v>P.3 (2)</v>
      </c>
      <c r="P29" s="16"/>
      <c r="Q29" s="16" t="str">
        <f t="shared" ca="1" si="100"/>
        <v>P.1 (2)</v>
      </c>
      <c r="R29" s="16" t="str">
        <f t="shared" ca="1" si="101"/>
        <v>P.3 (2)</v>
      </c>
      <c r="S29" s="16"/>
      <c r="T29" s="16" t="str">
        <f t="shared" ca="1" si="102"/>
        <v>P.1 (2)</v>
      </c>
      <c r="U29" s="16" t="str">
        <f t="shared" ca="1" si="103"/>
        <v>P.3 (2)</v>
      </c>
      <c r="V29" s="17"/>
      <c r="W29" s="654"/>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1</v>
      </c>
      <c r="BG29" s="16">
        <f t="shared" ca="1" si="17"/>
        <v>0</v>
      </c>
      <c r="BH29" s="16">
        <f t="shared" ca="1" si="18"/>
        <v>0</v>
      </c>
      <c r="BI29" s="16">
        <f t="shared" ca="1" si="19"/>
        <v>1</v>
      </c>
      <c r="BJ29" s="16">
        <f t="shared" ca="1" si="20"/>
        <v>1</v>
      </c>
      <c r="BK29" s="16">
        <f t="shared" ca="1" si="21"/>
        <v>5</v>
      </c>
      <c r="BL29" s="16">
        <f t="shared" ca="1" si="42"/>
        <v>-4</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4</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Pendiente</v>
      </c>
      <c r="E30" s="16" t="str">
        <f t="shared" si="92"/>
        <v>-</v>
      </c>
      <c r="F30" s="16" t="str">
        <f t="shared" si="93"/>
        <v>-</v>
      </c>
      <c r="G30" s="16"/>
      <c r="H30" s="16" t="str">
        <f t="shared" si="94"/>
        <v>-</v>
      </c>
      <c r="I30" s="16" t="str">
        <f t="shared" si="95"/>
        <v>-</v>
      </c>
      <c r="J30" s="16"/>
      <c r="K30" s="16" t="str">
        <f t="shared" si="96"/>
        <v>-</v>
      </c>
      <c r="L30" s="16" t="str">
        <f t="shared" si="97"/>
        <v>-</v>
      </c>
      <c r="M30" s="16"/>
      <c r="N30" s="16" t="str">
        <f t="shared" si="98"/>
        <v>-</v>
      </c>
      <c r="O30" s="16" t="str">
        <f t="shared" si="99"/>
        <v>-</v>
      </c>
      <c r="P30" s="16"/>
      <c r="Q30" s="16" t="str">
        <f t="shared" si="100"/>
        <v>-</v>
      </c>
      <c r="R30" s="16" t="str">
        <f t="shared" si="101"/>
        <v>-</v>
      </c>
      <c r="S30" s="16"/>
      <c r="T30" s="16" t="str">
        <f t="shared" si="102"/>
        <v>-</v>
      </c>
      <c r="U30" s="16" t="str">
        <f t="shared" si="103"/>
        <v>-</v>
      </c>
      <c r="V30" s="17"/>
      <c r="W30" s="654"/>
      <c r="X30" s="24">
        <f ca="1">Horarios!C30</f>
        <v>46192.875</v>
      </c>
      <c r="Y30" s="25">
        <f ca="1">Horarios!C30</f>
        <v>46192.875</v>
      </c>
      <c r="Z30" s="26" t="str">
        <f>$Z$6</f>
        <v>J2</v>
      </c>
      <c r="AA30" s="27" t="str">
        <f ca="1">A29</f>
        <v>Estados Unidos</v>
      </c>
      <c r="AB30" s="49" t="e" cm="1" vm="13">
        <f t="array" aca="1" ref="AB30" ca="1">Ver_flag_local</f>
        <v>#VALUE!</v>
      </c>
      <c r="AC30" s="50"/>
      <c r="AD30" s="51"/>
      <c r="AE30" s="574" t="e" cm="1" vm="15">
        <f t="array" aca="1" ref="AE30" ca="1">Ver_flag_visit</f>
        <v>#VALUE!</v>
      </c>
      <c r="AF30" s="32" t="str">
        <f ca="1">A31</f>
        <v>Australia</v>
      </c>
      <c r="AG30" s="309">
        <f t="shared" si="104"/>
        <v>0</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3</v>
      </c>
      <c r="AN30" s="36">
        <f t="shared" ca="1" si="107"/>
        <v>1</v>
      </c>
      <c r="AO30" s="36">
        <f t="shared" ca="1" si="107"/>
        <v>1</v>
      </c>
      <c r="AP30" s="36">
        <f t="shared" ca="1" si="107"/>
        <v>0</v>
      </c>
      <c r="AQ30" s="36">
        <f t="shared" ca="1" si="107"/>
        <v>0</v>
      </c>
      <c r="AR30" s="36">
        <f t="shared" ca="1" si="107"/>
        <v>4</v>
      </c>
      <c r="AS30" s="36">
        <f t="shared" ca="1" si="107"/>
        <v>1</v>
      </c>
      <c r="AT30" s="41">
        <f t="shared" ca="1" si="107"/>
        <v>3</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1</v>
      </c>
      <c r="BF30" s="16">
        <f t="shared" ca="1" si="41"/>
        <v>1</v>
      </c>
      <c r="BG30" s="16">
        <f t="shared" ca="1" si="17"/>
        <v>0</v>
      </c>
      <c r="BH30" s="16">
        <f t="shared" ca="1" si="18"/>
        <v>1</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29"/>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0"/>
        <v>0</v>
      </c>
      <c r="CJ30" s="16">
        <f t="shared" ca="1" si="31"/>
        <v>1</v>
      </c>
      <c r="CK30" s="16">
        <f t="shared" ca="1" si="32"/>
        <v>0</v>
      </c>
      <c r="CL30" s="16">
        <f t="shared" ca="1" si="50"/>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33"/>
        <v>1</v>
      </c>
      <c r="CP30" s="16">
        <f t="shared" ca="1" si="34"/>
        <v>1</v>
      </c>
      <c r="CQ30" s="16">
        <f t="shared" ca="1" si="51"/>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35"/>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36"/>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52"/>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38"/>
        <v>1</v>
      </c>
      <c r="DK30" s="16">
        <f t="shared" ca="1" si="39"/>
        <v>4</v>
      </c>
      <c r="DL30" s="16">
        <f t="shared" ca="1" si="40"/>
        <v>1</v>
      </c>
      <c r="DM30" s="16" t="str">
        <f t="shared" ca="1" si="46"/>
        <v>1.1</v>
      </c>
      <c r="DN30" s="16" cm="1">
        <f t="array" aca="1" ref="DN30" ca="1">OFFSET(Horarios!$P$3,DJ30-1,0,DL30,1)</f>
        <v>1</v>
      </c>
      <c r="DO30" s="16"/>
      <c r="DP30" s="16" t="s">
        <v>679</v>
      </c>
      <c r="DQ30" s="16" t="str">
        <f t="shared" ca="1" si="47"/>
        <v>Irán</v>
      </c>
    </row>
    <row r="31" spans="1:121" ht="16" customHeight="1">
      <c r="A31" s="16" t="str">
        <f ca="1">+Equipos!B16</f>
        <v>Australia</v>
      </c>
      <c r="B31" s="16"/>
      <c r="C31" s="16"/>
      <c r="D31" s="16" t="str">
        <f t="shared" si="91"/>
        <v>Pendiente</v>
      </c>
      <c r="E31" s="16" t="str">
        <f t="shared" si="92"/>
        <v>-</v>
      </c>
      <c r="F31" s="16" t="str">
        <f t="shared" si="93"/>
        <v>-</v>
      </c>
      <c r="G31" s="16"/>
      <c r="H31" s="16" t="str">
        <f t="shared" si="94"/>
        <v>-</v>
      </c>
      <c r="I31" s="16" t="str">
        <f t="shared" si="95"/>
        <v>-</v>
      </c>
      <c r="J31" s="16"/>
      <c r="K31" s="16" t="str">
        <f t="shared" si="96"/>
        <v>-</v>
      </c>
      <c r="L31" s="16" t="str">
        <f t="shared" si="97"/>
        <v>-</v>
      </c>
      <c r="M31" s="16"/>
      <c r="N31" s="16" t="str">
        <f t="shared" si="98"/>
        <v>-</v>
      </c>
      <c r="O31" s="16" t="str">
        <f t="shared" si="99"/>
        <v>-</v>
      </c>
      <c r="P31" s="16"/>
      <c r="Q31" s="16" t="str">
        <f t="shared" si="100"/>
        <v>-</v>
      </c>
      <c r="R31" s="16" t="str">
        <f t="shared" si="101"/>
        <v>-</v>
      </c>
      <c r="S31" s="16"/>
      <c r="T31" s="16" t="str">
        <f t="shared" si="102"/>
        <v>-</v>
      </c>
      <c r="U31" s="16" t="str">
        <f t="shared" si="103"/>
        <v>-</v>
      </c>
      <c r="V31" s="17"/>
      <c r="W31" s="654"/>
      <c r="X31" s="24">
        <f ca="1">Horarios!C31</f>
        <v>46193.208333333336</v>
      </c>
      <c r="Y31" s="25">
        <f ca="1">Horarios!C31</f>
        <v>46193.208333333336</v>
      </c>
      <c r="Z31" s="26" t="str">
        <f>$Z$6</f>
        <v>J2</v>
      </c>
      <c r="AA31" s="27" t="str">
        <f ca="1">A32</f>
        <v>Turquía</v>
      </c>
      <c r="AB31" s="49" t="e" cm="1" vm="16">
        <f t="array" aca="1" ref="AB31" ca="1">Ver_flag_local</f>
        <v>#VALUE!</v>
      </c>
      <c r="AC31" s="50"/>
      <c r="AD31" s="51"/>
      <c r="AE31" s="574" t="e" cm="1" vm="14">
        <f t="array" aca="1" ref="AE31" ca="1">Ver_flag_visit</f>
        <v>#VALUE!</v>
      </c>
      <c r="AF31" s="32" t="str">
        <f ca="1">A30</f>
        <v>Paraguay</v>
      </c>
      <c r="AG31" s="309">
        <f t="shared" si="104"/>
        <v>0</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1</v>
      </c>
      <c r="AO31" s="39">
        <f t="shared" ca="1" si="107"/>
        <v>1</v>
      </c>
      <c r="AP31" s="39">
        <f t="shared" ca="1" si="107"/>
        <v>0</v>
      </c>
      <c r="AQ31" s="39">
        <f t="shared" ca="1" si="107"/>
        <v>0</v>
      </c>
      <c r="AR31" s="39">
        <f t="shared" ca="1" si="107"/>
        <v>2</v>
      </c>
      <c r="AS31" s="39">
        <f t="shared" ca="1" si="107"/>
        <v>0</v>
      </c>
      <c r="AT31" s="43">
        <f t="shared" ca="1" si="107"/>
        <v>2</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1</v>
      </c>
      <c r="BF31" s="16">
        <f t="shared" ca="1" si="41"/>
        <v>1</v>
      </c>
      <c r="BG31" s="16">
        <f t="shared" ca="1" si="17"/>
        <v>0</v>
      </c>
      <c r="BH31" s="16">
        <f t="shared" ca="1" si="18"/>
        <v>1</v>
      </c>
      <c r="BI31" s="16">
        <f t="shared" ca="1" si="19"/>
        <v>0</v>
      </c>
      <c r="BJ31" s="16">
        <f t="shared" ca="1" si="20"/>
        <v>1</v>
      </c>
      <c r="BK31" s="16">
        <f t="shared" ca="1" si="21"/>
        <v>1</v>
      </c>
      <c r="BL31" s="16">
        <f t="shared" ca="1" si="42"/>
        <v>0</v>
      </c>
      <c r="BM31" s="16" t="str">
        <f t="shared" ca="1" si="22"/>
        <v>4G</v>
      </c>
      <c r="BN31" s="16" t="str">
        <f t="shared" ca="1" si="23"/>
        <v>4G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29"/>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0"/>
        <v>0</v>
      </c>
      <c r="CJ31" s="16">
        <f t="shared" ca="1" si="31"/>
        <v>1</v>
      </c>
      <c r="CK31" s="16">
        <f t="shared" ca="1" si="32"/>
        <v>0</v>
      </c>
      <c r="CL31" s="16">
        <f t="shared" ca="1" si="50"/>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33"/>
        <v>1</v>
      </c>
      <c r="CP31" s="16">
        <f t="shared" ca="1" si="34"/>
        <v>1</v>
      </c>
      <c r="CQ31" s="16">
        <f t="shared" ca="1" si="51"/>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35"/>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36"/>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37"/>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52"/>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38"/>
        <v>1</v>
      </c>
      <c r="DK31" s="16">
        <f t="shared" ca="1" si="39"/>
        <v>4</v>
      </c>
      <c r="DL31" s="16">
        <f t="shared" ca="1" si="40"/>
        <v>1</v>
      </c>
      <c r="DM31" s="16" t="str">
        <f t="shared" ca="1" si="46"/>
        <v>1.1</v>
      </c>
      <c r="DN31" s="16" cm="1">
        <f t="array" aca="1" ref="DN31" ca="1">OFFSET(Horarios!$P$3,DJ31-1,0,DL31,1)</f>
        <v>1</v>
      </c>
      <c r="DO31" s="16"/>
      <c r="DP31" s="16" t="s">
        <v>680</v>
      </c>
      <c r="DQ31" s="16" t="str">
        <f t="shared" ca="1" si="47"/>
        <v>Nueva Zelanda</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4"/>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6">
        <f t="array" aca="1" ref="AK32" ca="1">Ver_flag_visit</f>
        <v>#VALUE!</v>
      </c>
      <c r="AL32" s="37" t="str">
        <f ca="1">IFERROR(INDEX($BD$6:$BD$53,MATCH(AI32,$BN$6:$BN$53,0)),"")</f>
        <v>Turquía</v>
      </c>
      <c r="AM32" s="38">
        <f t="shared" ca="1" si="107"/>
        <v>0</v>
      </c>
      <c r="AN32" s="39">
        <f t="shared" ca="1" si="107"/>
        <v>1</v>
      </c>
      <c r="AO32" s="39">
        <f t="shared" ca="1" si="107"/>
        <v>0</v>
      </c>
      <c r="AP32" s="39">
        <f t="shared" ca="1" si="107"/>
        <v>0</v>
      </c>
      <c r="AQ32" s="39">
        <f t="shared" ca="1" si="107"/>
        <v>1</v>
      </c>
      <c r="AR32" s="39">
        <f t="shared" ca="1" si="107"/>
        <v>0</v>
      </c>
      <c r="AS32" s="39">
        <f t="shared" ca="1" si="107"/>
        <v>2</v>
      </c>
      <c r="AT32" s="43">
        <f t="shared" ca="1" si="107"/>
        <v>-2</v>
      </c>
      <c r="AU32" s="316">
        <f ca="1">INDEX($DL$6:$DL$53,MATCH(AI32,$DP$6:$DP$53,0))</f>
        <v>1</v>
      </c>
      <c r="AV32" s="174" t="str">
        <f ca="1">INDEX($BD$6:$BD$53,MATCH(AI32,$BM$6:$BM$53,0))</f>
        <v>Turquía</v>
      </c>
      <c r="AW32" s="202"/>
      <c r="AX32" s="163"/>
      <c r="AY32" s="193" t="str">
        <f ca="1">+A31</f>
        <v>Australia</v>
      </c>
      <c r="AZ32" s="194"/>
      <c r="BA32" s="168"/>
      <c r="BC32" s="16" t="str">
        <f ca="1">+INDEX(T_Equipos[Grupo],MATCH(WORLDCUP!BD32,T_Equipos[NombreEquipo],0))</f>
        <v>G</v>
      </c>
      <c r="BD32" s="16" t="str">
        <f ca="1">+Equipos!B28</f>
        <v>Irán</v>
      </c>
      <c r="BE32" s="16">
        <f t="shared" ca="1" si="16"/>
        <v>1</v>
      </c>
      <c r="BF32" s="16">
        <f t="shared" ca="1" si="41"/>
        <v>1</v>
      </c>
      <c r="BG32" s="16">
        <f t="shared" ca="1" si="17"/>
        <v>0</v>
      </c>
      <c r="BH32" s="16">
        <f t="shared" ca="1" si="18"/>
        <v>1</v>
      </c>
      <c r="BI32" s="16">
        <f t="shared" ca="1" si="19"/>
        <v>0</v>
      </c>
      <c r="BJ32" s="16">
        <f t="shared" ca="1" si="20"/>
        <v>2</v>
      </c>
      <c r="BK32" s="16">
        <f t="shared" ca="1" si="21"/>
        <v>2</v>
      </c>
      <c r="BL32" s="16">
        <f t="shared" ca="1" si="42"/>
        <v>0</v>
      </c>
      <c r="BM32" s="16" t="str">
        <f t="shared" ca="1" si="22"/>
        <v>1G</v>
      </c>
      <c r="BN32" s="16" t="str">
        <f t="shared" ca="1" si="23"/>
        <v>1G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4"/>
        <v>0</v>
      </c>
      <c r="BV32" s="16">
        <f t="shared" ca="1" si="25"/>
        <v>1</v>
      </c>
      <c r="BW32" s="16">
        <f t="shared" ca="1" si="26"/>
        <v>0</v>
      </c>
      <c r="BX32" s="16">
        <f t="shared" ca="1" si="48"/>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27"/>
        <v>2</v>
      </c>
      <c r="CB32" s="16">
        <f t="shared" ca="1" si="28"/>
        <v>2</v>
      </c>
      <c r="CC32" s="16">
        <f t="shared" ca="1" si="49"/>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29"/>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0"/>
        <v>0</v>
      </c>
      <c r="CJ32" s="16">
        <f t="shared" ca="1" si="31"/>
        <v>1</v>
      </c>
      <c r="CK32" s="16">
        <f t="shared" ca="1" si="32"/>
        <v>0</v>
      </c>
      <c r="CL32" s="16">
        <f t="shared" ca="1" si="50"/>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33"/>
        <v>2</v>
      </c>
      <c r="CP32" s="16">
        <f t="shared" ca="1" si="34"/>
        <v>2</v>
      </c>
      <c r="CQ32" s="16">
        <f t="shared" ca="1" si="51"/>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35"/>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36"/>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37"/>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52"/>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38"/>
        <v>3</v>
      </c>
      <c r="DK32" s="16">
        <f t="shared" ca="1" si="39"/>
        <v>4</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5"/>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4">
        <f t="array" aca="1" ref="AK33" ca="1">Ver_flag_visit</f>
        <v>#VALUE!</v>
      </c>
      <c r="AL33" s="45" t="str">
        <f ca="1">IFERROR(INDEX($BD$6:$BD$53,MATCH(AI33,$BN$6:$BN$53,0)),"")</f>
        <v>Paraguay</v>
      </c>
      <c r="AM33" s="46">
        <f t="shared" ca="1" si="107"/>
        <v>0</v>
      </c>
      <c r="AN33" s="47">
        <f t="shared" ca="1" si="107"/>
        <v>1</v>
      </c>
      <c r="AO33" s="47">
        <f t="shared" ca="1" si="107"/>
        <v>0</v>
      </c>
      <c r="AP33" s="47">
        <f t="shared" ca="1" si="107"/>
        <v>0</v>
      </c>
      <c r="AQ33" s="47">
        <f t="shared" ca="1" si="107"/>
        <v>1</v>
      </c>
      <c r="AR33" s="47">
        <f t="shared" ca="1" si="107"/>
        <v>1</v>
      </c>
      <c r="AS33" s="47">
        <f t="shared" ca="1" si="107"/>
        <v>4</v>
      </c>
      <c r="AT33" s="48">
        <f t="shared" ca="1" si="107"/>
        <v>-3</v>
      </c>
      <c r="AU33" s="316">
        <f ca="1">INDEX($DL$6:$DL$53,MATCH(AI33,$DP$6:$DP$53,0))</f>
        <v>1</v>
      </c>
      <c r="AV33" s="174" t="str">
        <f ca="1">INDEX($BD$6:$BD$53,MATCH(AI33,$BM$6:$BM$53,0))</f>
        <v>Paraguay</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1</v>
      </c>
      <c r="BG33" s="16">
        <f t="shared" ca="1" si="17"/>
        <v>0</v>
      </c>
      <c r="BH33" s="16">
        <f t="shared" ca="1" si="18"/>
        <v>1</v>
      </c>
      <c r="BI33" s="16">
        <f t="shared" ca="1" si="19"/>
        <v>0</v>
      </c>
      <c r="BJ33" s="16">
        <f t="shared" ca="1" si="20"/>
        <v>2</v>
      </c>
      <c r="BK33" s="16">
        <f t="shared" ca="1" si="21"/>
        <v>2</v>
      </c>
      <c r="BL33" s="16">
        <f t="shared" ca="1" si="42"/>
        <v>0</v>
      </c>
      <c r="BM33" s="16" t="str">
        <f t="shared" ca="1" si="22"/>
        <v>2G</v>
      </c>
      <c r="BN33" s="16" t="str">
        <f t="shared" ca="1" si="23"/>
        <v>2G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4"/>
        <v>0</v>
      </c>
      <c r="BV33" s="16">
        <f t="shared" ca="1" si="25"/>
        <v>1</v>
      </c>
      <c r="BW33" s="16">
        <f t="shared" ca="1" si="26"/>
        <v>0</v>
      </c>
      <c r="BX33" s="16">
        <f t="shared" ca="1" si="48"/>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27"/>
        <v>2</v>
      </c>
      <c r="CB33" s="16">
        <f t="shared" ca="1" si="28"/>
        <v>2</v>
      </c>
      <c r="CC33" s="16">
        <f t="shared" ca="1" si="49"/>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29"/>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0"/>
        <v>0</v>
      </c>
      <c r="CJ33" s="16">
        <f t="shared" ca="1" si="31"/>
        <v>1</v>
      </c>
      <c r="CK33" s="16">
        <f t="shared" ca="1" si="32"/>
        <v>0</v>
      </c>
      <c r="CL33" s="16">
        <f t="shared" ca="1" si="50"/>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33"/>
        <v>2</v>
      </c>
      <c r="CP33" s="16">
        <f t="shared" ca="1" si="34"/>
        <v>2</v>
      </c>
      <c r="CQ33" s="16">
        <f t="shared" ca="1" si="51"/>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35"/>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36"/>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37"/>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52"/>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38"/>
        <v>3</v>
      </c>
      <c r="DK33" s="16">
        <f t="shared" ca="1" si="39"/>
        <v>4</v>
      </c>
      <c r="DL33" s="16">
        <f t="shared" ca="1" si="40"/>
        <v>1</v>
      </c>
      <c r="DM33" s="16" t="str">
        <f t="shared" ca="1" si="46"/>
        <v>3.1</v>
      </c>
      <c r="DN33" s="16" cm="1">
        <f t="array" aca="1" ref="DN33" ca="1">OFFSET(Horarios!$P$3,DJ33-1,0,DL33,1)</f>
        <v>3</v>
      </c>
      <c r="DO33" s="16"/>
      <c r="DP33" s="16" t="s">
        <v>681</v>
      </c>
      <c r="DQ33" s="16" t="str">
        <f t="shared" ca="1" si="47"/>
        <v>Egipto</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1</v>
      </c>
      <c r="BF34" s="16">
        <f t="shared" ca="1" si="41"/>
        <v>1</v>
      </c>
      <c r="BG34" s="16">
        <f t="shared" ca="1" si="17"/>
        <v>0</v>
      </c>
      <c r="BH34" s="16">
        <f t="shared" ca="1" si="18"/>
        <v>1</v>
      </c>
      <c r="BI34" s="16">
        <f t="shared" ca="1" si="19"/>
        <v>0</v>
      </c>
      <c r="BJ34" s="16">
        <f t="shared" ca="1" si="20"/>
        <v>0</v>
      </c>
      <c r="BK34" s="16">
        <f t="shared" ca="1" si="21"/>
        <v>0</v>
      </c>
      <c r="BL34" s="16">
        <f t="shared" ca="1" si="42"/>
        <v>0</v>
      </c>
      <c r="BM34" s="16" t="str">
        <f t="shared" ca="1" si="22"/>
        <v>3H</v>
      </c>
      <c r="BN34" s="16" t="str">
        <f t="shared" ca="1" si="23"/>
        <v>3H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4"/>
        <v>0</v>
      </c>
      <c r="BV34" s="16">
        <f t="shared" ca="1" si="25"/>
        <v>1</v>
      </c>
      <c r="BW34" s="16">
        <f t="shared" ca="1" si="26"/>
        <v>0</v>
      </c>
      <c r="BX34" s="16">
        <f t="shared" ca="1" si="48"/>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27"/>
        <v>0</v>
      </c>
      <c r="CB34" s="16">
        <f t="shared" ca="1" si="28"/>
        <v>0</v>
      </c>
      <c r="CC34" s="16">
        <f t="shared" ca="1" si="49"/>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29"/>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0"/>
        <v>0</v>
      </c>
      <c r="CJ34" s="16">
        <f t="shared" ca="1" si="31"/>
        <v>1</v>
      </c>
      <c r="CK34" s="16">
        <f t="shared" ca="1" si="32"/>
        <v>0</v>
      </c>
      <c r="CL34" s="16">
        <f t="shared" ca="1" si="50"/>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33"/>
        <v>0</v>
      </c>
      <c r="CP34" s="16">
        <f t="shared" ca="1" si="34"/>
        <v>0</v>
      </c>
      <c r="CQ34" s="16">
        <f t="shared" ca="1" si="51"/>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35"/>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36"/>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37"/>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52"/>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38"/>
        <v>1</v>
      </c>
      <c r="DK34" s="16">
        <f t="shared" ca="1" si="39"/>
        <v>4</v>
      </c>
      <c r="DL34" s="16">
        <f t="shared" ca="1" si="40"/>
        <v>1</v>
      </c>
      <c r="DM34" s="16" t="str">
        <f t="shared" ca="1" si="46"/>
        <v>1.1</v>
      </c>
      <c r="DN34" s="16" cm="1">
        <f t="array" aca="1" ref="DN34" ca="1">OFFSET(Horarios!$P$3,DJ34-1,0,DL34,1)</f>
        <v>1</v>
      </c>
      <c r="DO34" s="16"/>
      <c r="DP34" s="16" t="s">
        <v>682</v>
      </c>
      <c r="DQ34" s="16" t="str">
        <f t="shared" ca="1" si="47"/>
        <v>Arabia Saudita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1</v>
      </c>
      <c r="BF35" s="16">
        <f t="shared" ca="1" si="41"/>
        <v>1</v>
      </c>
      <c r="BG35" s="16">
        <f t="shared" ca="1" si="17"/>
        <v>0</v>
      </c>
      <c r="BH35" s="16">
        <f t="shared" ca="1" si="18"/>
        <v>1</v>
      </c>
      <c r="BI35" s="16">
        <f t="shared" ca="1" si="19"/>
        <v>0</v>
      </c>
      <c r="BJ35" s="16">
        <f t="shared" ca="1" si="20"/>
        <v>0</v>
      </c>
      <c r="BK35" s="16">
        <f t="shared" ca="1" si="21"/>
        <v>0</v>
      </c>
      <c r="BL35" s="16">
        <f t="shared" ca="1" si="42"/>
        <v>0</v>
      </c>
      <c r="BM35" s="16" t="str">
        <f t="shared" ca="1" si="22"/>
        <v>4H</v>
      </c>
      <c r="BN35" s="16" t="str">
        <f t="shared" ca="1" si="23"/>
        <v>4H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4"/>
        <v>0</v>
      </c>
      <c r="BV35" s="16">
        <f t="shared" ca="1" si="25"/>
        <v>1</v>
      </c>
      <c r="BW35" s="16">
        <f t="shared" ca="1" si="26"/>
        <v>0</v>
      </c>
      <c r="BX35" s="16">
        <f t="shared" ca="1" si="48"/>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27"/>
        <v>0</v>
      </c>
      <c r="CB35" s="16">
        <f t="shared" ca="1" si="28"/>
        <v>0</v>
      </c>
      <c r="CC35" s="16">
        <f t="shared" ca="1" si="49"/>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29"/>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0"/>
        <v>0</v>
      </c>
      <c r="CJ35" s="16">
        <f t="shared" ca="1" si="31"/>
        <v>1</v>
      </c>
      <c r="CK35" s="16">
        <f t="shared" ca="1" si="32"/>
        <v>0</v>
      </c>
      <c r="CL35" s="16">
        <f t="shared" ca="1" si="50"/>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33"/>
        <v>0</v>
      </c>
      <c r="CP35" s="16">
        <f t="shared" ca="1" si="34"/>
        <v>0</v>
      </c>
      <c r="CQ35" s="16">
        <f t="shared" ca="1" si="51"/>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35"/>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36"/>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37"/>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52"/>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38"/>
        <v>1</v>
      </c>
      <c r="DK35" s="16">
        <f t="shared" ca="1" si="39"/>
        <v>4</v>
      </c>
      <c r="DL35" s="16">
        <f t="shared" ca="1" si="40"/>
        <v>1</v>
      </c>
      <c r="DM35" s="16" t="str">
        <f t="shared" ca="1" si="46"/>
        <v>1.1</v>
      </c>
      <c r="DN35" s="16" cm="1">
        <f t="array" aca="1" ref="DN35" ca="1">OFFSET(Horarios!$P$3,DJ35-1,0,DL35,1)</f>
        <v>1</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P.3 (2)</v>
      </c>
      <c r="G36" s="16"/>
      <c r="H36" s="16" t="str">
        <f t="shared" ref="H36:H41" ca="1" si="114">IF(D36="Pendiente","-",INDEX($BZ$6:$BZ$53,MATCH($AA36,$BD$6:$BD$53,0)))</f>
        <v>P.1 (2)</v>
      </c>
      <c r="I36" s="16" t="str">
        <f t="shared" ref="I36:I41" ca="1" si="115">IF(D36="Pendiente","-",INDEX($BZ$6:$BZ$53,MATCH($AF36,$BD$6:$BD$53,0)))</f>
        <v>P.3 (2)</v>
      </c>
      <c r="J36" s="16"/>
      <c r="K36" s="16" t="str">
        <f t="shared" ref="K36:K41" ca="1" si="116">IF(D36="Pendiente","-",INDEX($CE$6:$CE$53,MATCH($AA36,$BD$6:$BD$53,0)))</f>
        <v>P.1 (2)</v>
      </c>
      <c r="L36" s="16" t="str">
        <f t="shared" ref="L36:L41" ca="1" si="117">IF(D36="Pendiente","-",INDEX($CE$6:$CE$53,MATCH($AF36,$BD$6:$BD$53,0)))</f>
        <v>P.3 (2)</v>
      </c>
      <c r="M36" s="16"/>
      <c r="N36" s="16" t="str">
        <f t="shared" ref="N36:N41" ca="1" si="118">IF(D36="Pendiente","-",INDEX($CH$6:$CH$53,MATCH($AA36,$BD$6:$BD$53,0)))</f>
        <v>P.1 (2)</v>
      </c>
      <c r="O36" s="16" t="str">
        <f t="shared" ref="O36:O41" ca="1" si="119">IF(D36="Pendiente","-",INDEX($CH$6:$CH$53,MATCH($AF36,$BD$6:$BD$53,0)))</f>
        <v>P.3 (2)</v>
      </c>
      <c r="P36" s="16"/>
      <c r="Q36" s="16" t="str">
        <f t="shared" ref="Q36:Q41" ca="1" si="120">IF(D36="Pendiente","-",INDEX($CN$6:$CN$53,MATCH($AA36,$BD$6:$BD$53,0)))</f>
        <v>P.1 (2)</v>
      </c>
      <c r="R36" s="16" t="str">
        <f t="shared" ref="R36:R41" ca="1" si="121">IF(D36="Pendiente","-",INDEX($CN$6:$CN$53,MATCH($AF36,$BD$6:$BD$53,0)))</f>
        <v>P.3 (2)</v>
      </c>
      <c r="S36" s="16"/>
      <c r="T36" s="16" t="str">
        <f t="shared" ref="T36:T41" ca="1" si="122">IF(D36="Pendiente","-",INDEX($CS$6:$CS$53,MATCH($AA36,$BD$6:$BD$53,0)))</f>
        <v>P.1 (2)</v>
      </c>
      <c r="U36" s="16" t="str">
        <f t="shared" ref="U36:U41" ca="1" si="123">IF(D36="Pendiente","-",INDEX($CS$6:$CS$53,MATCH($AF36,$BD$6:$BD$53,0)))</f>
        <v>P.3 (2)</v>
      </c>
      <c r="V36" s="17"/>
      <c r="W36" s="656"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1</v>
      </c>
      <c r="BG36" s="16">
        <f t="shared" ca="1" si="17"/>
        <v>0</v>
      </c>
      <c r="BH36" s="16">
        <f t="shared" ca="1" si="18"/>
        <v>1</v>
      </c>
      <c r="BI36" s="16">
        <f t="shared" ca="1" si="19"/>
        <v>0</v>
      </c>
      <c r="BJ36" s="16">
        <f t="shared" ca="1" si="20"/>
        <v>1</v>
      </c>
      <c r="BK36" s="16">
        <f t="shared" ca="1" si="21"/>
        <v>1</v>
      </c>
      <c r="BL36" s="16">
        <f t="shared" ca="1" si="42"/>
        <v>0</v>
      </c>
      <c r="BM36" s="16" t="str">
        <f t="shared" ca="1" si="22"/>
        <v>1H</v>
      </c>
      <c r="BN36" s="16" t="str">
        <f t="shared" ca="1" si="23"/>
        <v>1H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4"/>
        <v>0</v>
      </c>
      <c r="BV36" s="16">
        <f t="shared" ca="1" si="25"/>
        <v>1</v>
      </c>
      <c r="BW36" s="16">
        <f t="shared" ca="1" si="26"/>
        <v>0</v>
      </c>
      <c r="BX36" s="16">
        <f t="shared" ca="1" si="48"/>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27"/>
        <v>1</v>
      </c>
      <c r="CB36" s="16">
        <f t="shared" ca="1" si="28"/>
        <v>1</v>
      </c>
      <c r="CC36" s="16">
        <f t="shared" ca="1" si="49"/>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29"/>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0"/>
        <v>0</v>
      </c>
      <c r="CJ36" s="16">
        <f t="shared" ca="1" si="31"/>
        <v>1</v>
      </c>
      <c r="CK36" s="16">
        <f t="shared" ca="1" si="32"/>
        <v>0</v>
      </c>
      <c r="CL36" s="16">
        <f t="shared" ca="1" si="50"/>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33"/>
        <v>1</v>
      </c>
      <c r="CP36" s="16">
        <f t="shared" ca="1" si="34"/>
        <v>1</v>
      </c>
      <c r="CQ36" s="16">
        <f t="shared" ca="1" si="51"/>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35"/>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36"/>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37"/>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52"/>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38"/>
        <v>3</v>
      </c>
      <c r="DK36" s="16">
        <f t="shared" ca="1" si="39"/>
        <v>4</v>
      </c>
      <c r="DL36" s="16">
        <f t="shared" ca="1" si="40"/>
        <v>1</v>
      </c>
      <c r="DM36" s="16" t="str">
        <f t="shared" ca="1" si="46"/>
        <v>3.1</v>
      </c>
      <c r="DN36" s="16" cm="1">
        <f t="array" aca="1" ref="DN36" ca="1">OFFSET(Horarios!$P$3,DJ36-1,0,DL36,1)</f>
        <v>3</v>
      </c>
      <c r="DO36" s="16"/>
      <c r="DP36" s="16" t="s">
        <v>446</v>
      </c>
      <c r="DQ36" s="16" t="str">
        <f t="shared" ca="1" si="47"/>
        <v>España</v>
      </c>
    </row>
    <row r="37" spans="1:121" ht="16" customHeight="1">
      <c r="A37" s="16" t="str">
        <f ca="1">+Equipos!B18</f>
        <v>Alemania</v>
      </c>
      <c r="B37" s="16"/>
      <c r="C37" s="16"/>
      <c r="D37" s="16" t="str">
        <f t="shared" si="111"/>
        <v>Local</v>
      </c>
      <c r="E37" s="16" t="str">
        <f t="shared" ca="1" si="112"/>
        <v>P.1 (2)</v>
      </c>
      <c r="F37" s="16" t="str">
        <f t="shared" ca="1" si="113"/>
        <v>P.3 (2)</v>
      </c>
      <c r="G37" s="16"/>
      <c r="H37" s="16" t="str">
        <f t="shared" ca="1" si="114"/>
        <v>P.1 (2)</v>
      </c>
      <c r="I37" s="16" t="str">
        <f t="shared" ca="1" si="115"/>
        <v>P.3 (2)</v>
      </c>
      <c r="J37" s="16"/>
      <c r="K37" s="16" t="str">
        <f t="shared" ca="1" si="116"/>
        <v>P.1 (2)</v>
      </c>
      <c r="L37" s="16" t="str">
        <f t="shared" ca="1" si="117"/>
        <v>P.3 (2)</v>
      </c>
      <c r="M37" s="16"/>
      <c r="N37" s="16" t="str">
        <f t="shared" ca="1" si="118"/>
        <v>P.1 (2)</v>
      </c>
      <c r="O37" s="16" t="str">
        <f t="shared" ca="1" si="119"/>
        <v>P.3 (2)</v>
      </c>
      <c r="P37" s="16"/>
      <c r="Q37" s="16" t="str">
        <f t="shared" ca="1" si="120"/>
        <v>P.1 (2)</v>
      </c>
      <c r="R37" s="16" t="str">
        <f t="shared" ca="1" si="121"/>
        <v>P.3 (2)</v>
      </c>
      <c r="S37" s="16"/>
      <c r="T37" s="16" t="str">
        <f t="shared" ca="1" si="122"/>
        <v>P.1 (2)</v>
      </c>
      <c r="U37" s="16" t="str">
        <f t="shared" ca="1" si="123"/>
        <v>P.3 (2)</v>
      </c>
      <c r="V37" s="17"/>
      <c r="W37" s="656"/>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1</v>
      </c>
      <c r="BF37" s="16">
        <f t="shared" ca="1" si="41"/>
        <v>1</v>
      </c>
      <c r="BG37" s="16">
        <f t="shared" ca="1" si="17"/>
        <v>0</v>
      </c>
      <c r="BH37" s="16">
        <f t="shared" ca="1" si="18"/>
        <v>1</v>
      </c>
      <c r="BI37" s="16">
        <f t="shared" ca="1" si="19"/>
        <v>0</v>
      </c>
      <c r="BJ37" s="16">
        <f t="shared" ca="1" si="20"/>
        <v>1</v>
      </c>
      <c r="BK37" s="16">
        <f t="shared" ca="1" si="21"/>
        <v>1</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4"/>
        <v>0</v>
      </c>
      <c r="BV37" s="16">
        <f t="shared" ca="1" si="25"/>
        <v>1</v>
      </c>
      <c r="BW37" s="16">
        <f t="shared" ca="1" si="26"/>
        <v>0</v>
      </c>
      <c r="BX37" s="16">
        <f t="shared" ca="1" si="48"/>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27"/>
        <v>1</v>
      </c>
      <c r="CB37" s="16">
        <f t="shared" ca="1" si="28"/>
        <v>1</v>
      </c>
      <c r="CC37" s="16">
        <f t="shared" ca="1" si="49"/>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29"/>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0"/>
        <v>0</v>
      </c>
      <c r="CJ37" s="16">
        <f t="shared" ca="1" si="31"/>
        <v>1</v>
      </c>
      <c r="CK37" s="16">
        <f t="shared" ca="1" si="32"/>
        <v>0</v>
      </c>
      <c r="CL37" s="16">
        <f t="shared" ca="1" si="50"/>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33"/>
        <v>1</v>
      </c>
      <c r="CP37" s="16">
        <f t="shared" ca="1" si="34"/>
        <v>1</v>
      </c>
      <c r="CQ37" s="16">
        <f t="shared" ca="1" si="51"/>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35"/>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36"/>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37"/>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52"/>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38"/>
        <v>3</v>
      </c>
      <c r="DK37" s="16">
        <f t="shared" ca="1" si="39"/>
        <v>4</v>
      </c>
      <c r="DL37" s="16">
        <f t="shared" ca="1" si="40"/>
        <v>1</v>
      </c>
      <c r="DM37" s="16" t="str">
        <f t="shared" ca="1" si="46"/>
        <v>3.1</v>
      </c>
      <c r="DN37" s="16" cm="1">
        <f t="array" aca="1" ref="DN37" ca="1">OFFSET(Horarios!$P$3,DJ37-1,0,DL37,1)</f>
        <v>3</v>
      </c>
      <c r="DO37" s="16"/>
      <c r="DP37" s="16" t="s">
        <v>684</v>
      </c>
      <c r="DQ37" s="16" t="str">
        <f t="shared" ca="1" si="47"/>
        <v>Cabo Verde</v>
      </c>
    </row>
    <row r="38" spans="1:121" ht="16" customHeight="1">
      <c r="A38" s="16" t="str">
        <f ca="1">+Equipos!B19</f>
        <v>Curazao</v>
      </c>
      <c r="B38" s="16"/>
      <c r="C38" s="16"/>
      <c r="D38" s="16" t="str">
        <f t="shared" si="111"/>
        <v>Pendiente</v>
      </c>
      <c r="E38" s="16" t="str">
        <f t="shared" si="112"/>
        <v>-</v>
      </c>
      <c r="F38" s="16" t="str">
        <f t="shared" si="113"/>
        <v>-</v>
      </c>
      <c r="G38" s="16"/>
      <c r="H38" s="16" t="str">
        <f t="shared" si="114"/>
        <v>-</v>
      </c>
      <c r="I38" s="16" t="str">
        <f t="shared" si="115"/>
        <v>-</v>
      </c>
      <c r="J38" s="16"/>
      <c r="K38" s="16" t="str">
        <f t="shared" si="116"/>
        <v>-</v>
      </c>
      <c r="L38" s="16" t="str">
        <f t="shared" si="117"/>
        <v>-</v>
      </c>
      <c r="M38" s="16"/>
      <c r="N38" s="16" t="str">
        <f t="shared" si="118"/>
        <v>-</v>
      </c>
      <c r="O38" s="16" t="str">
        <f t="shared" si="119"/>
        <v>-</v>
      </c>
      <c r="P38" s="16"/>
      <c r="Q38" s="16" t="str">
        <f t="shared" si="120"/>
        <v>-</v>
      </c>
      <c r="R38" s="16" t="str">
        <f t="shared" si="121"/>
        <v>-</v>
      </c>
      <c r="S38" s="16"/>
      <c r="T38" s="16" t="str">
        <f t="shared" si="122"/>
        <v>-</v>
      </c>
      <c r="U38" s="16" t="str">
        <f t="shared" si="123"/>
        <v>-</v>
      </c>
      <c r="V38" s="17"/>
      <c r="W38" s="656"/>
      <c r="X38" s="24">
        <f ca="1">Horarios!C38</f>
        <v>46193.916666666664</v>
      </c>
      <c r="Y38" s="25">
        <f ca="1">Horarios!C38</f>
        <v>46193.916666666664</v>
      </c>
      <c r="Z38" s="26" t="str">
        <f>$Z$6</f>
        <v>J2</v>
      </c>
      <c r="AA38" s="27" t="str">
        <f ca="1">A37</f>
        <v>Alemania</v>
      </c>
      <c r="AB38" s="49" t="e" cm="1" vm="17">
        <f t="array" aca="1" ref="AB38" ca="1">Ver_flag_local</f>
        <v>#VALUE!</v>
      </c>
      <c r="AC38" s="50"/>
      <c r="AD38" s="51"/>
      <c r="AE38" s="574" t="e" cm="1" vm="19">
        <f t="array" aca="1" ref="AE38" ca="1">Ver_flag_visit</f>
        <v>#VALUE!</v>
      </c>
      <c r="AF38" s="32" t="str">
        <f ca="1">A39</f>
        <v>Costa de Marfil</v>
      </c>
      <c r="AG38" s="309">
        <f t="shared" si="124"/>
        <v>0</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3</v>
      </c>
      <c r="AN38" s="36">
        <f t="shared" ca="1" si="127"/>
        <v>1</v>
      </c>
      <c r="AO38" s="36">
        <f t="shared" ca="1" si="127"/>
        <v>1</v>
      </c>
      <c r="AP38" s="36">
        <f t="shared" ca="1" si="127"/>
        <v>0</v>
      </c>
      <c r="AQ38" s="36">
        <f t="shared" ca="1" si="127"/>
        <v>0</v>
      </c>
      <c r="AR38" s="36">
        <f t="shared" ca="1" si="127"/>
        <v>7</v>
      </c>
      <c r="AS38" s="36">
        <f t="shared" ca="1" si="127"/>
        <v>1</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3</v>
      </c>
      <c r="BF38" s="16">
        <f t="shared" ca="1" si="41"/>
        <v>1</v>
      </c>
      <c r="BG38" s="16">
        <f t="shared" ca="1" si="17"/>
        <v>1</v>
      </c>
      <c r="BH38" s="16">
        <f t="shared" ca="1" si="18"/>
        <v>0</v>
      </c>
      <c r="BI38" s="16">
        <f t="shared" ca="1" si="19"/>
        <v>0</v>
      </c>
      <c r="BJ38" s="16">
        <f t="shared" ca="1" si="20"/>
        <v>3</v>
      </c>
      <c r="BK38" s="16">
        <f t="shared" ca="1" si="21"/>
        <v>1</v>
      </c>
      <c r="BL38" s="16">
        <f t="shared" ca="1" si="42"/>
        <v>2</v>
      </c>
      <c r="BM38" s="16" t="str">
        <f t="shared" ca="1" si="22"/>
        <v>2I</v>
      </c>
      <c r="BN38" s="16" t="str">
        <f t="shared" ca="1" si="23"/>
        <v>2I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52"/>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38"/>
        <v>1</v>
      </c>
      <c r="DK38" s="16">
        <f t="shared" ca="1" si="39"/>
        <v>4</v>
      </c>
      <c r="DL38" s="16">
        <f t="shared" ca="1" si="40"/>
        <v>1</v>
      </c>
      <c r="DM38" s="16" t="str">
        <f t="shared" ca="1" si="46"/>
        <v>1.1</v>
      </c>
      <c r="DN38" s="16" cm="1">
        <f t="array" aca="1" ref="DN38" ca="1">OFFSET(Horarios!$P$3,DJ38-1,0,DL38,1)</f>
        <v>1</v>
      </c>
      <c r="DO38" s="16"/>
      <c r="DP38" s="16" t="s">
        <v>685</v>
      </c>
      <c r="DQ38" s="16" t="str">
        <f t="shared" ca="1" si="47"/>
        <v>Noruega</v>
      </c>
    </row>
    <row r="39" spans="1:121" ht="16" customHeight="1">
      <c r="A39" s="16" t="str">
        <f ca="1">+Equipos!B20</f>
        <v>Costa de Marfil</v>
      </c>
      <c r="B39" s="16"/>
      <c r="C39" s="16"/>
      <c r="D39" s="16" t="str">
        <f t="shared" si="111"/>
        <v>Pendiente</v>
      </c>
      <c r="E39" s="16" t="str">
        <f t="shared" si="112"/>
        <v>-</v>
      </c>
      <c r="F39" s="16" t="str">
        <f t="shared" si="113"/>
        <v>-</v>
      </c>
      <c r="G39" s="16"/>
      <c r="H39" s="16" t="str">
        <f t="shared" si="114"/>
        <v>-</v>
      </c>
      <c r="I39" s="16" t="str">
        <f t="shared" si="115"/>
        <v>-</v>
      </c>
      <c r="J39" s="16"/>
      <c r="K39" s="16" t="str">
        <f t="shared" si="116"/>
        <v>-</v>
      </c>
      <c r="L39" s="16" t="str">
        <f t="shared" si="117"/>
        <v>-</v>
      </c>
      <c r="M39" s="16"/>
      <c r="N39" s="16" t="str">
        <f t="shared" si="118"/>
        <v>-</v>
      </c>
      <c r="O39" s="16" t="str">
        <f t="shared" si="119"/>
        <v>-</v>
      </c>
      <c r="P39" s="16"/>
      <c r="Q39" s="16" t="str">
        <f t="shared" si="120"/>
        <v>-</v>
      </c>
      <c r="R39" s="16" t="str">
        <f t="shared" si="121"/>
        <v>-</v>
      </c>
      <c r="S39" s="16"/>
      <c r="T39" s="16" t="str">
        <f t="shared" si="122"/>
        <v>-</v>
      </c>
      <c r="U39" s="16" t="str">
        <f t="shared" si="123"/>
        <v>-</v>
      </c>
      <c r="V39" s="17"/>
      <c r="W39" s="656"/>
      <c r="X39" s="24">
        <f ca="1">Horarios!C39</f>
        <v>46194.083333333336</v>
      </c>
      <c r="Y39" s="25">
        <f ca="1">Horarios!C39</f>
        <v>46194.083333333336</v>
      </c>
      <c r="Z39" s="26" t="str">
        <f>$Z$6</f>
        <v>J2</v>
      </c>
      <c r="AA39" s="27" t="str">
        <f ca="1">A40</f>
        <v>Ecuador</v>
      </c>
      <c r="AB39" s="49" t="e" cm="1" vm="20">
        <f t="array" aca="1" ref="AB39" ca="1">Ver_flag_local</f>
        <v>#VALUE!</v>
      </c>
      <c r="AC39" s="50"/>
      <c r="AD39" s="51"/>
      <c r="AE39" s="574" t="e" cm="1" vm="18">
        <f t="array" aca="1" ref="AE39" ca="1">Ver_flag_visit</f>
        <v>#VALUE!</v>
      </c>
      <c r="AF39" s="32" t="str">
        <f ca="1">A38</f>
        <v>Curazao</v>
      </c>
      <c r="AG39" s="309">
        <f t="shared" si="124"/>
        <v>0</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1</v>
      </c>
      <c r="AO39" s="39">
        <f t="shared" ca="1" si="127"/>
        <v>1</v>
      </c>
      <c r="AP39" s="39">
        <f t="shared" ca="1" si="127"/>
        <v>0</v>
      </c>
      <c r="AQ39" s="39">
        <f t="shared" ca="1" si="127"/>
        <v>0</v>
      </c>
      <c r="AR39" s="39">
        <f t="shared" ca="1" si="127"/>
        <v>1</v>
      </c>
      <c r="AS39" s="39">
        <f t="shared" ca="1" si="127"/>
        <v>0</v>
      </c>
      <c r="AT39" s="43">
        <f t="shared" ca="1" si="127"/>
        <v>1</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1</v>
      </c>
      <c r="BG39" s="16">
        <f t="shared" ca="1" si="17"/>
        <v>0</v>
      </c>
      <c r="BH39" s="16">
        <f t="shared" ca="1" si="18"/>
        <v>0</v>
      </c>
      <c r="BI39" s="16">
        <f t="shared" ca="1" si="19"/>
        <v>1</v>
      </c>
      <c r="BJ39" s="16">
        <f t="shared" ca="1" si="20"/>
        <v>1</v>
      </c>
      <c r="BK39" s="16">
        <f t="shared" ca="1" si="21"/>
        <v>3</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4</v>
      </c>
      <c r="DL39" s="16">
        <f t="shared" ca="1" si="40"/>
        <v>1</v>
      </c>
      <c r="DM39" s="16" t="str">
        <f t="shared" ca="1" si="46"/>
        <v>2.1</v>
      </c>
      <c r="DN39" s="16" cm="1">
        <f t="array" aca="1" ref="DN39" ca="1">OFFSET(Horarios!$P$3,DJ39-1,0,DL39,1)</f>
        <v>2</v>
      </c>
      <c r="DO39" s="16"/>
      <c r="DP39" s="16" t="s">
        <v>686</v>
      </c>
      <c r="DQ39" s="16" t="str">
        <f t="shared" ca="1" si="47"/>
        <v>Francia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6"/>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0</v>
      </c>
      <c r="AN40" s="39">
        <f t="shared" ca="1" si="127"/>
        <v>1</v>
      </c>
      <c r="AO40" s="39">
        <f t="shared" ca="1" si="127"/>
        <v>0</v>
      </c>
      <c r="AP40" s="39">
        <f t="shared" ca="1" si="127"/>
        <v>0</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1</v>
      </c>
      <c r="BG40" s="16">
        <f t="shared" ca="1" si="17"/>
        <v>0</v>
      </c>
      <c r="BH40" s="16">
        <f t="shared" ca="1" si="18"/>
        <v>0</v>
      </c>
      <c r="BI40" s="16">
        <f t="shared" ca="1" si="19"/>
        <v>1</v>
      </c>
      <c r="BJ40" s="16">
        <f t="shared" ca="1" si="20"/>
        <v>1</v>
      </c>
      <c r="BK40" s="16">
        <f t="shared" ca="1" si="21"/>
        <v>4</v>
      </c>
      <c r="BL40" s="16">
        <f t="shared" ca="1" si="42"/>
        <v>-3</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4</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7"/>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0</v>
      </c>
      <c r="AN41" s="47">
        <f t="shared" ca="1" si="127"/>
        <v>1</v>
      </c>
      <c r="AO41" s="47">
        <f t="shared" ca="1" si="127"/>
        <v>0</v>
      </c>
      <c r="AP41" s="47">
        <f t="shared" ca="1" si="127"/>
        <v>0</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3</v>
      </c>
      <c r="BF41" s="16">
        <f t="shared" ca="1" si="41"/>
        <v>1</v>
      </c>
      <c r="BG41" s="16">
        <f t="shared" ca="1" si="17"/>
        <v>1</v>
      </c>
      <c r="BH41" s="16">
        <f t="shared" ca="1" si="18"/>
        <v>0</v>
      </c>
      <c r="BI41" s="16">
        <f t="shared" ca="1" si="19"/>
        <v>0</v>
      </c>
      <c r="BJ41" s="16">
        <f t="shared" ca="1" si="20"/>
        <v>4</v>
      </c>
      <c r="BK41" s="16">
        <f t="shared" ca="1" si="21"/>
        <v>1</v>
      </c>
      <c r="BL41" s="16">
        <f t="shared" ca="1" si="42"/>
        <v>3</v>
      </c>
      <c r="BM41" s="16" t="str">
        <f t="shared" ca="1" si="22"/>
        <v>1I</v>
      </c>
      <c r="BN41" s="16" t="str">
        <f t="shared" ca="1" si="23"/>
        <v>1I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52"/>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38"/>
        <v>4</v>
      </c>
      <c r="DK41" s="16">
        <f t="shared" ca="1" si="39"/>
        <v>4</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3</v>
      </c>
      <c r="BF42" s="16">
        <f t="shared" ca="1" si="41"/>
        <v>1</v>
      </c>
      <c r="BG42" s="16">
        <f t="shared" ca="1" si="17"/>
        <v>1</v>
      </c>
      <c r="BH42" s="16">
        <f t="shared" ca="1" si="18"/>
        <v>0</v>
      </c>
      <c r="BI42" s="16">
        <f t="shared" ca="1" si="19"/>
        <v>0</v>
      </c>
      <c r="BJ42" s="16">
        <f t="shared" ca="1" si="20"/>
        <v>3</v>
      </c>
      <c r="BK42" s="16">
        <f t="shared" ca="1" si="21"/>
        <v>0</v>
      </c>
      <c r="BL42" s="16">
        <f t="shared" ca="1" si="42"/>
        <v>3</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4"/>
        <v>0</v>
      </c>
      <c r="BV42" s="16">
        <f t="shared" ca="1" si="25"/>
        <v>0</v>
      </c>
      <c r="BW42" s="16">
        <f t="shared" ca="1" si="26"/>
        <v>0</v>
      </c>
      <c r="BX42" s="16">
        <f t="shared" ca="1" si="48"/>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27"/>
        <v>0</v>
      </c>
      <c r="CB42" s="16">
        <f t="shared" ca="1" si="28"/>
        <v>0</v>
      </c>
      <c r="CC42" s="16">
        <f t="shared" ca="1" si="49"/>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29"/>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0"/>
        <v>0</v>
      </c>
      <c r="CJ42" s="16">
        <f t="shared" ca="1" si="31"/>
        <v>0</v>
      </c>
      <c r="CK42" s="16">
        <f t="shared" ca="1" si="32"/>
        <v>0</v>
      </c>
      <c r="CL42" s="16">
        <f t="shared" ca="1" si="50"/>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33"/>
        <v>0</v>
      </c>
      <c r="CP42" s="16">
        <f t="shared" ca="1" si="34"/>
        <v>0</v>
      </c>
      <c r="CQ42" s="16">
        <f t="shared" ca="1" si="51"/>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35"/>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36"/>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4</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0</v>
      </c>
      <c r="BF43" s="16">
        <f t="shared" ca="1" si="41"/>
        <v>1</v>
      </c>
      <c r="BG43" s="16">
        <f t="shared" ca="1" si="17"/>
        <v>0</v>
      </c>
      <c r="BH43" s="16">
        <f t="shared" ca="1" si="18"/>
        <v>0</v>
      </c>
      <c r="BI43" s="16">
        <f t="shared" ca="1" si="19"/>
        <v>1</v>
      </c>
      <c r="BJ43" s="16">
        <f t="shared" ca="1" si="20"/>
        <v>0</v>
      </c>
      <c r="BK43" s="16">
        <f t="shared" ca="1" si="21"/>
        <v>3</v>
      </c>
      <c r="BL43" s="16">
        <f t="shared" ca="1" si="42"/>
        <v>-3</v>
      </c>
      <c r="BM43" s="16" t="str">
        <f t="shared" ca="1" si="22"/>
        <v>4J</v>
      </c>
      <c r="BN43" s="16" t="str">
        <f t="shared" ca="1" si="23"/>
        <v>4J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4"/>
        <v>0</v>
      </c>
      <c r="BV43" s="16">
        <f t="shared" ca="1" si="25"/>
        <v>0</v>
      </c>
      <c r="BW43" s="16">
        <f t="shared" ca="1" si="26"/>
        <v>0</v>
      </c>
      <c r="BX43" s="16">
        <f t="shared" ca="1" si="48"/>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27"/>
        <v>0</v>
      </c>
      <c r="CB43" s="16">
        <f t="shared" ca="1" si="28"/>
        <v>0</v>
      </c>
      <c r="CC43" s="16">
        <f t="shared" ca="1" si="49"/>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29"/>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0"/>
        <v>0</v>
      </c>
      <c r="CJ43" s="16">
        <f t="shared" ca="1" si="31"/>
        <v>0</v>
      </c>
      <c r="CK43" s="16">
        <f t="shared" ca="1" si="32"/>
        <v>0</v>
      </c>
      <c r="CL43" s="16">
        <f t="shared" ca="1" si="50"/>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33"/>
        <v>0</v>
      </c>
      <c r="CP43" s="16">
        <f t="shared" ca="1" si="34"/>
        <v>0</v>
      </c>
      <c r="CQ43" s="16">
        <f t="shared" ca="1" si="51"/>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35"/>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36"/>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52"/>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38"/>
        <v>2</v>
      </c>
      <c r="DK43" s="16">
        <f t="shared" ca="1" si="39"/>
        <v>4</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P.2 (2)</v>
      </c>
      <c r="F44" s="16" t="str">
        <f t="shared" ref="F44:F49" ca="1" si="133">IF(D44="Pendiente","-",INDEX($BT$6:$BT$53,MATCH($AF44,$BD$6:$BD$53,0)))</f>
        <v>P.2 (2)</v>
      </c>
      <c r="G44" s="16"/>
      <c r="H44" s="16" t="str">
        <f t="shared" ref="H44:H49" ca="1" si="134">IF(D44="Pendiente","-",INDEX($BZ$6:$BZ$53,MATCH($AA44,$BD$6:$BD$53,0)))</f>
        <v>P.2 (2)</v>
      </c>
      <c r="I44" s="16" t="str">
        <f t="shared" ref="I44:I49" ca="1" si="135">IF(D44="Pendiente","-",INDEX($BZ$6:$BZ$53,MATCH($AF44,$BD$6:$BD$53,0)))</f>
        <v>P.2 (2)</v>
      </c>
      <c r="J44" s="16"/>
      <c r="K44" s="16" t="str">
        <f t="shared" ref="K44:K49" ca="1" si="136">IF(D44="Pendiente","-",INDEX($CE$6:$CE$53,MATCH($AA44,$BD$6:$BD$53,0)))</f>
        <v>P.2 (2)</v>
      </c>
      <c r="L44" s="16" t="str">
        <f t="shared" ref="L44:L49" ca="1" si="137">IF(D44="Pendiente","-",INDEX($CE$6:$CE$53,MATCH($AF44,$BD$6:$BD$53,0)))</f>
        <v>P.2 (2)</v>
      </c>
      <c r="M44" s="16"/>
      <c r="N44" s="16" t="str">
        <f t="shared" ref="N44:N49" ca="1" si="138">IF(D44="Pendiente","-",INDEX($CH$6:$CH$53,MATCH($AA44,$BD$6:$BD$53,0)))</f>
        <v>P.2 (2)</v>
      </c>
      <c r="O44" s="16" t="str">
        <f t="shared" ref="O44:O49" ca="1" si="139">IF(D44="Pendiente","-",INDEX($CH$6:$CH$53,MATCH($AF44,$BD$6:$BD$53,0)))</f>
        <v>P.2 (2)</v>
      </c>
      <c r="P44" s="16"/>
      <c r="Q44" s="16" t="str">
        <f t="shared" ref="Q44:Q49" ca="1" si="140">IF(D44="Pendiente","-",INDEX($CN$6:$CN$53,MATCH($AA44,$BD$6:$BD$53,0)))</f>
        <v>P.2 (2)</v>
      </c>
      <c r="R44" s="16" t="str">
        <f t="shared" ref="R44:R49" ca="1" si="141">IF(D44="Pendiente","-",INDEX($CN$6:$CN$53,MATCH($AF44,$BD$6:$BD$53,0)))</f>
        <v>P.2 (2)</v>
      </c>
      <c r="S44" s="16"/>
      <c r="T44" s="16" t="str">
        <f t="shared" ref="T44:T49" ca="1" si="142">IF(D44="Pendiente","-",INDEX($CS$6:$CS$53,MATCH($AA44,$BD$6:$BD$53,0)))</f>
        <v>P.2 (2)</v>
      </c>
      <c r="U44" s="16" t="str">
        <f t="shared" ref="U44:U49" ca="1" si="143">IF(D44="Pendiente","-",INDEX($CS$6:$CS$53,MATCH($AF44,$BD$6:$BD$53,0)))</f>
        <v>P.2 (2)</v>
      </c>
      <c r="V44" s="17"/>
      <c r="W44" s="619"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1</v>
      </c>
      <c r="BG44" s="16">
        <f t="shared" ca="1" si="17"/>
        <v>1</v>
      </c>
      <c r="BH44" s="16">
        <f t="shared" ca="1" si="18"/>
        <v>0</v>
      </c>
      <c r="BI44" s="16">
        <f t="shared" ca="1" si="19"/>
        <v>0</v>
      </c>
      <c r="BJ44" s="16">
        <f t="shared" ca="1" si="20"/>
        <v>3</v>
      </c>
      <c r="BK44" s="16">
        <f t="shared" ca="1" si="21"/>
        <v>1</v>
      </c>
      <c r="BL44" s="16">
        <f t="shared" ca="1" si="42"/>
        <v>2</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4"/>
        <v>0</v>
      </c>
      <c r="BV44" s="16">
        <f t="shared" ca="1" si="25"/>
        <v>0</v>
      </c>
      <c r="BW44" s="16">
        <f t="shared" ca="1" si="26"/>
        <v>0</v>
      </c>
      <c r="BX44" s="16">
        <f t="shared" ca="1" si="48"/>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27"/>
        <v>0</v>
      </c>
      <c r="CB44" s="16">
        <f t="shared" ca="1" si="28"/>
        <v>0</v>
      </c>
      <c r="CC44" s="16">
        <f t="shared" ca="1" si="49"/>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29"/>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0"/>
        <v>0</v>
      </c>
      <c r="CJ44" s="16">
        <f t="shared" ca="1" si="31"/>
        <v>0</v>
      </c>
      <c r="CK44" s="16">
        <f t="shared" ca="1" si="32"/>
        <v>0</v>
      </c>
      <c r="CL44" s="16">
        <f t="shared" ca="1" si="50"/>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33"/>
        <v>0</v>
      </c>
      <c r="CP44" s="16">
        <f t="shared" ca="1" si="34"/>
        <v>0</v>
      </c>
      <c r="CQ44" s="16">
        <f t="shared" ca="1" si="51"/>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35"/>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36"/>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4</v>
      </c>
      <c r="DL44" s="16">
        <f t="shared" ca="1" si="40"/>
        <v>1</v>
      </c>
      <c r="DM44" s="16" t="str">
        <f t="shared" ca="1" si="46"/>
        <v>3.1</v>
      </c>
      <c r="DN44" s="16" cm="1">
        <f t="array" aca="1" ref="DN44" ca="1">OFFSET(Horarios!$P$3,DJ44-1,0,DL44,1)</f>
        <v>3</v>
      </c>
      <c r="DO44" s="16"/>
      <c r="DP44" s="16" t="s">
        <v>451</v>
      </c>
      <c r="DQ44" s="16" t="str">
        <f t="shared" ca="1" si="47"/>
        <v>Jordania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19"/>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1</v>
      </c>
      <c r="BG45" s="16">
        <f t="shared" ca="1" si="17"/>
        <v>0</v>
      </c>
      <c r="BH45" s="16">
        <f t="shared" ca="1" si="18"/>
        <v>0</v>
      </c>
      <c r="BI45" s="16">
        <f t="shared" ca="1" si="19"/>
        <v>1</v>
      </c>
      <c r="BJ45" s="16">
        <f t="shared" ca="1" si="20"/>
        <v>1</v>
      </c>
      <c r="BK45" s="16">
        <f t="shared" ca="1" si="21"/>
        <v>3</v>
      </c>
      <c r="BL45" s="16">
        <f t="shared" ca="1" si="42"/>
        <v>-2</v>
      </c>
      <c r="BM45" s="16" t="str">
        <f t="shared" ca="1" si="22"/>
        <v>3J</v>
      </c>
      <c r="BN45" s="16" t="str">
        <f t="shared" ca="1" si="23"/>
        <v>3J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4"/>
        <v>0</v>
      </c>
      <c r="BV45" s="16">
        <f t="shared" ca="1" si="25"/>
        <v>0</v>
      </c>
      <c r="BW45" s="16">
        <f t="shared" ca="1" si="26"/>
        <v>0</v>
      </c>
      <c r="BX45" s="16">
        <f t="shared" ca="1" si="48"/>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27"/>
        <v>0</v>
      </c>
      <c r="CB45" s="16">
        <f t="shared" ca="1" si="28"/>
        <v>0</v>
      </c>
      <c r="CC45" s="16">
        <f t="shared" ca="1" si="49"/>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29"/>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0"/>
        <v>0</v>
      </c>
      <c r="CJ45" s="16">
        <f t="shared" ca="1" si="31"/>
        <v>0</v>
      </c>
      <c r="CK45" s="16">
        <f t="shared" ca="1" si="32"/>
        <v>0</v>
      </c>
      <c r="CL45" s="16">
        <f t="shared" ca="1" si="50"/>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33"/>
        <v>0</v>
      </c>
      <c r="CP45" s="16">
        <f t="shared" ca="1" si="34"/>
        <v>0</v>
      </c>
      <c r="CQ45" s="16">
        <f t="shared" ca="1" si="51"/>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35"/>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36"/>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52"/>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38"/>
        <v>4</v>
      </c>
      <c r="DK45" s="16">
        <f t="shared" ca="1" si="39"/>
        <v>4</v>
      </c>
      <c r="DL45" s="16">
        <f t="shared" ca="1" si="40"/>
        <v>1</v>
      </c>
      <c r="DM45" s="16" t="str">
        <f t="shared" ca="1" si="46"/>
        <v>4.1</v>
      </c>
      <c r="DN45" s="16" cm="1">
        <f t="array" aca="1" ref="DN45" ca="1">OFFSET(Horarios!$P$3,DJ45-1,0,DL45,1)</f>
        <v>4</v>
      </c>
      <c r="DO45" s="16"/>
      <c r="DP45" s="16" t="s">
        <v>690</v>
      </c>
      <c r="DQ45" s="16" t="str">
        <f t="shared" ca="1" si="47"/>
        <v>Argelia</v>
      </c>
    </row>
    <row r="46" spans="1:121" ht="16" customHeight="1">
      <c r="A46" s="16" t="str">
        <f ca="1">+Equipos!B23</f>
        <v>Japón</v>
      </c>
      <c r="B46" s="16"/>
      <c r="C46" s="16"/>
      <c r="D46" s="16" t="str">
        <f t="shared" si="131"/>
        <v>Pendiente</v>
      </c>
      <c r="E46" s="16" t="str">
        <f t="shared" si="132"/>
        <v>-</v>
      </c>
      <c r="F46" s="16" t="str">
        <f t="shared" si="133"/>
        <v>-</v>
      </c>
      <c r="G46" s="16"/>
      <c r="H46" s="16" t="str">
        <f t="shared" si="134"/>
        <v>-</v>
      </c>
      <c r="I46" s="16" t="str">
        <f t="shared" si="135"/>
        <v>-</v>
      </c>
      <c r="J46" s="16"/>
      <c r="K46" s="16" t="str">
        <f t="shared" si="136"/>
        <v>-</v>
      </c>
      <c r="L46" s="16" t="str">
        <f t="shared" si="137"/>
        <v>-</v>
      </c>
      <c r="M46" s="16"/>
      <c r="N46" s="16" t="str">
        <f t="shared" si="138"/>
        <v>-</v>
      </c>
      <c r="O46" s="16" t="str">
        <f t="shared" si="139"/>
        <v>-</v>
      </c>
      <c r="P46" s="16"/>
      <c r="Q46" s="16" t="str">
        <f t="shared" si="140"/>
        <v>-</v>
      </c>
      <c r="R46" s="16" t="str">
        <f t="shared" si="141"/>
        <v>-</v>
      </c>
      <c r="S46" s="16"/>
      <c r="T46" s="16" t="str">
        <f t="shared" si="142"/>
        <v>-</v>
      </c>
      <c r="U46" s="16" t="str">
        <f t="shared" si="143"/>
        <v>-</v>
      </c>
      <c r="V46" s="17"/>
      <c r="W46" s="619"/>
      <c r="X46" s="24">
        <f ca="1">Horarios!C46</f>
        <v>46193.791666666664</v>
      </c>
      <c r="Y46" s="25">
        <f ca="1">Horarios!C46</f>
        <v>46193.791666666664</v>
      </c>
      <c r="Z46" s="26" t="str">
        <f>$Z$6</f>
        <v>J2</v>
      </c>
      <c r="AA46" s="27" t="str">
        <f ca="1">A45</f>
        <v>Países Bajos</v>
      </c>
      <c r="AB46" s="49" t="e" cm="1" vm="21">
        <f t="array" aca="1" ref="AB46" ca="1">Ver_flag_local</f>
        <v>#VALUE!</v>
      </c>
      <c r="AC46" s="50"/>
      <c r="AD46" s="51"/>
      <c r="AE46" s="574" t="e" cm="1" vm="23">
        <f t="array" aca="1" ref="AE46" ca="1">Ver_flag_visit</f>
        <v>#VALUE!</v>
      </c>
      <c r="AF46" s="32" t="str">
        <f ca="1">A47</f>
        <v>Suecia</v>
      </c>
      <c r="AG46" s="309">
        <f t="shared" si="144"/>
        <v>0</v>
      </c>
      <c r="AH46" s="187">
        <v>35</v>
      </c>
      <c r="AI46" s="173" t="str">
        <f>AJ46&amp;$B$44</f>
        <v>1F</v>
      </c>
      <c r="AJ46" s="40">
        <v>1</v>
      </c>
      <c r="AK46" s="580" t="e" cm="1" vm="23">
        <f t="array" aca="1" ref="AK46" ca="1">Ver_flag_visit</f>
        <v>#VALUE!</v>
      </c>
      <c r="AL46" s="34" t="str">
        <f ca="1">IFERROR(INDEX($BD$6:$BD$53,MATCH(AI46,$BN$6:$BN$53,0)),"")</f>
        <v>Suecia</v>
      </c>
      <c r="AM46" s="35">
        <f t="shared" ref="AM46:AT49" ca="1" si="147">INDEX($BE$6:$BN$53,MATCH($AL46,$BD$6:$BD$53,0),MATCH(AM$5,$BE$5:$BN$5,0))</f>
        <v>3</v>
      </c>
      <c r="AN46" s="36">
        <f t="shared" ca="1" si="147"/>
        <v>1</v>
      </c>
      <c r="AO46" s="36">
        <f t="shared" ca="1" si="147"/>
        <v>1</v>
      </c>
      <c r="AP46" s="36">
        <f t="shared" ca="1" si="147"/>
        <v>0</v>
      </c>
      <c r="AQ46" s="36">
        <f t="shared" ca="1" si="147"/>
        <v>0</v>
      </c>
      <c r="AR46" s="36">
        <f t="shared" ca="1" si="147"/>
        <v>5</v>
      </c>
      <c r="AS46" s="36">
        <f t="shared" ca="1" si="147"/>
        <v>1</v>
      </c>
      <c r="AT46" s="41">
        <f t="shared" ca="1" si="147"/>
        <v>4</v>
      </c>
      <c r="AU46" s="316">
        <f ca="1">INDEX($DL$6:$DL$53,MATCH(AI46,$DP$6:$DP$53,0))</f>
        <v>1</v>
      </c>
      <c r="AV46" s="174" t="str">
        <f ca="1">INDEX($BD$6:$BD$53,MATCH(AI46,$BM$6:$BM$53,0))</f>
        <v>Suecia</v>
      </c>
      <c r="AW46" s="202"/>
      <c r="AX46" s="163"/>
      <c r="AY46" s="193" t="str">
        <f ca="1">+A45</f>
        <v>Países Bajos</v>
      </c>
      <c r="AZ46" s="194"/>
      <c r="BA46" s="168"/>
      <c r="BC46" s="16" t="str">
        <f ca="1">+INDEX(T_Equipos[Grupo],MATCH(WORLDCUP!BD46,T_Equipos[NombreEquipo],0))</f>
        <v>K</v>
      </c>
      <c r="BD46" s="16" t="str">
        <f ca="1">+Equipos!B42</f>
        <v>Portugal</v>
      </c>
      <c r="BE46" s="16">
        <f t="shared" ca="1" si="16"/>
        <v>1</v>
      </c>
      <c r="BF46" s="16">
        <f t="shared" ca="1" si="41"/>
        <v>1</v>
      </c>
      <c r="BG46" s="16">
        <f t="shared" ca="1" si="17"/>
        <v>0</v>
      </c>
      <c r="BH46" s="16">
        <f t="shared" ca="1" si="18"/>
        <v>1</v>
      </c>
      <c r="BI46" s="16">
        <f t="shared" ca="1" si="19"/>
        <v>0</v>
      </c>
      <c r="BJ46" s="16">
        <f t="shared" ca="1" si="20"/>
        <v>1</v>
      </c>
      <c r="BK46" s="16">
        <f t="shared" ca="1" si="21"/>
        <v>1</v>
      </c>
      <c r="BL46" s="16">
        <f t="shared" ca="1" si="42"/>
        <v>0</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1</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4"/>
        <v>0</v>
      </c>
      <c r="BV46" s="16">
        <f t="shared" ca="1" si="25"/>
        <v>1</v>
      </c>
      <c r="BW46" s="16">
        <f t="shared" ca="1" si="26"/>
        <v>0</v>
      </c>
      <c r="BX46" s="16">
        <f t="shared" ca="1" si="48"/>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27"/>
        <v>1</v>
      </c>
      <c r="CB46" s="16">
        <f t="shared" ca="1" si="28"/>
        <v>1</v>
      </c>
      <c r="CC46" s="16">
        <f t="shared" ca="1" si="49"/>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29"/>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0"/>
        <v>0</v>
      </c>
      <c r="CJ46" s="16">
        <f t="shared" ca="1" si="31"/>
        <v>1</v>
      </c>
      <c r="CK46" s="16">
        <f t="shared" ca="1" si="32"/>
        <v>0</v>
      </c>
      <c r="CL46" s="16">
        <f t="shared" ca="1" si="50"/>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33"/>
        <v>1</v>
      </c>
      <c r="CP46" s="16">
        <f t="shared" ca="1" si="34"/>
        <v>1</v>
      </c>
      <c r="CQ46" s="16">
        <f t="shared" ca="1" si="51"/>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35"/>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36"/>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(2)</v>
      </c>
      <c r="CZ46" s="16">
        <f t="shared" ca="1" si="37"/>
        <v>1</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52"/>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38"/>
        <v>1</v>
      </c>
      <c r="DK46" s="16">
        <f t="shared" ca="1" si="39"/>
        <v>2</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c r="A47" s="16" t="str">
        <f ca="1">+Equipos!B24</f>
        <v>Suecia</v>
      </c>
      <c r="B47" s="16"/>
      <c r="C47" s="16"/>
      <c r="D47" s="16" t="str">
        <f t="shared" si="131"/>
        <v>Pendiente</v>
      </c>
      <c r="E47" s="16" t="str">
        <f t="shared" si="132"/>
        <v>-</v>
      </c>
      <c r="F47" s="16" t="str">
        <f t="shared" si="133"/>
        <v>-</v>
      </c>
      <c r="G47" s="16"/>
      <c r="H47" s="16" t="str">
        <f t="shared" si="134"/>
        <v>-</v>
      </c>
      <c r="I47" s="16" t="str">
        <f t="shared" si="135"/>
        <v>-</v>
      </c>
      <c r="J47" s="16"/>
      <c r="K47" s="16" t="str">
        <f t="shared" si="136"/>
        <v>-</v>
      </c>
      <c r="L47" s="16" t="str">
        <f t="shared" si="137"/>
        <v>-</v>
      </c>
      <c r="M47" s="16"/>
      <c r="N47" s="16" t="str">
        <f t="shared" si="138"/>
        <v>-</v>
      </c>
      <c r="O47" s="16" t="str">
        <f t="shared" si="139"/>
        <v>-</v>
      </c>
      <c r="P47" s="16"/>
      <c r="Q47" s="16" t="str">
        <f t="shared" si="140"/>
        <v>-</v>
      </c>
      <c r="R47" s="16" t="str">
        <f t="shared" si="141"/>
        <v>-</v>
      </c>
      <c r="S47" s="16"/>
      <c r="T47" s="16" t="str">
        <f t="shared" si="142"/>
        <v>-</v>
      </c>
      <c r="U47" s="16" t="str">
        <f t="shared" si="143"/>
        <v>-</v>
      </c>
      <c r="V47" s="17"/>
      <c r="W47" s="619"/>
      <c r="X47" s="24">
        <f ca="1">Horarios!C47</f>
        <v>46194.25</v>
      </c>
      <c r="Y47" s="25">
        <f ca="1">Horarios!C47</f>
        <v>46194.25</v>
      </c>
      <c r="Z47" s="26" t="str">
        <f>$Z$6</f>
        <v>J2</v>
      </c>
      <c r="AA47" s="27" t="str">
        <f ca="1">A48</f>
        <v>Túnez</v>
      </c>
      <c r="AB47" s="49" t="e" cm="1" vm="24">
        <f t="array" aca="1" ref="AB47" ca="1">Ver_flag_local</f>
        <v>#VALUE!</v>
      </c>
      <c r="AC47" s="50"/>
      <c r="AD47" s="51"/>
      <c r="AE47" s="574" t="e" cm="1" vm="22">
        <f t="array" aca="1" ref="AE47" ca="1">Ver_flag_visit</f>
        <v>#VALUE!</v>
      </c>
      <c r="AF47" s="32" t="str">
        <f ca="1">A46</f>
        <v>Japón</v>
      </c>
      <c r="AG47" s="309">
        <f t="shared" si="144"/>
        <v>0</v>
      </c>
      <c r="AH47" s="187">
        <v>36</v>
      </c>
      <c r="AI47" s="173" t="str">
        <f t="shared" ref="AI47:AI49" si="148">AJ47&amp;$B$44</f>
        <v>2F</v>
      </c>
      <c r="AJ47" s="42">
        <v>2</v>
      </c>
      <c r="AK47" s="581" t="e" cm="1" vm="21">
        <f t="array" aca="1" ref="AK47" ca="1">Ver_flag_visit</f>
        <v>#VALUE!</v>
      </c>
      <c r="AL47" s="37" t="str">
        <f ca="1">IFERROR(INDEX($BD$6:$BD$53,MATCH(AI47,$BN$6:$BN$53,0)),"")</f>
        <v>Países Bajos</v>
      </c>
      <c r="AM47" s="38">
        <f t="shared" ca="1" si="147"/>
        <v>1</v>
      </c>
      <c r="AN47" s="39">
        <f t="shared" ca="1" si="147"/>
        <v>1</v>
      </c>
      <c r="AO47" s="39">
        <f t="shared" ca="1" si="147"/>
        <v>0</v>
      </c>
      <c r="AP47" s="39">
        <f t="shared" ca="1" si="147"/>
        <v>1</v>
      </c>
      <c r="AQ47" s="39">
        <f t="shared" ca="1" si="147"/>
        <v>0</v>
      </c>
      <c r="AR47" s="39">
        <f t="shared" ca="1" si="147"/>
        <v>2</v>
      </c>
      <c r="AS47" s="39">
        <f t="shared" ca="1" si="147"/>
        <v>2</v>
      </c>
      <c r="AT47" s="43">
        <f t="shared" ca="1" si="147"/>
        <v>0</v>
      </c>
      <c r="AU47" s="316">
        <f ca="1">INDEX($DL$6:$DL$53,MATCH(AI47,$DP$6:$DP$53,0))</f>
        <v>1</v>
      </c>
      <c r="AV47" s="174" t="str">
        <f ca="1">INDEX($BD$6:$BD$53,MATCH(AI47,$BM$6:$BM$53,0))</f>
        <v>Países Bajos</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2K</v>
      </c>
      <c r="BN47" s="16" t="str">
        <f t="shared" ca="1" si="23"/>
        <v>2K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(2)</v>
      </c>
      <c r="BU47" s="16">
        <f t="shared" ca="1" si="24"/>
        <v>0</v>
      </c>
      <c r="BV47" s="16">
        <f t="shared" ca="1" si="25"/>
        <v>1</v>
      </c>
      <c r="BW47" s="16">
        <f t="shared" ca="1" si="26"/>
        <v>0</v>
      </c>
      <c r="BX47" s="16">
        <f t="shared" ca="1" si="48"/>
        <v>1</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(2)</v>
      </c>
      <c r="CA47" s="16">
        <f t="shared" ca="1" si="27"/>
        <v>1</v>
      </c>
      <c r="CB47" s="16">
        <f t="shared" ca="1" si="28"/>
        <v>1</v>
      </c>
      <c r="CC47" s="16">
        <f t="shared" ca="1" si="49"/>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(2)</v>
      </c>
      <c r="CF47" s="16">
        <f t="shared" ca="1" si="29"/>
        <v>1</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(2)</v>
      </c>
      <c r="CI47" s="16">
        <f t="shared" ca="1" si="30"/>
        <v>0</v>
      </c>
      <c r="CJ47" s="16">
        <f t="shared" ca="1" si="31"/>
        <v>1</v>
      </c>
      <c r="CK47" s="16">
        <f t="shared" ca="1" si="32"/>
        <v>0</v>
      </c>
      <c r="CL47" s="16">
        <f t="shared" ca="1" si="50"/>
        <v>1</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(2)</v>
      </c>
      <c r="CO47" s="16">
        <f t="shared" ca="1" si="33"/>
        <v>1</v>
      </c>
      <c r="CP47" s="16">
        <f t="shared" ca="1" si="34"/>
        <v>1</v>
      </c>
      <c r="CQ47" s="16">
        <f t="shared" ca="1" si="51"/>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(2)</v>
      </c>
      <c r="CT47" s="16">
        <f t="shared" ca="1" si="35"/>
        <v>1</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(2)</v>
      </c>
      <c r="CW47" s="16">
        <f t="shared" ca="1" si="36"/>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(2)</v>
      </c>
      <c r="CZ47" s="16">
        <f t="shared" ca="1" si="37"/>
        <v>1</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52"/>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38"/>
        <v>1</v>
      </c>
      <c r="DK47" s="16">
        <f t="shared" ca="1" si="39"/>
        <v>2</v>
      </c>
      <c r="DL47" s="16">
        <f t="shared" ca="1" si="40"/>
        <v>1</v>
      </c>
      <c r="DM47" s="16" t="str">
        <f t="shared" ca="1" si="46"/>
        <v>1.1</v>
      </c>
      <c r="DN47" s="16" cm="1">
        <f t="array" aca="1" ref="DN47" ca="1">OFFSET(Horarios!$P$3,DJ47-1,0,DL47,1)</f>
        <v>1</v>
      </c>
      <c r="DO47" s="16"/>
      <c r="DP47" s="16" t="s">
        <v>692</v>
      </c>
      <c r="DQ47" s="16" t="str">
        <f t="shared" ca="1" si="47"/>
        <v>RD Congo</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19"/>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2">
        <f t="array" aca="1" ref="AK48" ca="1">Ver_flag_visit</f>
        <v>#VALUE!</v>
      </c>
      <c r="AL48" s="37" t="str">
        <f ca="1">IFERROR(INDEX($BD$6:$BD$53,MATCH(AI48,$BN$6:$BN$53,0)),"")</f>
        <v>Japón</v>
      </c>
      <c r="AM48" s="38">
        <f t="shared" ca="1" si="147"/>
        <v>1</v>
      </c>
      <c r="AN48" s="39">
        <f t="shared" ca="1" si="147"/>
        <v>1</v>
      </c>
      <c r="AO48" s="39">
        <f t="shared" ca="1" si="147"/>
        <v>0</v>
      </c>
      <c r="AP48" s="39">
        <f t="shared" ca="1" si="147"/>
        <v>1</v>
      </c>
      <c r="AQ48" s="39">
        <f t="shared" ca="1" si="147"/>
        <v>0</v>
      </c>
      <c r="AR48" s="39">
        <f t="shared" ca="1" si="147"/>
        <v>2</v>
      </c>
      <c r="AS48" s="39">
        <f t="shared" ca="1" si="147"/>
        <v>2</v>
      </c>
      <c r="AT48" s="43">
        <f t="shared" ca="1" si="147"/>
        <v>0</v>
      </c>
      <c r="AU48" s="316">
        <f ca="1">INDEX($DL$6:$DL$53,MATCH(AI48,$DP$6:$DP$53,0))</f>
        <v>1</v>
      </c>
      <c r="AV48" s="174" t="str">
        <f ca="1">INDEX($BD$6:$BD$53,MATCH(AI48,$BM$6:$BM$53,0))</f>
        <v>Japón</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0</v>
      </c>
      <c r="BG48" s="16">
        <f t="shared" ca="1" si="17"/>
        <v>0</v>
      </c>
      <c r="BH48" s="16">
        <f t="shared" ca="1" si="18"/>
        <v>0</v>
      </c>
      <c r="BI48" s="16">
        <f t="shared" ca="1" si="19"/>
        <v>0</v>
      </c>
      <c r="BJ48" s="16">
        <f t="shared" ca="1" si="20"/>
        <v>0</v>
      </c>
      <c r="BK48" s="16">
        <f t="shared" ca="1" si="21"/>
        <v>0</v>
      </c>
      <c r="BL48" s="16">
        <f t="shared" ca="1" si="42"/>
        <v>0</v>
      </c>
      <c r="BM48" s="16" t="str">
        <f t="shared" ca="1" si="22"/>
        <v>3K</v>
      </c>
      <c r="BN48" s="16" t="str">
        <f t="shared" ca="1" si="23"/>
        <v>3K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4"/>
        <v>0</v>
      </c>
      <c r="BV48" s="16">
        <f t="shared" ca="1" si="25"/>
        <v>0</v>
      </c>
      <c r="BW48" s="16">
        <f t="shared" ca="1" si="26"/>
        <v>0</v>
      </c>
      <c r="BX48" s="16">
        <f t="shared" ca="1" si="48"/>
        <v>0</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27"/>
        <v>0</v>
      </c>
      <c r="CB48" s="16">
        <f t="shared" ca="1" si="28"/>
        <v>0</v>
      </c>
      <c r="CC48" s="16">
        <f t="shared" ca="1" si="49"/>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29"/>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0"/>
        <v>0</v>
      </c>
      <c r="CJ48" s="16">
        <f t="shared" ca="1" si="31"/>
        <v>0</v>
      </c>
      <c r="CK48" s="16">
        <f t="shared" ca="1" si="32"/>
        <v>0</v>
      </c>
      <c r="CL48" s="16">
        <f t="shared" ca="1" si="50"/>
        <v>0</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33"/>
        <v>0</v>
      </c>
      <c r="CP48" s="16">
        <f t="shared" ca="1" si="34"/>
        <v>0</v>
      </c>
      <c r="CQ48" s="16">
        <f t="shared" ca="1" si="51"/>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35"/>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36"/>
        <v>0</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37"/>
        <v>0</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52"/>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38"/>
        <v>3</v>
      </c>
      <c r="DK48" s="16">
        <f t="shared" ca="1" si="39"/>
        <v>2</v>
      </c>
      <c r="DL48" s="16">
        <f t="shared" ca="1" si="40"/>
        <v>1</v>
      </c>
      <c r="DM48" s="16" t="str">
        <f t="shared" ca="1" si="46"/>
        <v>3.1</v>
      </c>
      <c r="DN48" s="16" cm="1">
        <f t="array" aca="1" ref="DN48" ca="1">OFFSET(Horarios!$P$3,DJ48-1,0,DL48,1)</f>
        <v>3</v>
      </c>
      <c r="DO48" s="16"/>
      <c r="DP48" s="16" t="s">
        <v>452</v>
      </c>
      <c r="DQ48" s="16" t="str">
        <f t="shared" ca="1" si="47"/>
        <v>Uzbekistán</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0"/>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1</v>
      </c>
      <c r="AO49" s="47">
        <f t="shared" ca="1" si="147"/>
        <v>0</v>
      </c>
      <c r="AP49" s="47">
        <f t="shared" ca="1" si="147"/>
        <v>0</v>
      </c>
      <c r="AQ49" s="47">
        <f t="shared" ca="1" si="147"/>
        <v>1</v>
      </c>
      <c r="AR49" s="47">
        <f t="shared" ca="1" si="147"/>
        <v>1</v>
      </c>
      <c r="AS49" s="47">
        <f t="shared" ca="1" si="147"/>
        <v>5</v>
      </c>
      <c r="AT49" s="48">
        <f t="shared" ca="1" si="147"/>
        <v>-4</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0</v>
      </c>
      <c r="BF49" s="16">
        <f t="shared" ca="1" si="41"/>
        <v>0</v>
      </c>
      <c r="BG49" s="16">
        <f t="shared" ca="1" si="17"/>
        <v>0</v>
      </c>
      <c r="BH49" s="16">
        <f t="shared" ca="1" si="18"/>
        <v>0</v>
      </c>
      <c r="BI49" s="16">
        <f t="shared" ca="1" si="19"/>
        <v>0</v>
      </c>
      <c r="BJ49" s="16">
        <f t="shared" ca="1" si="20"/>
        <v>0</v>
      </c>
      <c r="BK49" s="16">
        <f t="shared" ca="1" si="21"/>
        <v>0</v>
      </c>
      <c r="BL49" s="16">
        <f t="shared" ca="1" si="42"/>
        <v>0</v>
      </c>
      <c r="BM49" s="16" t="str">
        <f t="shared" ca="1" si="22"/>
        <v>4K</v>
      </c>
      <c r="BN49" s="16" t="str">
        <f t="shared" ca="1" si="23"/>
        <v>4K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0</v>
      </c>
      <c r="BS49" s="16">
        <f ca="1">BP49+COUNTIFS($BQ$6:$BQ$53,BQ49,$BR$6:BR$53,"&gt;"&amp;BR49,$BC$6:$BC$53,INDEX(T_Equipos[Grupo],MATCH(BD49,T_Equipos[NombreEquipo],0)))</f>
        <v>3</v>
      </c>
      <c r="BT49" s="16" t="str">
        <f ca="1">IF(COUNTIFS($BS$6:$BS$53,BS49,$BC$6:$BC$53,INDEX(T_Equipos[Grupo],MATCH(BD49,T_Equipos[NombreEquipo],0)))=1,"-","P."&amp;BS49&amp;" ("&amp;COUNTIFS($BS$6:$BS$53,BS49,$BC$6:$BC$53,INDEX(T_Equipos[Grupo],MATCH(BD49,T_Equipos[NombreEquipo],0)))&amp;")")</f>
        <v>P.3 (2)</v>
      </c>
      <c r="BU49" s="16">
        <f t="shared" ca="1" si="24"/>
        <v>0</v>
      </c>
      <c r="BV49" s="16">
        <f t="shared" ca="1" si="25"/>
        <v>0</v>
      </c>
      <c r="BW49" s="16">
        <f t="shared" ca="1" si="26"/>
        <v>0</v>
      </c>
      <c r="BX49" s="16">
        <f t="shared" ca="1" si="48"/>
        <v>0</v>
      </c>
      <c r="BY49" s="16">
        <f ca="1">BS49+COUNTIFS($BT$6:$BT$53,BT49,$BX$6:BX$53,"&gt;"&amp;BX49,$BC$6:$BC$53,INDEX(T_Equipos[Grupo],MATCH(BD49,T_Equipos[NombreEquipo],0)))</f>
        <v>3</v>
      </c>
      <c r="BZ49" s="16" t="str">
        <f ca="1">IF(COUNTIFS($BY$6:$BY$53,BY49,$BC$6:$BC$53,INDEX(T_Equipos[Grupo],MATCH(BD49,T_Equipos[NombreEquipo],0)))=1,"-","P."&amp;BY49&amp;" ("&amp;COUNTIFS($BY$6:$BY$53,BY49,$BC$6:$BC$53,INDEX(T_Equipos[Grupo],MATCH(BD49,T_Equipos[NombreEquipo],0)))&amp;")")</f>
        <v>P.3 (2)</v>
      </c>
      <c r="CA49" s="16">
        <f t="shared" ca="1" si="27"/>
        <v>0</v>
      </c>
      <c r="CB49" s="16">
        <f t="shared" ca="1" si="28"/>
        <v>0</v>
      </c>
      <c r="CC49" s="16">
        <f t="shared" ca="1" si="49"/>
        <v>0</v>
      </c>
      <c r="CD49" s="16">
        <f ca="1">BY49+COUNTIFS($BZ$6:$BZ$53,BZ49,$CC$6:CC$53,"&gt;"&amp;CC49,$BC$6:$BC$53,INDEX(T_Equipos[Grupo],MATCH(BD49,T_Equipos[NombreEquipo],0)))</f>
        <v>3</v>
      </c>
      <c r="CE49" s="16" t="str">
        <f ca="1">IF(COUNTIFS($CD$6:$CD$53,CD49,$BC$6:$BC$53,INDEX(T_Equipos[Grupo],MATCH(BD49,T_Equipos[NombreEquipo],0)))=1,"-","P."&amp;CD49&amp;" ("&amp;COUNTIFS($CD$6:$CD$53,CD49,$BC$6:$BC$53,INDEX(T_Equipos[Grupo],MATCH(BD49,T_Equipos[NombreEquipo],0)))&amp;")")</f>
        <v>P.3 (2)</v>
      </c>
      <c r="CF49" s="16">
        <f t="shared" ca="1" si="29"/>
        <v>0</v>
      </c>
      <c r="CG49" s="16">
        <f ca="1">CD49+COUNTIFS($CE$6:$CE$53,CE49,$CF$6:CF$53,"&gt;"&amp;CF49,$BC$6:$BC$53,INDEX(T_Equipos[Grupo],MATCH(BD49,T_Equipos[NombreEquipo],0)))</f>
        <v>3</v>
      </c>
      <c r="CH49" s="16" t="str">
        <f ca="1">IF(COUNTIFS($CG$6:$CG$53,CG49,$BC$6:$BC$53,INDEX(T_Equipos[Grupo],MATCH(BD49,T_Equipos[NombreEquipo],0)))=1,"-","P."&amp;CG49&amp;" ("&amp;COUNTIFS($CG$6:$CG$53,CG49,$BC$6:$BC$53,INDEX(T_Equipos[Grupo],MATCH(BD49,T_Equipos[NombreEquipo],0)))&amp;")")</f>
        <v>P.3 (2)</v>
      </c>
      <c r="CI49" s="16">
        <f t="shared" ca="1" si="30"/>
        <v>0</v>
      </c>
      <c r="CJ49" s="16">
        <f t="shared" ca="1" si="31"/>
        <v>0</v>
      </c>
      <c r="CK49" s="16">
        <f t="shared" ca="1" si="32"/>
        <v>0</v>
      </c>
      <c r="CL49" s="16">
        <f t="shared" ca="1" si="50"/>
        <v>0</v>
      </c>
      <c r="CM49" s="16">
        <f ca="1">CG49+COUNTIFS($CH$6:$CH$53,CH49,$CL$6:CL$53,"&gt;"&amp;CL49,$BC$6:$BC$53,INDEX(T_Equipos[Grupo],MATCH(BD49,T_Equipos[NombreEquipo],0)))</f>
        <v>3</v>
      </c>
      <c r="CN49" s="16" t="str">
        <f ca="1">IF(COUNTIFS($CM$6:$CM$53,CM49,$BC$6:$BC$53,INDEX(T_Equipos[Grupo],MATCH(BD49,T_Equipos[NombreEquipo],0)))=1,"-","P."&amp;CM49&amp;" ("&amp;COUNTIFS($CM$6:$CM$53,CM49,$BC$6:$BC$53,INDEX(T_Equipos[Grupo],MATCH(BD49,T_Equipos[NombreEquipo],0)))&amp;")")</f>
        <v>P.3 (2)</v>
      </c>
      <c r="CO49" s="16">
        <f t="shared" ca="1" si="33"/>
        <v>0</v>
      </c>
      <c r="CP49" s="16">
        <f t="shared" ca="1" si="34"/>
        <v>0</v>
      </c>
      <c r="CQ49" s="16">
        <f t="shared" ca="1" si="51"/>
        <v>0</v>
      </c>
      <c r="CR49" s="16">
        <f ca="1">CM49+COUNTIFS($CN$6:$CN$53,CN49,$CQ$6:CQ$53,"&gt;"&amp;CQ49,$BC$6:$BC$53,INDEX(T_Equipos[Grupo],MATCH(BD49,T_Equipos[NombreEquipo],0)))</f>
        <v>3</v>
      </c>
      <c r="CS49" s="16" t="str">
        <f ca="1">IF(COUNTIFS($CR$6:$CR$53,CR49,$BC$6:$BC$53,INDEX(T_Equipos[Grupo],MATCH(BD49,T_Equipos[NombreEquipo],0)))=1,"-","P."&amp;CR49&amp;" ("&amp;COUNTIFS($CR$6:$CR$53,CR49,$BC$6:$BC$53,INDEX(T_Equipos[Grupo],MATCH(BD49,T_Equipos[NombreEquipo],0)))&amp;")")</f>
        <v>P.3 (2)</v>
      </c>
      <c r="CT49" s="16">
        <f t="shared" ca="1" si="35"/>
        <v>0</v>
      </c>
      <c r="CU49" s="16">
        <f ca="1">CR49+COUNTIFS($CS$6:$CS$53,CS49,$CT$6:CT$53,"&gt;"&amp;CT49,$BC$6:$BC$53,INDEX(T_Equipos[Grupo],MATCH(BD49,T_Equipos[NombreEquipo],0)))</f>
        <v>3</v>
      </c>
      <c r="CV49" s="16" t="str">
        <f ca="1">IF(COUNTIFS($CU$6:$CU$53,CU49,$BC$6:$BC$53,INDEX(T_Equipos[Grupo],MATCH(BD49,T_Equipos[NombreEquipo],0)))=1,"-","P."&amp;CU49&amp;" ("&amp;COUNTIFS($CU$6:$CU$53,CU49,$BC$6:$BC$53,INDEX(T_Equipos[Grupo],MATCH(BD49,T_Equipos[NombreEquipo],0)))&amp;")")</f>
        <v>P.3 (2)</v>
      </c>
      <c r="CW49" s="16">
        <f t="shared" ca="1" si="36"/>
        <v>0</v>
      </c>
      <c r="CX49" s="16">
        <f ca="1">CU49+COUNTIFS($CV$6:$CV$53,CV49,$CW$6:CW$53,"&gt;"&amp;CW49,$BC$6:$BC$53,INDEX(T_Equipos[Grupo],MATCH(BD49,T_Equipos[NombreEquipo],0)))</f>
        <v>3</v>
      </c>
      <c r="CY49" s="16" t="str">
        <f ca="1">IF(COUNTIFS($CX$6:$CX$53,CX49,$BC$6:$BC$53,INDEX(T_Equipos[Grupo],MATCH(BD49,T_Equipos[NombreEquipo],0)))=1,"-","P."&amp;CX49&amp;" ("&amp;COUNTIFS($CX$6:$CX$53,CX49,$BC$6:$BC$53,INDEX(T_Equipos[Grupo],MATCH(BD49,T_Equipos[NombreEquipo],0)))&amp;")")</f>
        <v>P.3 (2)</v>
      </c>
      <c r="CZ49" s="16">
        <f t="shared" ca="1" si="37"/>
        <v>0</v>
      </c>
      <c r="DA49" s="16">
        <f ca="1">CX49+COUNTIFS($CY$6:$CY$53,CY49,$CZ$6:CZ$53,"&gt;"&amp;CZ49,$BC$6:$BC$53,INDEX(T_Equipos[Grupo],MATCH(BD49,T_Equipos[NombreEquipo],0)))</f>
        <v>3</v>
      </c>
      <c r="DB49" s="16" t="str">
        <f ca="1">IF(COUNTIFS($DA$6:$DA$53,DA49,$BC$6:$BC$53,INDEX(T_Equipos[Grupo],MATCH(BD49,T_Equipos[NombreEquipo],0)))=1,"-","P."&amp;DA49&amp;" ("&amp;COUNTIFS($DA$6:$DA$53,DA49,$BC$6:$BC$53,INDEX(T_Equipos[Grupo],MATCH(BD49,T_Equipos[NombreEquipo],0)))&amp;")")</f>
        <v>P.3 (2)</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52"/>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38"/>
        <v>3</v>
      </c>
      <c r="DK49" s="16">
        <f t="shared" ca="1" si="39"/>
        <v>2</v>
      </c>
      <c r="DL49" s="16">
        <f t="shared" ca="1" si="40"/>
        <v>1</v>
      </c>
      <c r="DM49" s="16" t="str">
        <f t="shared" ca="1" si="46"/>
        <v>3.1</v>
      </c>
      <c r="DN49" s="16" cm="1">
        <f t="array" aca="1" ref="DN49" ca="1">OFFSET(Horarios!$P$3,DJ49-1,0,DL49,1)</f>
        <v>3</v>
      </c>
      <c r="DO49" s="16"/>
      <c r="DP49" s="16" t="s">
        <v>693</v>
      </c>
      <c r="DQ49" s="16" t="str">
        <f t="shared" ca="1" si="47"/>
        <v>Colombia</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0</v>
      </c>
      <c r="BF50" s="16">
        <f t="shared" ca="1" si="41"/>
        <v>0</v>
      </c>
      <c r="BG50" s="16">
        <f t="shared" ca="1" si="17"/>
        <v>0</v>
      </c>
      <c r="BH50" s="16">
        <f t="shared" ca="1" si="18"/>
        <v>0</v>
      </c>
      <c r="BI50" s="16">
        <f t="shared" ca="1" si="19"/>
        <v>0</v>
      </c>
      <c r="BJ50" s="16">
        <f t="shared" ca="1" si="20"/>
        <v>0</v>
      </c>
      <c r="BK50" s="16">
        <f t="shared" ca="1" si="21"/>
        <v>0</v>
      </c>
      <c r="BL50" s="16">
        <f t="shared" ca="1" si="42"/>
        <v>0</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36"/>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37"/>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52"/>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38"/>
        <v>1</v>
      </c>
      <c r="DK50" s="16">
        <f t="shared" ca="1" si="39"/>
        <v>0</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0</v>
      </c>
      <c r="BG51" s="16">
        <f t="shared" ca="1" si="17"/>
        <v>0</v>
      </c>
      <c r="BH51" s="16">
        <f t="shared" ca="1" si="18"/>
        <v>0</v>
      </c>
      <c r="BI51" s="16">
        <f t="shared" ca="1" si="19"/>
        <v>0</v>
      </c>
      <c r="BJ51" s="16">
        <f t="shared" ca="1" si="20"/>
        <v>0</v>
      </c>
      <c r="BK51" s="16">
        <f t="shared" ca="1" si="21"/>
        <v>0</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4"/>
        <v>0</v>
      </c>
      <c r="BV51" s="16">
        <f t="shared" ca="1" si="25"/>
        <v>0</v>
      </c>
      <c r="BW51" s="16">
        <f t="shared" ca="1" si="26"/>
        <v>0</v>
      </c>
      <c r="BX51" s="16">
        <f t="shared" ca="1" si="48"/>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27"/>
        <v>0</v>
      </c>
      <c r="CB51" s="16">
        <f t="shared" ca="1" si="28"/>
        <v>0</v>
      </c>
      <c r="CC51" s="16">
        <f t="shared" ca="1" si="49"/>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29"/>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0"/>
        <v>0</v>
      </c>
      <c r="CJ51" s="16">
        <f t="shared" ca="1" si="31"/>
        <v>0</v>
      </c>
      <c r="CK51" s="16">
        <f t="shared" ca="1" si="32"/>
        <v>0</v>
      </c>
      <c r="CL51" s="16">
        <f t="shared" ca="1" si="50"/>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33"/>
        <v>0</v>
      </c>
      <c r="CP51" s="16">
        <f t="shared" ca="1" si="34"/>
        <v>0</v>
      </c>
      <c r="CQ51" s="16">
        <f t="shared" ca="1" si="51"/>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35"/>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36"/>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37"/>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52"/>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38"/>
        <v>1</v>
      </c>
      <c r="DK51" s="16">
        <f t="shared" ca="1" si="39"/>
        <v>0</v>
      </c>
      <c r="DL51" s="16">
        <f t="shared" ca="1" si="40"/>
        <v>1</v>
      </c>
      <c r="DM51" s="16" t="str">
        <f t="shared" ca="1" si="46"/>
        <v>1.1</v>
      </c>
      <c r="DN51" s="16" cm="1">
        <f t="array" aca="1" ref="DN51" ca="1">OFFSET(Horarios!$P$3,DJ51-1,0,DL51,1)</f>
        <v>1</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(4)</v>
      </c>
      <c r="F52" s="16" t="str">
        <f t="shared" ref="F52:F57" ca="1" si="151">IF(D52="Pendiente","-",INDEX($BT$6:$BT$53,MATCH($AF52,$BD$6:$BD$53,0)))</f>
        <v>P.1 (4)</v>
      </c>
      <c r="G52" s="16"/>
      <c r="H52" s="16" t="str">
        <f t="shared" ref="H52:H57" ca="1" si="152">IF(D52="Pendiente","-",INDEX($BZ$6:$BZ$53,MATCH($AA52,$BD$6:$BD$53,0)))</f>
        <v>P.1 (4)</v>
      </c>
      <c r="I52" s="16" t="str">
        <f t="shared" ref="I52:I57" ca="1" si="153">IF(D52="Pendiente","-",INDEX($BZ$6:$BZ$53,MATCH($AF52,$BD$6:$BD$53,0)))</f>
        <v>P.1 (4)</v>
      </c>
      <c r="J52" s="16"/>
      <c r="K52" s="16" t="str">
        <f t="shared" ref="K52:K57" ca="1" si="154">IF(D52="Pendiente","-",INDEX($CE$6:$CE$53,MATCH($AA52,$BD$6:$BD$53,0)))</f>
        <v>P.1 (4)</v>
      </c>
      <c r="L52" s="16" t="str">
        <f t="shared" ref="L52:L57" ca="1" si="155">IF(D52="Pendiente","-",INDEX($CE$6:$CE$53,MATCH($AF52,$BD$6:$BD$53,0)))</f>
        <v>P.1 (4)</v>
      </c>
      <c r="M52" s="16"/>
      <c r="N52" s="16" t="str">
        <f t="shared" ref="N52:N57" ca="1" si="156">IF(D52="Pendiente","-",INDEX($CH$6:$CH$53,MATCH($AA52,$BD$6:$BD$53,0)))</f>
        <v>P.3 (2)</v>
      </c>
      <c r="O52" s="16" t="str">
        <f t="shared" ref="O52:O57" ca="1" si="157">IF(D52="Pendiente","-",INDEX($CH$6:$CH$53,MATCH($AF52,$BD$6:$BD$53,0)))</f>
        <v>P.3 (2)</v>
      </c>
      <c r="P52" s="16"/>
      <c r="Q52" s="16" t="str">
        <f t="shared" ref="Q52:Q57" ca="1" si="158">IF(D52="Pendiente","-",INDEX($CN$6:$CN$53,MATCH($AA52,$BD$6:$BD$53,0)))</f>
        <v>P.3 (2)</v>
      </c>
      <c r="R52" s="16" t="str">
        <f t="shared" ref="R52:R57" ca="1" si="159">IF(D52="Pendiente","-",INDEX($CN$6:$CN$53,MATCH($AF52,$BD$6:$BD$53,0)))</f>
        <v>P.3 (2)</v>
      </c>
      <c r="S52" s="16"/>
      <c r="T52" s="16" t="str">
        <f t="shared" ref="T52:T57" ca="1" si="160">IF(D52="Pendiente","-",INDEX($CS$6:$CS$53,MATCH($AA52,$BD$6:$BD$53,0)))</f>
        <v>P.3 (2)</v>
      </c>
      <c r="U52" s="16" t="str">
        <f t="shared" ref="U52:U57" ca="1" si="161">IF(D52="Pendiente","-",INDEX($CS$6:$CS$53,MATCH($AF52,$BD$6:$BD$53,0)))</f>
        <v>P.3 (2)</v>
      </c>
      <c r="V52" s="17"/>
      <c r="W52" s="639"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0</v>
      </c>
      <c r="BF52" s="16">
        <f t="shared" ca="1" si="41"/>
        <v>0</v>
      </c>
      <c r="BG52" s="16">
        <f t="shared" ca="1" si="17"/>
        <v>0</v>
      </c>
      <c r="BH52" s="16">
        <f t="shared" ca="1" si="18"/>
        <v>0</v>
      </c>
      <c r="BI52" s="16">
        <f t="shared" ca="1" si="19"/>
        <v>0</v>
      </c>
      <c r="BJ52" s="16">
        <f t="shared" ca="1" si="20"/>
        <v>0</v>
      </c>
      <c r="BK52" s="16">
        <f t="shared" ca="1" si="21"/>
        <v>0</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36"/>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37"/>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52"/>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38"/>
        <v>1</v>
      </c>
      <c r="DK52" s="16">
        <f t="shared" ca="1" si="39"/>
        <v>0</v>
      </c>
      <c r="DL52" s="16">
        <f t="shared" ca="1" si="40"/>
        <v>1</v>
      </c>
      <c r="DM52" s="16" t="str">
        <f t="shared" ca="1" si="46"/>
        <v>1.1</v>
      </c>
      <c r="DN52" s="16" cm="1">
        <f t="array" aca="1" ref="DN52" ca="1">OFFSET(Horarios!$P$3,DJ52-1,0,DL52,1)</f>
        <v>1</v>
      </c>
      <c r="DO52" s="16"/>
      <c r="DP52" s="16" t="s">
        <v>453</v>
      </c>
      <c r="DQ52" s="16" t="str">
        <f t="shared" ca="1" si="47"/>
        <v>Ghana</v>
      </c>
    </row>
    <row r="53" spans="1:121" ht="16" customHeight="1">
      <c r="A53" s="16" t="str">
        <f ca="1">+Equipos!B26</f>
        <v>Bélgica</v>
      </c>
      <c r="B53" s="16"/>
      <c r="C53" s="16"/>
      <c r="D53" s="16" t="str">
        <f t="shared" si="149"/>
        <v>Empate</v>
      </c>
      <c r="E53" s="16" t="str">
        <f t="shared" ca="1" si="150"/>
        <v>P.1 (4)</v>
      </c>
      <c r="F53" s="16" t="str">
        <f t="shared" ca="1" si="151"/>
        <v>P.1 (4)</v>
      </c>
      <c r="G53" s="16"/>
      <c r="H53" s="16" t="str">
        <f t="shared" ca="1" si="152"/>
        <v>P.1 (4)</v>
      </c>
      <c r="I53" s="16" t="str">
        <f t="shared" ca="1" si="153"/>
        <v>P.1 (4)</v>
      </c>
      <c r="J53" s="16"/>
      <c r="K53" s="16" t="str">
        <f t="shared" ca="1" si="154"/>
        <v>P.1 (4)</v>
      </c>
      <c r="L53" s="16" t="str">
        <f t="shared" ca="1" si="155"/>
        <v>P.1 (4)</v>
      </c>
      <c r="M53" s="16"/>
      <c r="N53" s="16" t="str">
        <f t="shared" ca="1" si="156"/>
        <v>P.1 (2)</v>
      </c>
      <c r="O53" s="16" t="str">
        <f t="shared" ca="1" si="157"/>
        <v>P.1 (2)</v>
      </c>
      <c r="P53" s="16"/>
      <c r="Q53" s="16" t="str">
        <f t="shared" ca="1" si="158"/>
        <v>P.1 (2)</v>
      </c>
      <c r="R53" s="16" t="str">
        <f t="shared" ca="1" si="159"/>
        <v>P.1 (2)</v>
      </c>
      <c r="S53" s="16"/>
      <c r="T53" s="16" t="str">
        <f t="shared" ca="1" si="160"/>
        <v>P.1 (2)</v>
      </c>
      <c r="U53" s="16" t="str">
        <f t="shared" ca="1" si="161"/>
        <v>P.1 (2)</v>
      </c>
      <c r="V53" s="17"/>
      <c r="W53" s="639"/>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0</v>
      </c>
      <c r="BG53" s="16">
        <f t="shared" ca="1" si="17"/>
        <v>0</v>
      </c>
      <c r="BH53" s="16">
        <f t="shared" ca="1" si="18"/>
        <v>0</v>
      </c>
      <c r="BI53" s="16">
        <f t="shared" ca="1" si="19"/>
        <v>0</v>
      </c>
      <c r="BJ53" s="16">
        <f t="shared" ca="1" si="20"/>
        <v>0</v>
      </c>
      <c r="BK53" s="16">
        <f t="shared" ca="1" si="21"/>
        <v>0</v>
      </c>
      <c r="BL53" s="16">
        <f t="shared" ca="1" si="42"/>
        <v>0</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4"/>
        <v>0</v>
      </c>
      <c r="BV53" s="16">
        <f t="shared" ca="1" si="25"/>
        <v>0</v>
      </c>
      <c r="BW53" s="16">
        <f t="shared" ca="1" si="26"/>
        <v>0</v>
      </c>
      <c r="BX53" s="16">
        <f t="shared" ca="1" si="48"/>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27"/>
        <v>0</v>
      </c>
      <c r="CB53" s="16">
        <f t="shared" ca="1" si="28"/>
        <v>0</v>
      </c>
      <c r="CC53" s="16">
        <f t="shared" ca="1" si="49"/>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29"/>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0"/>
        <v>0</v>
      </c>
      <c r="CJ53" s="16">
        <f t="shared" ca="1" si="31"/>
        <v>0</v>
      </c>
      <c r="CK53" s="16">
        <f t="shared" ca="1" si="32"/>
        <v>0</v>
      </c>
      <c r="CL53" s="16">
        <f t="shared" ca="1" si="50"/>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33"/>
        <v>0</v>
      </c>
      <c r="CP53" s="16">
        <f t="shared" ca="1" si="34"/>
        <v>0</v>
      </c>
      <c r="CQ53" s="16">
        <f t="shared" ca="1" si="51"/>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35"/>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36"/>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37"/>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52"/>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38"/>
        <v>1</v>
      </c>
      <c r="DK53" s="16">
        <f t="shared" ca="1" si="39"/>
        <v>0</v>
      </c>
      <c r="DL53" s="16">
        <f t="shared" ca="1" si="40"/>
        <v>1</v>
      </c>
      <c r="DM53" s="16" t="str">
        <f t="shared" ca="1" si="46"/>
        <v>1.1</v>
      </c>
      <c r="DN53" s="16" cm="1">
        <f t="array" aca="1" ref="DN53" ca="1">OFFSET(Horarios!$P$3,DJ53-1,0,DL53,1)</f>
        <v>1</v>
      </c>
      <c r="DO53" s="16"/>
      <c r="DP53" s="16" t="s">
        <v>696</v>
      </c>
      <c r="DQ53" s="16" t="str">
        <f t="shared" ca="1" si="47"/>
        <v>Panamá</v>
      </c>
    </row>
    <row r="54" spans="1:121" ht="16" customHeight="1">
      <c r="A54" s="16" t="str">
        <f ca="1">+Equipos!B27</f>
        <v>Egipto</v>
      </c>
      <c r="B54" s="16"/>
      <c r="C54" s="16"/>
      <c r="D54" s="16" t="str">
        <f t="shared" si="149"/>
        <v>Pendiente</v>
      </c>
      <c r="E54" s="16" t="str">
        <f t="shared" si="150"/>
        <v>-</v>
      </c>
      <c r="F54" s="16" t="str">
        <f t="shared" si="151"/>
        <v>-</v>
      </c>
      <c r="G54" s="16"/>
      <c r="H54" s="16" t="str">
        <f t="shared" si="152"/>
        <v>-</v>
      </c>
      <c r="I54" s="16" t="str">
        <f t="shared" si="153"/>
        <v>-</v>
      </c>
      <c r="J54" s="16"/>
      <c r="K54" s="16" t="str">
        <f t="shared" si="154"/>
        <v>-</v>
      </c>
      <c r="L54" s="16" t="str">
        <f t="shared" si="155"/>
        <v>-</v>
      </c>
      <c r="M54" s="16"/>
      <c r="N54" s="16" t="str">
        <f t="shared" si="156"/>
        <v>-</v>
      </c>
      <c r="O54" s="16" t="str">
        <f t="shared" si="157"/>
        <v>-</v>
      </c>
      <c r="P54" s="16"/>
      <c r="Q54" s="16" t="str">
        <f t="shared" si="158"/>
        <v>-</v>
      </c>
      <c r="R54" s="16" t="str">
        <f t="shared" si="159"/>
        <v>-</v>
      </c>
      <c r="S54" s="16"/>
      <c r="T54" s="16" t="str">
        <f t="shared" si="160"/>
        <v>-</v>
      </c>
      <c r="U54" s="16" t="str">
        <f t="shared" si="161"/>
        <v>-</v>
      </c>
      <c r="V54" s="17"/>
      <c r="W54" s="639"/>
      <c r="X54" s="24">
        <f ca="1">Horarios!C54</f>
        <v>46194.875</v>
      </c>
      <c r="Y54" s="25">
        <f ca="1">Horarios!C54</f>
        <v>46194.875</v>
      </c>
      <c r="Z54" s="26" t="str">
        <f>$Z$6</f>
        <v>J2</v>
      </c>
      <c r="AA54" s="27" t="str">
        <f ca="1">A53</f>
        <v>Bélgica</v>
      </c>
      <c r="AB54" s="49" t="e" cm="1" vm="25">
        <f t="array" aca="1" ref="AB54" ca="1">Ver_flag_local</f>
        <v>#VALUE!</v>
      </c>
      <c r="AC54" s="50"/>
      <c r="AD54" s="51"/>
      <c r="AE54" s="574" t="e" cm="1" vm="27">
        <f t="array" aca="1" ref="AE54" ca="1">Ver_flag_visit</f>
        <v>#VALUE!</v>
      </c>
      <c r="AF54" s="32" t="str">
        <f ca="1">A55</f>
        <v>Irán</v>
      </c>
      <c r="AG54" s="309">
        <f t="shared" si="162"/>
        <v>0</v>
      </c>
      <c r="AH54" s="187">
        <v>39</v>
      </c>
      <c r="AI54" s="173" t="str">
        <f>AJ54&amp;$B$52</f>
        <v>1G</v>
      </c>
      <c r="AJ54" s="40">
        <v>1</v>
      </c>
      <c r="AK54" s="580" t="e" cm="1" vm="27">
        <f t="array" aca="1" ref="AK54" ca="1">Ver_flag_visit</f>
        <v>#VALUE!</v>
      </c>
      <c r="AL54" s="34" t="str">
        <f ca="1">IFERROR(INDEX($BD$6:$BD$53,MATCH(AI54,$BN$6:$BN$53,0)),"")</f>
        <v>Irán</v>
      </c>
      <c r="AM54" s="35">
        <f t="shared" ref="AM54:AT57" ca="1" si="165">INDEX($BE$6:$BN$53,MATCH($AL54,$BD$6:$BD$53,0),MATCH(AM$5,$BE$5:$BN$5,0))</f>
        <v>1</v>
      </c>
      <c r="AN54" s="36">
        <f t="shared" ca="1" si="165"/>
        <v>1</v>
      </c>
      <c r="AO54" s="36">
        <f t="shared" ca="1" si="165"/>
        <v>0</v>
      </c>
      <c r="AP54" s="36">
        <f t="shared" ca="1" si="165"/>
        <v>1</v>
      </c>
      <c r="AQ54" s="36">
        <f t="shared" ca="1" si="165"/>
        <v>0</v>
      </c>
      <c r="AR54" s="36">
        <f t="shared" ca="1" si="165"/>
        <v>2</v>
      </c>
      <c r="AS54" s="36">
        <f t="shared" ca="1" si="165"/>
        <v>2</v>
      </c>
      <c r="AT54" s="41">
        <f t="shared" ca="1" si="165"/>
        <v>0</v>
      </c>
      <c r="AU54" s="316">
        <f ca="1">INDEX($DL$6:$DL$53,MATCH(AI54,$DP$6:$DP$53,0))</f>
        <v>1</v>
      </c>
      <c r="AV54" s="174" t="str">
        <f ca="1">INDEX($BD$6:$BD$53,MATCH(AI54,$BM$6:$BM$53,0))</f>
        <v>Irán</v>
      </c>
      <c r="AW54" s="202"/>
      <c r="AX54" s="163"/>
      <c r="AY54" s="193" t="str">
        <f ca="1">+A53</f>
        <v>Bélgica</v>
      </c>
      <c r="AZ54" s="194"/>
      <c r="BA54" s="168"/>
    </row>
    <row r="55" spans="1:121" ht="16" customHeight="1">
      <c r="A55" s="16" t="str">
        <f ca="1">+Equipos!B28</f>
        <v>Irán</v>
      </c>
      <c r="B55" s="16"/>
      <c r="C55" s="16"/>
      <c r="D55" s="16" t="str">
        <f t="shared" si="149"/>
        <v>Pendiente</v>
      </c>
      <c r="E55" s="16" t="str">
        <f t="shared" si="150"/>
        <v>-</v>
      </c>
      <c r="F55" s="16" t="str">
        <f t="shared" si="151"/>
        <v>-</v>
      </c>
      <c r="G55" s="16"/>
      <c r="H55" s="16" t="str">
        <f t="shared" si="152"/>
        <v>-</v>
      </c>
      <c r="I55" s="16" t="str">
        <f t="shared" si="153"/>
        <v>-</v>
      </c>
      <c r="J55" s="16"/>
      <c r="K55" s="16" t="str">
        <f t="shared" si="154"/>
        <v>-</v>
      </c>
      <c r="L55" s="16" t="str">
        <f t="shared" si="155"/>
        <v>-</v>
      </c>
      <c r="M55" s="16"/>
      <c r="N55" s="16" t="str">
        <f t="shared" si="156"/>
        <v>-</v>
      </c>
      <c r="O55" s="16" t="str">
        <f t="shared" si="157"/>
        <v>-</v>
      </c>
      <c r="P55" s="16"/>
      <c r="Q55" s="16" t="str">
        <f t="shared" si="158"/>
        <v>-</v>
      </c>
      <c r="R55" s="16" t="str">
        <f t="shared" si="159"/>
        <v>-</v>
      </c>
      <c r="S55" s="16"/>
      <c r="T55" s="16" t="str">
        <f t="shared" si="160"/>
        <v>-</v>
      </c>
      <c r="U55" s="16" t="str">
        <f t="shared" si="161"/>
        <v>-</v>
      </c>
      <c r="V55" s="17"/>
      <c r="W55" s="639"/>
      <c r="X55" s="24">
        <f ca="1">Horarios!C55</f>
        <v>46195.125</v>
      </c>
      <c r="Y55" s="25">
        <f ca="1">Horarios!C55</f>
        <v>46195.125</v>
      </c>
      <c r="Z55" s="26" t="str">
        <f>$Z$6</f>
        <v>J2</v>
      </c>
      <c r="AA55" s="27" t="str">
        <f ca="1">A56</f>
        <v>Nueva Zelanda</v>
      </c>
      <c r="AB55" s="49" t="e" cm="1" vm="28">
        <f t="array" aca="1" ref="AB55" ca="1">Ver_flag_local</f>
        <v>#VALUE!</v>
      </c>
      <c r="AC55" s="50"/>
      <c r="AD55" s="51"/>
      <c r="AE55" s="574" t="e" cm="1" vm="26">
        <f t="array" aca="1" ref="AE55" ca="1">Ver_flag_visit</f>
        <v>#VALUE!</v>
      </c>
      <c r="AF55" s="32" t="str">
        <f ca="1">A54</f>
        <v>Egipto</v>
      </c>
      <c r="AG55" s="309">
        <f t="shared" si="162"/>
        <v>0</v>
      </c>
      <c r="AH55" s="187">
        <v>40</v>
      </c>
      <c r="AI55" s="173" t="str">
        <f t="shared" ref="AI55:AI57" si="166">AJ55&amp;$B$52</f>
        <v>2G</v>
      </c>
      <c r="AJ55" s="42">
        <v>2</v>
      </c>
      <c r="AK55" s="581" t="e" cm="1" vm="28">
        <f t="array" aca="1" ref="AK55" ca="1">Ver_flag_visit</f>
        <v>#VALUE!</v>
      </c>
      <c r="AL55" s="37" t="str">
        <f ca="1">IFERROR(INDEX($BD$6:$BD$53,MATCH(AI55,$BN$6:$BN$53,0)),"")</f>
        <v>Nueva Zelanda</v>
      </c>
      <c r="AM55" s="38">
        <f t="shared" ca="1" si="165"/>
        <v>1</v>
      </c>
      <c r="AN55" s="39">
        <f t="shared" ca="1" si="165"/>
        <v>1</v>
      </c>
      <c r="AO55" s="39">
        <f t="shared" ca="1" si="165"/>
        <v>0</v>
      </c>
      <c r="AP55" s="39">
        <f t="shared" ca="1" si="165"/>
        <v>1</v>
      </c>
      <c r="AQ55" s="39">
        <f t="shared" ca="1" si="165"/>
        <v>0</v>
      </c>
      <c r="AR55" s="39">
        <f t="shared" ca="1" si="165"/>
        <v>2</v>
      </c>
      <c r="AS55" s="39">
        <f t="shared" ca="1" si="165"/>
        <v>2</v>
      </c>
      <c r="AT55" s="43">
        <f t="shared" ca="1" si="165"/>
        <v>0</v>
      </c>
      <c r="AU55" s="316">
        <f ca="1">INDEX($DL$6:$DL$53,MATCH(AI55,$DP$6:$DP$53,0))</f>
        <v>1</v>
      </c>
      <c r="AV55" s="174" t="str">
        <f ca="1">INDEX($BD$6:$BD$53,MATCH(AI55,$BM$6:$BM$53,0))</f>
        <v>Nueva Zelanda</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39"/>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1</v>
      </c>
      <c r="AN56" s="39">
        <f t="shared" ca="1" si="165"/>
        <v>1</v>
      </c>
      <c r="AO56" s="39">
        <f t="shared" ca="1" si="165"/>
        <v>0</v>
      </c>
      <c r="AP56" s="39">
        <f t="shared" ca="1" si="165"/>
        <v>1</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0"/>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6">
        <f t="array" aca="1" ref="AK57" ca="1">Ver_flag_visit</f>
        <v>#VALUE!</v>
      </c>
      <c r="AL57" s="45" t="str">
        <f ca="1">IFERROR(INDEX($BD$6:$BD$53,MATCH(AI57,$BN$6:$BN$53,0)),"")</f>
        <v>Egipto</v>
      </c>
      <c r="AM57" s="46">
        <f t="shared" ca="1" si="165"/>
        <v>1</v>
      </c>
      <c r="AN57" s="47">
        <f t="shared" ca="1" si="165"/>
        <v>1</v>
      </c>
      <c r="AO57" s="47">
        <f t="shared" ca="1" si="165"/>
        <v>0</v>
      </c>
      <c r="AP57" s="47">
        <f t="shared" ca="1" si="165"/>
        <v>1</v>
      </c>
      <c r="AQ57" s="47">
        <f t="shared" ca="1" si="165"/>
        <v>0</v>
      </c>
      <c r="AR57" s="47">
        <f t="shared" ca="1" si="165"/>
        <v>1</v>
      </c>
      <c r="AS57" s="47">
        <f t="shared" ca="1" si="165"/>
        <v>1</v>
      </c>
      <c r="AT57" s="48">
        <f t="shared" ca="1" si="165"/>
        <v>0</v>
      </c>
      <c r="AU57" s="316">
        <f ca="1">INDEX($DL$6:$DL$53,MATCH(AI57,$DP$6:$DP$53,0))</f>
        <v>1</v>
      </c>
      <c r="AV57" s="174" t="str">
        <f ca="1">INDEX($BD$6:$BD$53,MATCH(AI57,$BM$6:$BM$53,0))</f>
        <v>Egipto</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ca="1">+BG58+BH58+BI58</f>
        <v>1</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ca="1">+BJ58-BK58</f>
        <v>-1</v>
      </c>
      <c r="BM58" s="16">
        <f ca="1">CB58</f>
        <v>8</v>
      </c>
      <c r="BN58" s="16">
        <f ca="1">CF58</f>
        <v>8</v>
      </c>
      <c r="BO58" s="16" t="str">
        <f t="shared" ref="BO58:BO69" si="174">"4"&amp;BC58</f>
        <v>4A</v>
      </c>
      <c r="BP58" s="16"/>
      <c r="BQ58" s="16"/>
      <c r="BR58" s="16">
        <f t="shared" ref="BR58:BR69" ca="1" si="175">+BE58</f>
        <v>0</v>
      </c>
      <c r="BS58" s="16">
        <f ca="1">COUNTIFS(BR$58:BR$69,"&gt;"&amp;BR58)+1</f>
        <v>6</v>
      </c>
      <c r="BT58" s="16" t="str">
        <f ca="1">IF(COUNTIF(BS$58:BS$69,BS58)=1,"-","Pos. "&amp;BS58&amp;" ("&amp;COUNTIF(BS$58:BS$69,BS58)&amp;")")</f>
        <v>Pos. 6 (7)</v>
      </c>
      <c r="BU58" s="16">
        <f t="shared" ref="BU58:BU69" ca="1" si="176">IF(BT58="-","-",BL58)</f>
        <v>-1</v>
      </c>
      <c r="BV58" s="16">
        <f t="shared" ref="BV58:BV69" ca="1" si="177">BS58+COUNTIFS(BT$58:BT$69,BT58,BU$58:BU$69,"&gt;"&amp;BU58)</f>
        <v>8</v>
      </c>
      <c r="BW58" s="16" t="str">
        <f t="shared" ref="BW58:BW69" ca="1" si="178">IF(COUNTIF(BV$58:BV$69,BV58)=1,"-","Pos. "&amp;BV58&amp;" ("&amp;COUNTIF(BV$58:BV$69,BV58)&amp;")")</f>
        <v>Pos. 8 (2)</v>
      </c>
      <c r="BX58" s="16">
        <f t="shared" ref="BX58:BX69" ca="1" si="179">IF(BW58="-","-",BJ58)</f>
        <v>1</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Japón</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Catar</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1</v>
      </c>
      <c r="BG59" s="16">
        <f t="shared" ca="1" si="169"/>
        <v>0</v>
      </c>
      <c r="BH59" s="16">
        <f t="shared" ca="1" si="170"/>
        <v>1</v>
      </c>
      <c r="BI59" s="16">
        <f t="shared" ca="1" si="171"/>
        <v>0</v>
      </c>
      <c r="BJ59" s="16">
        <f t="shared" ca="1" si="172"/>
        <v>1</v>
      </c>
      <c r="BK59" s="16">
        <f t="shared" ca="1" si="173"/>
        <v>1</v>
      </c>
      <c r="BL59" s="16">
        <f t="shared" ref="BL59:BL69" ca="1" si="190">+BJ59-BK59</f>
        <v>0</v>
      </c>
      <c r="BM59" s="16">
        <f t="shared" ref="BM59:BM69" ca="1" si="191">CB59</f>
        <v>3</v>
      </c>
      <c r="BN59" s="16">
        <f t="shared" ref="BN59:BN69" ca="1" si="192">CF59</f>
        <v>3</v>
      </c>
      <c r="BO59" s="16" t="str">
        <f t="shared" si="174"/>
        <v>4B</v>
      </c>
      <c r="BP59" s="16"/>
      <c r="BQ59" s="16"/>
      <c r="BR59" s="16">
        <f t="shared" ca="1" si="175"/>
        <v>1</v>
      </c>
      <c r="BS59" s="16">
        <f t="shared" ref="BS59:BS69" ca="1" si="193">COUNTIFS(BR$58:BR$69,"&gt;"&amp;BR59)+1</f>
        <v>1</v>
      </c>
      <c r="BT59" s="16" t="str">
        <f t="shared" ref="BT59:BT69" ca="1" si="194">IF(COUNTIF(BS$58:BS$69,BS59)=1,"-","Pos. "&amp;BS59&amp;" ("&amp;COUNTIF(BS$58:BS$69,BS59)&amp;")")</f>
        <v>Pos. 1 (5)</v>
      </c>
      <c r="BU59" s="16">
        <f t="shared" ca="1" si="176"/>
        <v>0</v>
      </c>
      <c r="BV59" s="16">
        <f t="shared" ca="1" si="177"/>
        <v>1</v>
      </c>
      <c r="BW59" s="16" t="str">
        <f t="shared" ca="1" si="178"/>
        <v>Pos. 1 (5)</v>
      </c>
      <c r="BX59" s="16">
        <f t="shared" ca="1" si="179"/>
        <v>1</v>
      </c>
      <c r="BY59" s="16">
        <f t="shared" ca="1" si="180"/>
        <v>2</v>
      </c>
      <c r="BZ59" s="16" t="str">
        <f t="shared" ca="1" si="181"/>
        <v>Pos. 2 (3)</v>
      </c>
      <c r="CA59" s="16">
        <f t="shared" ca="1" si="182"/>
        <v>10</v>
      </c>
      <c r="CB59" s="16">
        <f t="shared" ref="CB59:CB68" ca="1" si="195">BY59+COUNTIFS(BZ$58:BZ$69,BZ59,CA$58:CA$69,"&gt;"&amp;CA59)</f>
        <v>3</v>
      </c>
      <c r="CC59" s="16"/>
      <c r="CD59" s="16">
        <f t="shared" ca="1" si="183"/>
        <v>3</v>
      </c>
      <c r="CE59" s="16">
        <f t="shared" ref="CE59:CE69" ca="1" si="196">IF(BZ59="-","-",COUNTIF(CD$58:CD$69,"&lt;"&amp;CD59))</f>
        <v>2</v>
      </c>
      <c r="CF59" s="16">
        <f t="shared" ref="CF59:CF69" ca="1" si="197">BY59+COUNTIFS(BZ$58:BZ$69,BZ59,CE$58:CE$69,"&lt;"&amp;CE59)</f>
        <v>3</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Bélgica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P.1 (4)</v>
      </c>
      <c r="F60" s="16" t="str">
        <f t="shared" ref="F60:F65" ca="1" si="201">IF(D60="Pendiente","-",INDEX($BT$6:$BT$53,MATCH($AF60,$BD$6:$BD$53,0)))</f>
        <v>P.1 (4)</v>
      </c>
      <c r="G60" s="16"/>
      <c r="H60" s="16" t="str">
        <f t="shared" ref="H60:H65" ca="1" si="202">IF(D60="Pendiente","-",INDEX($BZ$6:$BZ$53,MATCH($AA60,$BD$6:$BD$53,0)))</f>
        <v>P.1 (4)</v>
      </c>
      <c r="I60" s="16" t="str">
        <f t="shared" ref="I60:I65" ca="1" si="203">IF(D60="Pendiente","-",INDEX($BZ$6:$BZ$53,MATCH($AF60,$BD$6:$BD$53,0)))</f>
        <v>P.1 (4)</v>
      </c>
      <c r="J60" s="16"/>
      <c r="K60" s="16" t="str">
        <f t="shared" ref="K60:K65" ca="1" si="204">IF(D60="Pendiente","-",INDEX($CE$6:$CE$53,MATCH($AA60,$BD$6:$BD$53,0)))</f>
        <v>P.1 (4)</v>
      </c>
      <c r="L60" s="16" t="str">
        <f t="shared" ref="L60:L65" ca="1" si="205">IF(D60="Pendiente","-",INDEX($CE$6:$CE$53,MATCH($AF60,$BD$6:$BD$53,0)))</f>
        <v>P.1 (4)</v>
      </c>
      <c r="M60" s="16"/>
      <c r="N60" s="16" t="str">
        <f t="shared" ref="N60:N65" ca="1" si="206">IF(D60="Pendiente","-",INDEX($CH$6:$CH$53,MATCH($AA60,$BD$6:$BD$53,0)))</f>
        <v>P.3 (2)</v>
      </c>
      <c r="O60" s="16" t="str">
        <f t="shared" ref="O60:O65" ca="1" si="207">IF(D60="Pendiente","-",INDEX($CH$6:$CH$53,MATCH($AF60,$BD$6:$BD$53,0)))</f>
        <v>P.3 (2)</v>
      </c>
      <c r="P60" s="16"/>
      <c r="Q60" s="16" t="str">
        <f t="shared" ref="Q60:Q65" ca="1" si="208">IF(D60="Pendiente","-",INDEX($CN$6:$CN$53,MATCH($AA60,$BD$6:$BD$53,0)))</f>
        <v>P.3 (2)</v>
      </c>
      <c r="R60" s="16" t="str">
        <f t="shared" ref="R60:R65" ca="1" si="209">IF(D60="Pendiente","-",INDEX($CN$6:$CN$53,MATCH($AF60,$BD$6:$BD$53,0)))</f>
        <v>P.3 (2)</v>
      </c>
      <c r="S60" s="16"/>
      <c r="T60" s="16" t="str">
        <f t="shared" ref="T60:T65" ca="1" si="210">IF(D60="Pendiente","-",INDEX($CS$6:$CS$53,MATCH($AA60,$BD$6:$BD$53,0)))</f>
        <v>P.3 (2)</v>
      </c>
      <c r="U60" s="16" t="str">
        <f t="shared" ref="U60:U65" ca="1" si="211">IF(D60="Pendiente","-",INDEX($CS$6:$CS$53,MATCH($AF60,$BD$6:$BD$53,0)))</f>
        <v>P.3 (2)</v>
      </c>
      <c r="V60" s="17"/>
      <c r="W60" s="621"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Marruecos</v>
      </c>
      <c r="BE60" s="16">
        <f t="shared" ca="1" si="188"/>
        <v>1</v>
      </c>
      <c r="BF60" s="16">
        <f t="shared" ca="1" si="189"/>
        <v>1</v>
      </c>
      <c r="BG60" s="16">
        <f t="shared" ca="1" si="169"/>
        <v>0</v>
      </c>
      <c r="BH60" s="16">
        <f t="shared" ca="1" si="170"/>
        <v>1</v>
      </c>
      <c r="BI60" s="16">
        <f t="shared" ca="1" si="171"/>
        <v>0</v>
      </c>
      <c r="BJ60" s="16">
        <f t="shared" ca="1" si="172"/>
        <v>1</v>
      </c>
      <c r="BK60" s="16">
        <f t="shared" ca="1" si="173"/>
        <v>1</v>
      </c>
      <c r="BL60" s="16">
        <f t="shared" ca="1" si="190"/>
        <v>0</v>
      </c>
      <c r="BM60" s="16">
        <f t="shared" ca="1" si="191"/>
        <v>4</v>
      </c>
      <c r="BN60" s="16">
        <f t="shared" ca="1" si="192"/>
        <v>4</v>
      </c>
      <c r="BO60" s="16" t="str">
        <f t="shared" si="174"/>
        <v>4C</v>
      </c>
      <c r="BP60" s="16"/>
      <c r="BQ60" s="16"/>
      <c r="BR60" s="16">
        <f t="shared" ca="1" si="175"/>
        <v>1</v>
      </c>
      <c r="BS60" s="16">
        <f t="shared" ca="1" si="193"/>
        <v>1</v>
      </c>
      <c r="BT60" s="16" t="str">
        <f t="shared" ca="1" si="194"/>
        <v>Pos. 1 (5)</v>
      </c>
      <c r="BU60" s="16">
        <f t="shared" ca="1" si="176"/>
        <v>0</v>
      </c>
      <c r="BV60" s="16">
        <f t="shared" ca="1" si="177"/>
        <v>1</v>
      </c>
      <c r="BW60" s="16" t="str">
        <f t="shared" ca="1" si="178"/>
        <v>Pos. 1 (5)</v>
      </c>
      <c r="BX60" s="16">
        <f t="shared" ca="1" si="179"/>
        <v>1</v>
      </c>
      <c r="BY60" s="16">
        <f t="shared" ca="1" si="180"/>
        <v>2</v>
      </c>
      <c r="BZ60" s="16" t="str">
        <f t="shared" ca="1" si="181"/>
        <v>Pos. 2 (3)</v>
      </c>
      <c r="CA60" s="16">
        <f t="shared" ca="1" si="182"/>
        <v>4</v>
      </c>
      <c r="CB60" s="16">
        <f t="shared" ca="1" si="195"/>
        <v>4</v>
      </c>
      <c r="CC60" s="16"/>
      <c r="CD60" s="16">
        <f t="shared" ca="1" si="183"/>
        <v>4</v>
      </c>
      <c r="CE60" s="16">
        <f t="shared" ca="1" si="196"/>
        <v>3</v>
      </c>
      <c r="CF60" s="16">
        <f t="shared" ca="1" si="197"/>
        <v>4</v>
      </c>
      <c r="DJ60" s="16">
        <f t="shared" ca="1" si="184"/>
        <v>2</v>
      </c>
      <c r="DK60" s="16"/>
      <c r="DL60" s="16">
        <f t="shared" ca="1" si="185"/>
        <v>1</v>
      </c>
      <c r="DM60" s="16" t="str">
        <f t="shared" ca="1" si="186"/>
        <v>2.1</v>
      </c>
      <c r="DN60" s="16" cm="1">
        <f t="array" aca="1" ref="DN60" ca="1">OFFSET(Horarios!$P$3,DJ60-1,0,DL60,1)</f>
        <v>2</v>
      </c>
      <c r="DO60" s="16"/>
      <c r="DP60" s="16">
        <v>3</v>
      </c>
      <c r="DQ60" s="16" t="str">
        <f t="shared" ca="1" si="198"/>
        <v>Catar</v>
      </c>
    </row>
    <row r="61" spans="1:121" ht="16" customHeight="1">
      <c r="A61" s="16" t="str">
        <f ca="1">+Equipos!B30</f>
        <v>España</v>
      </c>
      <c r="B61" s="16"/>
      <c r="C61" s="16"/>
      <c r="D61" s="16" t="str">
        <f t="shared" si="199"/>
        <v>Empate</v>
      </c>
      <c r="E61" s="16" t="str">
        <f t="shared" ca="1" si="200"/>
        <v>P.1 (4)</v>
      </c>
      <c r="F61" s="16" t="str">
        <f t="shared" ca="1" si="201"/>
        <v>P.1 (4)</v>
      </c>
      <c r="G61" s="16"/>
      <c r="H61" s="16" t="str">
        <f t="shared" ca="1" si="202"/>
        <v>P.1 (4)</v>
      </c>
      <c r="I61" s="16" t="str">
        <f t="shared" ca="1" si="203"/>
        <v>P.1 (4)</v>
      </c>
      <c r="J61" s="16"/>
      <c r="K61" s="16" t="str">
        <f t="shared" ca="1" si="204"/>
        <v>P.1 (4)</v>
      </c>
      <c r="L61" s="16" t="str">
        <f t="shared" ca="1" si="205"/>
        <v>P.1 (4)</v>
      </c>
      <c r="M61" s="16"/>
      <c r="N61" s="16" t="str">
        <f t="shared" ca="1" si="206"/>
        <v>P.1 (2)</v>
      </c>
      <c r="O61" s="16" t="str">
        <f t="shared" ca="1" si="207"/>
        <v>P.1 (2)</v>
      </c>
      <c r="P61" s="16"/>
      <c r="Q61" s="16" t="str">
        <f t="shared" ca="1" si="208"/>
        <v>P.1 (2)</v>
      </c>
      <c r="R61" s="16" t="str">
        <f t="shared" ca="1" si="209"/>
        <v>P.1 (2)</v>
      </c>
      <c r="S61" s="16"/>
      <c r="T61" s="16" t="str">
        <f t="shared" ca="1" si="210"/>
        <v>P.1 (2)</v>
      </c>
      <c r="U61" s="16" t="str">
        <f t="shared" ca="1" si="211"/>
        <v>P.1 (2)</v>
      </c>
      <c r="V61" s="17"/>
      <c r="W61" s="621"/>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Turquía</v>
      </c>
      <c r="BE61" s="16">
        <f t="shared" ca="1" si="188"/>
        <v>0</v>
      </c>
      <c r="BF61" s="16">
        <f t="shared" ca="1" si="189"/>
        <v>1</v>
      </c>
      <c r="BG61" s="16">
        <f t="shared" ca="1" si="169"/>
        <v>0</v>
      </c>
      <c r="BH61" s="16">
        <f t="shared" ca="1" si="170"/>
        <v>0</v>
      </c>
      <c r="BI61" s="16">
        <f t="shared" ca="1" si="171"/>
        <v>1</v>
      </c>
      <c r="BJ61" s="16">
        <f t="shared" ca="1" si="172"/>
        <v>0</v>
      </c>
      <c r="BK61" s="16">
        <f t="shared" ca="1" si="173"/>
        <v>2</v>
      </c>
      <c r="BL61" s="16">
        <f t="shared" ca="1" si="190"/>
        <v>-2</v>
      </c>
      <c r="BM61" s="16">
        <f t="shared" ca="1" si="191"/>
        <v>12</v>
      </c>
      <c r="BN61" s="16">
        <f t="shared" ca="1" si="192"/>
        <v>12</v>
      </c>
      <c r="BO61" s="16" t="str">
        <f t="shared" si="174"/>
        <v>4D</v>
      </c>
      <c r="BP61" s="16"/>
      <c r="BQ61" s="16"/>
      <c r="BR61" s="16">
        <f t="shared" ca="1" si="175"/>
        <v>0</v>
      </c>
      <c r="BS61" s="16">
        <f t="shared" ca="1" si="193"/>
        <v>6</v>
      </c>
      <c r="BT61" s="16" t="str">
        <f t="shared" ca="1" si="194"/>
        <v>Pos. 6 (7)</v>
      </c>
      <c r="BU61" s="16">
        <f t="shared" ca="1" si="176"/>
        <v>-2</v>
      </c>
      <c r="BV61" s="16">
        <f t="shared" ca="1" si="177"/>
        <v>10</v>
      </c>
      <c r="BW61" s="16" t="str">
        <f t="shared" ca="1" si="178"/>
        <v>Pos. 10 (3)</v>
      </c>
      <c r="BX61" s="16">
        <f t="shared" ca="1" si="179"/>
        <v>0</v>
      </c>
      <c r="BY61" s="16">
        <f t="shared" ca="1" si="180"/>
        <v>12</v>
      </c>
      <c r="BZ61" s="16" t="str">
        <f t="shared" ca="1" si="181"/>
        <v>-</v>
      </c>
      <c r="CA61" s="16" t="str">
        <f t="shared" ca="1" si="182"/>
        <v>-</v>
      </c>
      <c r="CB61" s="16">
        <f t="shared" ca="1" si="195"/>
        <v>12</v>
      </c>
      <c r="CC61" s="16"/>
      <c r="CD61" s="16">
        <f t="shared" ca="1" si="183"/>
        <v>12</v>
      </c>
      <c r="CE61" s="16" t="str">
        <f t="shared" ca="1" si="196"/>
        <v>-</v>
      </c>
      <c r="CF61" s="16">
        <f t="shared" ca="1" si="197"/>
        <v>12</v>
      </c>
      <c r="DJ61" s="16">
        <f t="shared" ca="1" si="184"/>
        <v>2</v>
      </c>
      <c r="DK61" s="16"/>
      <c r="DL61" s="16">
        <f t="shared" ca="1" si="185"/>
        <v>1</v>
      </c>
      <c r="DM61" s="16" t="str">
        <f t="shared" ca="1" si="186"/>
        <v>2.1</v>
      </c>
      <c r="DN61" s="16" cm="1">
        <f t="array" aca="1" ref="DN61" ca="1">OFFSET(Horarios!$P$3,DJ61-1,0,DL61,1)</f>
        <v>2</v>
      </c>
      <c r="DO61" s="16"/>
      <c r="DP61" s="16">
        <v>4</v>
      </c>
      <c r="DQ61" s="16" t="str">
        <f t="shared" ca="1" si="198"/>
        <v>Marruecos</v>
      </c>
    </row>
    <row r="62" spans="1:121" ht="16" customHeight="1">
      <c r="A62" s="16" t="str">
        <f ca="1">+Equipos!B31</f>
        <v>Cabo Verde</v>
      </c>
      <c r="B62" s="16"/>
      <c r="C62" s="16"/>
      <c r="D62" s="16" t="str">
        <f t="shared" si="199"/>
        <v>Pendiente</v>
      </c>
      <c r="E62" s="16" t="str">
        <f t="shared" si="200"/>
        <v>-</v>
      </c>
      <c r="F62" s="16" t="str">
        <f t="shared" si="201"/>
        <v>-</v>
      </c>
      <c r="G62" s="16"/>
      <c r="H62" s="16" t="str">
        <f t="shared" si="202"/>
        <v>-</v>
      </c>
      <c r="I62" s="16" t="str">
        <f t="shared" si="203"/>
        <v>-</v>
      </c>
      <c r="J62" s="16"/>
      <c r="K62" s="16" t="str">
        <f t="shared" si="204"/>
        <v>-</v>
      </c>
      <c r="L62" s="16" t="str">
        <f t="shared" si="205"/>
        <v>-</v>
      </c>
      <c r="M62" s="16"/>
      <c r="N62" s="16" t="str">
        <f t="shared" si="206"/>
        <v>-</v>
      </c>
      <c r="O62" s="16" t="str">
        <f t="shared" si="207"/>
        <v>-</v>
      </c>
      <c r="P62" s="16"/>
      <c r="Q62" s="16" t="str">
        <f t="shared" si="208"/>
        <v>-</v>
      </c>
      <c r="R62" s="16" t="str">
        <f t="shared" si="209"/>
        <v>-</v>
      </c>
      <c r="S62" s="16"/>
      <c r="T62" s="16" t="str">
        <f t="shared" si="210"/>
        <v>-</v>
      </c>
      <c r="U62" s="16" t="str">
        <f t="shared" si="211"/>
        <v>-</v>
      </c>
      <c r="V62" s="17"/>
      <c r="W62" s="621"/>
      <c r="X62" s="24">
        <f ca="1">Horarios!C62</f>
        <v>46194.75</v>
      </c>
      <c r="Y62" s="25">
        <f ca="1">Horarios!C62</f>
        <v>46194.75</v>
      </c>
      <c r="Z62" s="26" t="str">
        <f>$Z$6</f>
        <v>J2</v>
      </c>
      <c r="AA62" s="27" t="str">
        <f ca="1">A61</f>
        <v>España</v>
      </c>
      <c r="AB62" s="49" t="e" cm="1" vm="29">
        <f t="array" aca="1" ref="AB62" ca="1">Ver_flag_local</f>
        <v>#VALUE!</v>
      </c>
      <c r="AC62" s="50"/>
      <c r="AD62" s="51"/>
      <c r="AE62" s="574" t="e" cm="1" vm="31">
        <f t="array" aca="1" ref="AE62" ca="1">Ver_flag_visit</f>
        <v>#VALUE!</v>
      </c>
      <c r="AF62" s="32" t="str">
        <f ca="1">A63</f>
        <v>Arabia Saudita</v>
      </c>
      <c r="AG62" s="309">
        <f t="shared" si="212"/>
        <v>0</v>
      </c>
      <c r="AH62" s="187">
        <v>38</v>
      </c>
      <c r="AI62" s="173" t="str">
        <f>AJ62&amp;$B$60</f>
        <v>1H</v>
      </c>
      <c r="AJ62" s="40">
        <v>1</v>
      </c>
      <c r="AK62" s="580" t="e" cm="1" vm="31">
        <f t="array" aca="1" ref="AK62" ca="1">Ver_flag_visit</f>
        <v>#VALUE!</v>
      </c>
      <c r="AL62" s="34" t="str">
        <f ca="1">IFERROR(INDEX($BD$6:$BD$53,MATCH(AI62,$BN$6:$BN$53,0)),"")</f>
        <v>Arabia Saudita</v>
      </c>
      <c r="AM62" s="35">
        <f t="shared" ref="AM62:AT65" ca="1" si="215">INDEX($BE$6:$BN$53,MATCH($AL62,$BD$6:$BD$53,0),MATCH(AM$5,$BE$5:$BN$5,0))</f>
        <v>1</v>
      </c>
      <c r="AN62" s="36">
        <f t="shared" ca="1" si="215"/>
        <v>1</v>
      </c>
      <c r="AO62" s="36">
        <f t="shared" ca="1" si="215"/>
        <v>0</v>
      </c>
      <c r="AP62" s="36">
        <f t="shared" ca="1" si="215"/>
        <v>1</v>
      </c>
      <c r="AQ62" s="36">
        <f t="shared" ca="1" si="215"/>
        <v>0</v>
      </c>
      <c r="AR62" s="36">
        <f t="shared" ca="1" si="215"/>
        <v>1</v>
      </c>
      <c r="AS62" s="36">
        <f t="shared" ca="1" si="215"/>
        <v>1</v>
      </c>
      <c r="AT62" s="41">
        <f t="shared" ca="1" si="215"/>
        <v>0</v>
      </c>
      <c r="AU62" s="316">
        <f ca="1">INDEX($DL$6:$DL$53,MATCH(AI62,$DP$6:$DP$53,0))</f>
        <v>1</v>
      </c>
      <c r="AV62" s="174" t="str">
        <f ca="1">INDEX($BD$6:$BD$53,MATCH(AI62,$BM$6:$BM$53,0))</f>
        <v>Arabia Saudita</v>
      </c>
      <c r="AW62" s="202"/>
      <c r="AX62" s="163"/>
      <c r="AY62" s="193" t="str">
        <f ca="1">+A61</f>
        <v>España</v>
      </c>
      <c r="AZ62" s="194"/>
      <c r="BA62" s="168"/>
      <c r="BB62" s="16" t="str">
        <f t="shared" si="187"/>
        <v>3E</v>
      </c>
      <c r="BC62" s="16" t="s">
        <v>3</v>
      </c>
      <c r="BD62" s="16" t="str">
        <f t="shared" ca="1" si="168"/>
        <v>Ecuador</v>
      </c>
      <c r="BE62" s="16">
        <f t="shared" ca="1" si="188"/>
        <v>0</v>
      </c>
      <c r="BF62" s="16">
        <f t="shared" ca="1" si="189"/>
        <v>1</v>
      </c>
      <c r="BG62" s="16">
        <f t="shared" ca="1" si="169"/>
        <v>0</v>
      </c>
      <c r="BH62" s="16">
        <f t="shared" ca="1" si="170"/>
        <v>0</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0</v>
      </c>
      <c r="BS62" s="16">
        <f t="shared" ca="1" si="193"/>
        <v>6</v>
      </c>
      <c r="BT62" s="16" t="str">
        <f t="shared" ca="1" si="194"/>
        <v>Pos. 6 (7)</v>
      </c>
      <c r="BU62" s="16">
        <f t="shared" ca="1" si="176"/>
        <v>-1</v>
      </c>
      <c r="BV62" s="16">
        <f t="shared" ca="1" si="177"/>
        <v>8</v>
      </c>
      <c r="BW62" s="16" t="str">
        <f t="shared" ca="1" si="178"/>
        <v>Pos. 8 (2)</v>
      </c>
      <c r="BX62" s="16">
        <f t="shared" ca="1" si="179"/>
        <v>0</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España</v>
      </c>
    </row>
    <row r="63" spans="1:121" ht="16" customHeight="1">
      <c r="A63" s="16" t="str">
        <f ca="1">+Equipos!B32</f>
        <v>Arabia Saudita</v>
      </c>
      <c r="B63" s="16"/>
      <c r="C63" s="16"/>
      <c r="D63" s="16" t="str">
        <f t="shared" si="199"/>
        <v>Pendiente</v>
      </c>
      <c r="E63" s="16" t="str">
        <f t="shared" si="200"/>
        <v>-</v>
      </c>
      <c r="F63" s="16" t="str">
        <f t="shared" si="201"/>
        <v>-</v>
      </c>
      <c r="G63" s="16"/>
      <c r="H63" s="16" t="str">
        <f t="shared" si="202"/>
        <v>-</v>
      </c>
      <c r="I63" s="16" t="str">
        <f t="shared" si="203"/>
        <v>-</v>
      </c>
      <c r="J63" s="16"/>
      <c r="K63" s="16" t="str">
        <f t="shared" si="204"/>
        <v>-</v>
      </c>
      <c r="L63" s="16" t="str">
        <f t="shared" si="205"/>
        <v>-</v>
      </c>
      <c r="M63" s="16"/>
      <c r="N63" s="16" t="str">
        <f t="shared" si="206"/>
        <v>-</v>
      </c>
      <c r="O63" s="16" t="str">
        <f t="shared" si="207"/>
        <v>-</v>
      </c>
      <c r="P63" s="16"/>
      <c r="Q63" s="16" t="str">
        <f t="shared" si="208"/>
        <v>-</v>
      </c>
      <c r="R63" s="16" t="str">
        <f t="shared" si="209"/>
        <v>-</v>
      </c>
      <c r="S63" s="16"/>
      <c r="T63" s="16" t="str">
        <f t="shared" si="210"/>
        <v>-</v>
      </c>
      <c r="U63" s="16" t="str">
        <f t="shared" si="211"/>
        <v>-</v>
      </c>
      <c r="V63" s="17"/>
      <c r="W63" s="621"/>
      <c r="X63" s="24">
        <f ca="1">Horarios!C63</f>
        <v>46195</v>
      </c>
      <c r="Y63" s="25">
        <f ca="1">Horarios!C63</f>
        <v>46195</v>
      </c>
      <c r="Z63" s="26" t="str">
        <f>$Z$6</f>
        <v>J2</v>
      </c>
      <c r="AA63" s="27" t="str">
        <f ca="1">A64</f>
        <v>Uruguay</v>
      </c>
      <c r="AB63" s="49" t="e" cm="1" vm="32">
        <f t="array" aca="1" ref="AB63" ca="1">Ver_flag_local</f>
        <v>#VALUE!</v>
      </c>
      <c r="AC63" s="50"/>
      <c r="AD63" s="51"/>
      <c r="AE63" s="574" t="e" cm="1" vm="30">
        <f t="array" aca="1" ref="AE63" ca="1">Ver_flag_visit</f>
        <v>#VALUE!</v>
      </c>
      <c r="AF63" s="32" t="str">
        <f ca="1">A62</f>
        <v>Cabo Verde</v>
      </c>
      <c r="AG63" s="309">
        <f t="shared" si="212"/>
        <v>0</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1</v>
      </c>
      <c r="AN63" s="39">
        <f t="shared" ca="1" si="215"/>
        <v>1</v>
      </c>
      <c r="AO63" s="39">
        <f t="shared" ca="1" si="215"/>
        <v>0</v>
      </c>
      <c r="AP63" s="39">
        <f t="shared" ca="1" si="215"/>
        <v>1</v>
      </c>
      <c r="AQ63" s="39">
        <f t="shared" ca="1" si="215"/>
        <v>0</v>
      </c>
      <c r="AR63" s="39">
        <f t="shared" ca="1" si="215"/>
        <v>1</v>
      </c>
      <c r="AS63" s="39">
        <f t="shared" ca="1" si="215"/>
        <v>1</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Japón</v>
      </c>
      <c r="BE63" s="16">
        <f t="shared" ca="1" si="188"/>
        <v>1</v>
      </c>
      <c r="BF63" s="16">
        <f t="shared" ca="1" si="189"/>
        <v>1</v>
      </c>
      <c r="BG63" s="16">
        <f t="shared" ca="1" si="169"/>
        <v>0</v>
      </c>
      <c r="BH63" s="16">
        <f t="shared" ca="1" si="170"/>
        <v>1</v>
      </c>
      <c r="BI63" s="16">
        <f t="shared" ca="1" si="171"/>
        <v>0</v>
      </c>
      <c r="BJ63" s="16">
        <f t="shared" ca="1" si="172"/>
        <v>2</v>
      </c>
      <c r="BK63" s="16">
        <f t="shared" ca="1" si="173"/>
        <v>2</v>
      </c>
      <c r="BL63" s="16">
        <f t="shared" ca="1" si="190"/>
        <v>0</v>
      </c>
      <c r="BM63" s="16">
        <f t="shared" ca="1" si="191"/>
        <v>1</v>
      </c>
      <c r="BN63" s="16">
        <f t="shared" ca="1" si="192"/>
        <v>1</v>
      </c>
      <c r="BO63" s="16" t="str">
        <f t="shared" si="174"/>
        <v>4F</v>
      </c>
      <c r="BP63" s="16"/>
      <c r="BQ63" s="16"/>
      <c r="BR63" s="16">
        <f t="shared" ca="1" si="175"/>
        <v>1</v>
      </c>
      <c r="BS63" s="16">
        <f t="shared" ca="1" si="193"/>
        <v>1</v>
      </c>
      <c r="BT63" s="16" t="str">
        <f t="shared" ca="1" si="194"/>
        <v>Pos. 1 (5)</v>
      </c>
      <c r="BU63" s="16">
        <f t="shared" ca="1" si="176"/>
        <v>0</v>
      </c>
      <c r="BV63" s="16">
        <f t="shared" ca="1" si="177"/>
        <v>1</v>
      </c>
      <c r="BW63" s="16" t="str">
        <f t="shared" ca="1" si="178"/>
        <v>Pos. 1 (5)</v>
      </c>
      <c r="BX63" s="16">
        <f t="shared" ca="1" si="179"/>
        <v>2</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Ghana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1"/>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29">
        <f t="array" aca="1" ref="AK64" ca="1">Ver_flag_visit</f>
        <v>#VALUE!</v>
      </c>
      <c r="AL64" s="37" t="str">
        <f ca="1">IFERROR(INDEX($BD$6:$BD$53,MATCH(AI64,$BN$6:$BN$53,0)),"")</f>
        <v>España</v>
      </c>
      <c r="AM64" s="38">
        <f t="shared" ca="1" si="215"/>
        <v>1</v>
      </c>
      <c r="AN64" s="39">
        <f t="shared" ca="1" si="215"/>
        <v>1</v>
      </c>
      <c r="AO64" s="39">
        <f t="shared" ca="1" si="215"/>
        <v>0</v>
      </c>
      <c r="AP64" s="39">
        <f t="shared" ca="1" si="215"/>
        <v>1</v>
      </c>
      <c r="AQ64" s="39">
        <f t="shared" ca="1" si="215"/>
        <v>0</v>
      </c>
      <c r="AR64" s="39">
        <f t="shared" ca="1" si="215"/>
        <v>0</v>
      </c>
      <c r="AS64" s="39">
        <f t="shared" ca="1" si="215"/>
        <v>0</v>
      </c>
      <c r="AT64" s="43">
        <f t="shared" ca="1" si="215"/>
        <v>0</v>
      </c>
      <c r="AU64" s="316">
        <f ca="1">INDEX($DL$6:$DL$53,MATCH(AI64,$DP$6:$DP$53,0))</f>
        <v>1</v>
      </c>
      <c r="AV64" s="174" t="str">
        <f ca="1">INDEX($BD$6:$BD$53,MATCH(AI64,$BM$6:$BM$53,0))</f>
        <v>España</v>
      </c>
      <c r="AW64" s="202"/>
      <c r="AX64" s="163"/>
      <c r="AY64" s="193" t="str">
        <f ca="1">+A63</f>
        <v>Arabia Saudita</v>
      </c>
      <c r="AZ64" s="194"/>
      <c r="BA64" s="168"/>
      <c r="BB64" s="16" t="str">
        <f t="shared" si="187"/>
        <v>3G</v>
      </c>
      <c r="BC64" s="16" t="s">
        <v>6</v>
      </c>
      <c r="BD64" s="16" t="str">
        <f t="shared" ca="1" si="168"/>
        <v>Bélgica</v>
      </c>
      <c r="BE64" s="16">
        <f t="shared" ca="1" si="188"/>
        <v>1</v>
      </c>
      <c r="BF64" s="16">
        <f t="shared" ca="1" si="189"/>
        <v>1</v>
      </c>
      <c r="BG64" s="16">
        <f t="shared" ca="1" si="169"/>
        <v>0</v>
      </c>
      <c r="BH64" s="16">
        <f t="shared" ca="1" si="170"/>
        <v>1</v>
      </c>
      <c r="BI64" s="16">
        <f t="shared" ca="1" si="171"/>
        <v>0</v>
      </c>
      <c r="BJ64" s="16">
        <f t="shared" ca="1" si="172"/>
        <v>1</v>
      </c>
      <c r="BK64" s="16">
        <f t="shared" ca="1" si="173"/>
        <v>1</v>
      </c>
      <c r="BL64" s="16">
        <f t="shared" ca="1" si="190"/>
        <v>0</v>
      </c>
      <c r="BM64" s="16">
        <f t="shared" ca="1" si="191"/>
        <v>2</v>
      </c>
      <c r="BN64" s="16">
        <f t="shared" ca="1" si="192"/>
        <v>2</v>
      </c>
      <c r="BO64" s="16" t="str">
        <f t="shared" si="174"/>
        <v>4G</v>
      </c>
      <c r="BP64" s="16"/>
      <c r="BQ64" s="16"/>
      <c r="BR64" s="16">
        <f t="shared" ca="1" si="175"/>
        <v>1</v>
      </c>
      <c r="BS64" s="16">
        <f t="shared" ca="1" si="193"/>
        <v>1</v>
      </c>
      <c r="BT64" s="16" t="str">
        <f t="shared" ca="1" si="194"/>
        <v>Pos. 1 (5)</v>
      </c>
      <c r="BU64" s="16">
        <f t="shared" ca="1" si="176"/>
        <v>0</v>
      </c>
      <c r="BV64" s="16">
        <f t="shared" ca="1" si="177"/>
        <v>1</v>
      </c>
      <c r="BW64" s="16" t="str">
        <f t="shared" ca="1" si="178"/>
        <v>Pos. 1 (5)</v>
      </c>
      <c r="BX64" s="16">
        <f t="shared" ca="1" si="179"/>
        <v>1</v>
      </c>
      <c r="BY64" s="16">
        <f t="shared" ca="1" si="180"/>
        <v>2</v>
      </c>
      <c r="BZ64" s="16" t="str">
        <f t="shared" ca="1" si="181"/>
        <v>Pos. 2 (3)</v>
      </c>
      <c r="CA64" s="16">
        <f t="shared" ca="1" si="182"/>
        <v>11</v>
      </c>
      <c r="CB64" s="16">
        <f t="shared" ca="1" si="195"/>
        <v>2</v>
      </c>
      <c r="CC64" s="16"/>
      <c r="CD64" s="16">
        <f t="shared" ca="1" si="183"/>
        <v>2</v>
      </c>
      <c r="CE64" s="16">
        <f t="shared" ca="1" si="196"/>
        <v>1</v>
      </c>
      <c r="CF64" s="16">
        <f t="shared" ca="1" si="197"/>
        <v>2</v>
      </c>
      <c r="DJ64" s="16">
        <f t="shared" ca="1" si="184"/>
        <v>6</v>
      </c>
      <c r="DK64" s="16"/>
      <c r="DL64" s="16">
        <f t="shared" ca="1" si="185"/>
        <v>1</v>
      </c>
      <c r="DM64" s="16" t="str">
        <f t="shared" ca="1" si="186"/>
        <v>6.1</v>
      </c>
      <c r="DN64" s="16" cm="1">
        <f t="array" aca="1" ref="DN64" ca="1">OFFSET(Horarios!$P$3,DJ64-1,0,DL64,1)</f>
        <v>6</v>
      </c>
      <c r="DO64" s="16"/>
      <c r="DP64" s="16">
        <v>7</v>
      </c>
      <c r="DQ64" s="16" t="str">
        <f t="shared" ca="1" si="198"/>
        <v>Uzbekistán</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2"/>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0">
        <f t="array" aca="1" ref="AK65" ca="1">Ver_flag_visit</f>
        <v>#VALUE!</v>
      </c>
      <c r="AL65" s="45" t="str">
        <f ca="1">IFERROR(INDEX($BD$6:$BD$53,MATCH(AI65,$BN$6:$BN$53,0)),"")</f>
        <v>Cabo Verde</v>
      </c>
      <c r="AM65" s="46">
        <f t="shared" ca="1" si="215"/>
        <v>1</v>
      </c>
      <c r="AN65" s="47">
        <f t="shared" ca="1" si="215"/>
        <v>1</v>
      </c>
      <c r="AO65" s="47">
        <f t="shared" ca="1" si="215"/>
        <v>0</v>
      </c>
      <c r="AP65" s="47">
        <f t="shared" ca="1" si="215"/>
        <v>1</v>
      </c>
      <c r="AQ65" s="47">
        <f t="shared" ca="1" si="215"/>
        <v>0</v>
      </c>
      <c r="AR65" s="47">
        <f t="shared" ca="1" si="215"/>
        <v>0</v>
      </c>
      <c r="AS65" s="47">
        <f t="shared" ca="1" si="215"/>
        <v>0</v>
      </c>
      <c r="AT65" s="48">
        <f t="shared" ca="1" si="215"/>
        <v>0</v>
      </c>
      <c r="AU65" s="316">
        <f ca="1">INDEX($DL$6:$DL$53,MATCH(AI65,$DP$6:$DP$53,0))</f>
        <v>1</v>
      </c>
      <c r="AV65" s="174" t="str">
        <f ca="1">INDEX($BD$6:$BD$53,MATCH(AI65,$BM$6:$BM$53,0))</f>
        <v>Cabo Verde</v>
      </c>
      <c r="AW65" s="202"/>
      <c r="AX65" s="163"/>
      <c r="AY65" s="197" t="str">
        <f ca="1">+A64</f>
        <v>Uruguay</v>
      </c>
      <c r="AZ65" s="198"/>
      <c r="BA65" s="168"/>
      <c r="BB65" s="16" t="str">
        <f t="shared" si="187"/>
        <v>3H</v>
      </c>
      <c r="BC65" s="16" t="s">
        <v>447</v>
      </c>
      <c r="BD65" s="16" t="str">
        <f t="shared" ca="1" si="168"/>
        <v>España</v>
      </c>
      <c r="BE65" s="16">
        <f t="shared" ca="1" si="188"/>
        <v>1</v>
      </c>
      <c r="BF65" s="16">
        <f t="shared" ca="1" si="189"/>
        <v>1</v>
      </c>
      <c r="BG65" s="16">
        <f t="shared" ca="1" si="169"/>
        <v>0</v>
      </c>
      <c r="BH65" s="16">
        <f t="shared" ca="1" si="170"/>
        <v>1</v>
      </c>
      <c r="BI65" s="16">
        <f t="shared" ca="1" si="171"/>
        <v>0</v>
      </c>
      <c r="BJ65" s="16">
        <f t="shared" ca="1" si="172"/>
        <v>0</v>
      </c>
      <c r="BK65" s="16">
        <f t="shared" ca="1" si="173"/>
        <v>0</v>
      </c>
      <c r="BL65" s="16">
        <f t="shared" ca="1" si="190"/>
        <v>0</v>
      </c>
      <c r="BM65" s="16">
        <f t="shared" ca="1" si="191"/>
        <v>5</v>
      </c>
      <c r="BN65" s="16">
        <f t="shared" ca="1" si="192"/>
        <v>5</v>
      </c>
      <c r="BO65" s="16" t="str">
        <f t="shared" si="174"/>
        <v>4H</v>
      </c>
      <c r="BP65" s="16"/>
      <c r="BQ65" s="16"/>
      <c r="BR65" s="16">
        <f t="shared" ca="1" si="175"/>
        <v>1</v>
      </c>
      <c r="BS65" s="16">
        <f t="shared" ca="1" si="193"/>
        <v>1</v>
      </c>
      <c r="BT65" s="16" t="str">
        <f t="shared" ca="1" si="194"/>
        <v>Pos. 1 (5)</v>
      </c>
      <c r="BU65" s="16">
        <f t="shared" ca="1" si="176"/>
        <v>0</v>
      </c>
      <c r="BV65" s="16">
        <f t="shared" ca="1" si="177"/>
        <v>1</v>
      </c>
      <c r="BW65" s="16" t="str">
        <f t="shared" ca="1" si="178"/>
        <v>Pos. 1 (5)</v>
      </c>
      <c r="BX65" s="16">
        <f t="shared" ca="1" si="179"/>
        <v>0</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1</v>
      </c>
      <c r="BG66" s="16">
        <f t="shared" ca="1" si="169"/>
        <v>0</v>
      </c>
      <c r="BH66" s="16">
        <f t="shared" ca="1" si="170"/>
        <v>0</v>
      </c>
      <c r="BI66" s="16">
        <f t="shared" ca="1" si="171"/>
        <v>1</v>
      </c>
      <c r="BJ66" s="16">
        <f t="shared" ca="1" si="172"/>
        <v>1</v>
      </c>
      <c r="BK66" s="16">
        <f t="shared" ca="1" si="173"/>
        <v>3</v>
      </c>
      <c r="BL66" s="16">
        <f t="shared" ca="1" si="190"/>
        <v>-2</v>
      </c>
      <c r="BM66" s="16">
        <f t="shared" ca="1" si="191"/>
        <v>11</v>
      </c>
      <c r="BN66" s="16">
        <f t="shared" ca="1" si="192"/>
        <v>11</v>
      </c>
      <c r="BO66" s="16" t="str">
        <f t="shared" si="174"/>
        <v>4I</v>
      </c>
      <c r="BP66" s="16"/>
      <c r="BQ66" s="16"/>
      <c r="BR66" s="16">
        <f t="shared" ca="1" si="175"/>
        <v>0</v>
      </c>
      <c r="BS66" s="16">
        <f t="shared" ca="1" si="193"/>
        <v>6</v>
      </c>
      <c r="BT66" s="16" t="str">
        <f t="shared" ca="1" si="194"/>
        <v>Pos. 6 (7)</v>
      </c>
      <c r="BU66" s="16">
        <f t="shared" ca="1" si="176"/>
        <v>-2</v>
      </c>
      <c r="BV66" s="16">
        <f t="shared" ca="1" si="177"/>
        <v>10</v>
      </c>
      <c r="BW66" s="16" t="str">
        <f t="shared" ca="1" si="178"/>
        <v>Pos. 10 (3)</v>
      </c>
      <c r="BX66" s="16">
        <f t="shared" ca="1" si="179"/>
        <v>1</v>
      </c>
      <c r="BY66" s="16">
        <f t="shared" ca="1" si="180"/>
        <v>10</v>
      </c>
      <c r="BZ66" s="16" t="str">
        <f t="shared" ca="1" si="181"/>
        <v>Pos. 10 (2)</v>
      </c>
      <c r="CA66" s="16">
        <f t="shared" ca="1" si="182"/>
        <v>2</v>
      </c>
      <c r="CB66" s="16">
        <f t="shared" ca="1" si="195"/>
        <v>11</v>
      </c>
      <c r="CC66" s="16"/>
      <c r="CD66" s="16">
        <f t="shared" ca="1" si="183"/>
        <v>11</v>
      </c>
      <c r="CE66" s="16">
        <f t="shared" ca="1" si="196"/>
        <v>10</v>
      </c>
      <c r="CF66" s="16">
        <f t="shared" ca="1" si="197"/>
        <v>11</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Jordania</v>
      </c>
      <c r="BE67" s="16">
        <f t="shared" ca="1" si="188"/>
        <v>0</v>
      </c>
      <c r="BF67" s="16">
        <f t="shared" ca="1" si="189"/>
        <v>1</v>
      </c>
      <c r="BG67" s="16">
        <f t="shared" ca="1" si="169"/>
        <v>0</v>
      </c>
      <c r="BH67" s="16">
        <f t="shared" ca="1" si="170"/>
        <v>0</v>
      </c>
      <c r="BI67" s="16">
        <f t="shared" ca="1" si="171"/>
        <v>1</v>
      </c>
      <c r="BJ67" s="16">
        <f t="shared" ca="1" si="172"/>
        <v>1</v>
      </c>
      <c r="BK67" s="16">
        <f t="shared" ca="1" si="173"/>
        <v>3</v>
      </c>
      <c r="BL67" s="16">
        <f t="shared" ca="1" si="190"/>
        <v>-2</v>
      </c>
      <c r="BM67" s="16">
        <f t="shared" ca="1" si="191"/>
        <v>10</v>
      </c>
      <c r="BN67" s="16">
        <f t="shared" ca="1" si="192"/>
        <v>10</v>
      </c>
      <c r="BO67" s="16" t="str">
        <f t="shared" si="174"/>
        <v>4J</v>
      </c>
      <c r="BP67" s="16"/>
      <c r="BQ67" s="16"/>
      <c r="BR67" s="16">
        <f t="shared" ca="1" si="175"/>
        <v>0</v>
      </c>
      <c r="BS67" s="16">
        <f t="shared" ca="1" si="193"/>
        <v>6</v>
      </c>
      <c r="BT67" s="16" t="str">
        <f t="shared" ca="1" si="194"/>
        <v>Pos. 6 (7)</v>
      </c>
      <c r="BU67" s="16">
        <f t="shared" ca="1" si="176"/>
        <v>-2</v>
      </c>
      <c r="BV67" s="16">
        <f t="shared" ca="1" si="177"/>
        <v>10</v>
      </c>
      <c r="BW67" s="16" t="str">
        <f t="shared" ca="1" si="178"/>
        <v>Pos. 10 (3)</v>
      </c>
      <c r="BX67" s="16">
        <f t="shared" ca="1" si="179"/>
        <v>1</v>
      </c>
      <c r="BY67" s="16">
        <f t="shared" ca="1" si="180"/>
        <v>10</v>
      </c>
      <c r="BZ67" s="16" t="str">
        <f t="shared" ca="1" si="181"/>
        <v>Pos. 10 (2)</v>
      </c>
      <c r="CA67" s="16">
        <f t="shared" ca="1" si="182"/>
        <v>5</v>
      </c>
      <c r="CB67" s="16">
        <f t="shared" ca="1" si="195"/>
        <v>10</v>
      </c>
      <c r="CC67" s="16"/>
      <c r="CD67" s="16">
        <f t="shared" ca="1" si="183"/>
        <v>10</v>
      </c>
      <c r="CE67" s="16">
        <f t="shared" ca="1" si="196"/>
        <v>9</v>
      </c>
      <c r="CF67" s="16">
        <f t="shared" ca="1" si="197"/>
        <v>10</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Jordania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7"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Uzbekistán</v>
      </c>
      <c r="BE68" s="16">
        <f t="shared" ca="1" si="188"/>
        <v>0</v>
      </c>
      <c r="BF68" s="16">
        <f t="shared" ca="1" si="189"/>
        <v>0</v>
      </c>
      <c r="BG68" s="16">
        <f t="shared" ca="1" si="169"/>
        <v>0</v>
      </c>
      <c r="BH68" s="16">
        <f t="shared" ca="1" si="170"/>
        <v>0</v>
      </c>
      <c r="BI68" s="16">
        <f t="shared" ca="1" si="171"/>
        <v>0</v>
      </c>
      <c r="BJ68" s="16">
        <f t="shared" ca="1" si="172"/>
        <v>0</v>
      </c>
      <c r="BK68" s="16">
        <f t="shared" ca="1" si="173"/>
        <v>0</v>
      </c>
      <c r="BL68" s="16">
        <f t="shared" ca="1" si="190"/>
        <v>0</v>
      </c>
      <c r="BM68" s="16">
        <f t="shared" ca="1" si="191"/>
        <v>7</v>
      </c>
      <c r="BN68" s="16">
        <f t="shared" ca="1" si="192"/>
        <v>7</v>
      </c>
      <c r="BO68" s="16" t="str">
        <f t="shared" si="174"/>
        <v>4K</v>
      </c>
      <c r="BP68" s="16"/>
      <c r="BQ68" s="16"/>
      <c r="BR68" s="16">
        <f t="shared" ca="1" si="175"/>
        <v>0</v>
      </c>
      <c r="BS68" s="16">
        <f t="shared" ca="1" si="193"/>
        <v>6</v>
      </c>
      <c r="BT68" s="16" t="str">
        <f t="shared" ca="1" si="194"/>
        <v>Pos. 6 (7)</v>
      </c>
      <c r="BU68" s="16">
        <f t="shared" ca="1" si="176"/>
        <v>0</v>
      </c>
      <c r="BV68" s="16">
        <f t="shared" ca="1" si="177"/>
        <v>6</v>
      </c>
      <c r="BW68" s="16" t="str">
        <f t="shared" ca="1" si="178"/>
        <v>Pos. 6 (2)</v>
      </c>
      <c r="BX68" s="16">
        <f t="shared" ca="1" si="179"/>
        <v>0</v>
      </c>
      <c r="BY68" s="16">
        <f t="shared" ca="1" si="180"/>
        <v>6</v>
      </c>
      <c r="BZ68" s="16" t="str">
        <f t="shared" ca="1" si="181"/>
        <v>Pos. 6 (2)</v>
      </c>
      <c r="CA68" s="16">
        <f t="shared" ca="1" si="182"/>
        <v>0</v>
      </c>
      <c r="CB68" s="16">
        <f t="shared" ca="1" si="195"/>
        <v>7</v>
      </c>
      <c r="CC68" s="16"/>
      <c r="CD68" s="16">
        <f t="shared" ca="1" si="183"/>
        <v>7</v>
      </c>
      <c r="CE68" s="16">
        <f t="shared" ca="1" si="196"/>
        <v>6</v>
      </c>
      <c r="CF68" s="16">
        <f t="shared" ca="1" si="197"/>
        <v>7</v>
      </c>
      <c r="DJ68" s="16">
        <f t="shared" ca="1" si="184"/>
        <v>10</v>
      </c>
      <c r="DK68" s="16"/>
      <c r="DL68" s="16">
        <f t="shared" ca="1" si="185"/>
        <v>1</v>
      </c>
      <c r="DM68" s="16" t="str">
        <f t="shared" ca="1" si="186"/>
        <v>10.1</v>
      </c>
      <c r="DN68" s="16" cm="1">
        <f t="array" aca="1" ref="DN68" ca="1">OFFSET(Horarios!$P$3,DJ68-1,0,DL68,1)</f>
        <v>10</v>
      </c>
      <c r="DO68" s="16"/>
      <c r="DP68" s="16">
        <v>11</v>
      </c>
      <c r="DQ68" s="16" t="str">
        <f t="shared" ca="1" si="198"/>
        <v>Senegal</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7"/>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0</v>
      </c>
      <c r="BF69" s="16">
        <f t="shared" ca="1" si="189"/>
        <v>0</v>
      </c>
      <c r="BG69" s="16">
        <f t="shared" ca="1" si="169"/>
        <v>0</v>
      </c>
      <c r="BH69" s="16">
        <f t="shared" ca="1" si="170"/>
        <v>0</v>
      </c>
      <c r="BI69" s="16">
        <f t="shared" ca="1" si="171"/>
        <v>0</v>
      </c>
      <c r="BJ69" s="16">
        <f t="shared" ca="1" si="172"/>
        <v>0</v>
      </c>
      <c r="BK69" s="16">
        <f t="shared" ca="1" si="173"/>
        <v>0</v>
      </c>
      <c r="BL69" s="16">
        <f t="shared" ca="1" si="190"/>
        <v>0</v>
      </c>
      <c r="BM69" s="16">
        <f t="shared" ca="1" si="191"/>
        <v>6</v>
      </c>
      <c r="BN69" s="16">
        <f t="shared" ca="1" si="192"/>
        <v>6</v>
      </c>
      <c r="BO69" s="16" t="str">
        <f t="shared" si="174"/>
        <v>4L</v>
      </c>
      <c r="BP69" s="16"/>
      <c r="BQ69" s="16"/>
      <c r="BR69" s="16">
        <f t="shared" ca="1" si="175"/>
        <v>0</v>
      </c>
      <c r="BS69" s="16">
        <f t="shared" ca="1" si="193"/>
        <v>6</v>
      </c>
      <c r="BT69" s="16" t="str">
        <f t="shared" ca="1" si="194"/>
        <v>Pos. 6 (7)</v>
      </c>
      <c r="BU69" s="16">
        <f t="shared" ca="1" si="176"/>
        <v>0</v>
      </c>
      <c r="BV69" s="16">
        <f t="shared" ca="1" si="177"/>
        <v>6</v>
      </c>
      <c r="BW69" s="16" t="str">
        <f t="shared" ca="1" si="178"/>
        <v>Pos. 6 (2)</v>
      </c>
      <c r="BX69" s="16">
        <f t="shared" ca="1" si="179"/>
        <v>0</v>
      </c>
      <c r="BY69" s="16">
        <f t="shared" ca="1" si="180"/>
        <v>6</v>
      </c>
      <c r="BZ69" s="16" t="str">
        <f t="shared" ca="1" si="181"/>
        <v>Pos. 6 (2)</v>
      </c>
      <c r="CA69" s="16">
        <f t="shared" ca="1" si="182"/>
        <v>7</v>
      </c>
      <c r="CB69" s="16">
        <f ca="1">BY69+COUNTIFS(BZ$58:BZ$69,BZ69,CA$58:CA$69,"&gt;"&amp;CA69)</f>
        <v>6</v>
      </c>
      <c r="CC69" s="16"/>
      <c r="CD69" s="16">
        <f t="shared" ca="1" si="183"/>
        <v>6</v>
      </c>
      <c r="CE69" s="16">
        <f t="shared" ca="1" si="196"/>
        <v>5</v>
      </c>
      <c r="CF69" s="16">
        <f t="shared" ca="1" si="197"/>
        <v>6</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Turquía</v>
      </c>
    </row>
    <row r="70" spans="1:121" ht="16" customHeight="1">
      <c r="A70" s="16" t="str">
        <f ca="1">+Equipos!B35</f>
        <v>Senegal</v>
      </c>
      <c r="B70" s="16"/>
      <c r="C70" s="16"/>
      <c r="D70" s="16" t="str">
        <f t="shared" si="217"/>
        <v>Pendiente</v>
      </c>
      <c r="E70" s="16" t="str">
        <f t="shared" si="218"/>
        <v>-</v>
      </c>
      <c r="F70" s="16" t="str">
        <f t="shared" si="219"/>
        <v>-</v>
      </c>
      <c r="G70" s="16"/>
      <c r="H70" s="16" t="str">
        <f t="shared" si="220"/>
        <v>-</v>
      </c>
      <c r="I70" s="16" t="str">
        <f t="shared" si="221"/>
        <v>-</v>
      </c>
      <c r="J70" s="16"/>
      <c r="K70" s="16" t="str">
        <f t="shared" si="222"/>
        <v>-</v>
      </c>
      <c r="L70" s="16" t="str">
        <f t="shared" si="223"/>
        <v>-</v>
      </c>
      <c r="M70" s="16"/>
      <c r="N70" s="16" t="str">
        <f t="shared" si="224"/>
        <v>-</v>
      </c>
      <c r="O70" s="16" t="str">
        <f t="shared" si="225"/>
        <v>-</v>
      </c>
      <c r="P70" s="16"/>
      <c r="Q70" s="16" t="str">
        <f t="shared" si="226"/>
        <v>-</v>
      </c>
      <c r="R70" s="16" t="str">
        <f t="shared" si="227"/>
        <v>-</v>
      </c>
      <c r="S70" s="16"/>
      <c r="T70" s="16" t="str">
        <f t="shared" si="228"/>
        <v>-</v>
      </c>
      <c r="U70" s="16" t="str">
        <f t="shared" si="229"/>
        <v>-</v>
      </c>
      <c r="V70" s="17"/>
      <c r="W70" s="627"/>
      <c r="X70" s="24">
        <f ca="1">Horarios!C70</f>
        <v>46195.958333333336</v>
      </c>
      <c r="Y70" s="25">
        <f ca="1">Horarios!C70</f>
        <v>46195.958333333336</v>
      </c>
      <c r="Z70" s="26" t="str">
        <f>$Z$6</f>
        <v>J2</v>
      </c>
      <c r="AA70" s="27" t="str">
        <f ca="1">A69</f>
        <v>Francia</v>
      </c>
      <c r="AB70" s="49" t="e" cm="1" vm="33">
        <f t="array" aca="1" ref="AB70" ca="1">Ver_flag_local</f>
        <v>#VALUE!</v>
      </c>
      <c r="AC70" s="50"/>
      <c r="AD70" s="51"/>
      <c r="AE70" s="574" t="e" cm="1" vm="35">
        <f t="array" aca="1" ref="AE70" ca="1">Ver_flag_visit</f>
        <v>#VALUE!</v>
      </c>
      <c r="AF70" s="32" t="str">
        <f ca="1">A71</f>
        <v>Irak</v>
      </c>
      <c r="AG70" s="309">
        <f t="shared" si="230"/>
        <v>0</v>
      </c>
      <c r="AH70" s="187">
        <v>42</v>
      </c>
      <c r="AI70" s="173" t="str">
        <f>AJ70&amp;$B$68</f>
        <v>1I</v>
      </c>
      <c r="AJ70" s="40">
        <v>1</v>
      </c>
      <c r="AK70" s="580" t="e" cm="1" vm="36">
        <f t="array" aca="1" ref="AK70" ca="1">Ver_flag_visit</f>
        <v>#VALUE!</v>
      </c>
      <c r="AL70" s="34" t="str">
        <f ca="1">IFERROR(INDEX($BD$6:$BD$53,MATCH(AI70,$BN$6:$BN$53,0)),"")</f>
        <v>Noruega</v>
      </c>
      <c r="AM70" s="35">
        <f t="shared" ref="AM70:AT73" ca="1" si="233">INDEX($BE$6:$BN$53,MATCH($AL70,$BD$6:$BD$53,0),MATCH(AM$5,$BE$5:$BN$5,0))</f>
        <v>3</v>
      </c>
      <c r="AN70" s="36">
        <f t="shared" ca="1" si="233"/>
        <v>1</v>
      </c>
      <c r="AO70" s="36">
        <f t="shared" ca="1" si="233"/>
        <v>1</v>
      </c>
      <c r="AP70" s="36">
        <f t="shared" ca="1" si="233"/>
        <v>0</v>
      </c>
      <c r="AQ70" s="36">
        <f t="shared" ca="1" si="233"/>
        <v>0</v>
      </c>
      <c r="AR70" s="36">
        <f t="shared" ca="1" si="233"/>
        <v>4</v>
      </c>
      <c r="AS70" s="36">
        <f t="shared" ca="1" si="233"/>
        <v>1</v>
      </c>
      <c r="AT70" s="41">
        <f t="shared" ca="1" si="233"/>
        <v>3</v>
      </c>
      <c r="AU70" s="316">
        <f ca="1">INDEX($DL$6:$DL$53,MATCH(AI70,$DP$6:$DP$53,0))</f>
        <v>1</v>
      </c>
      <c r="AV70" s="174" t="str">
        <f ca="1">INDEX($BD$6:$BD$53,MATCH(AI70,$BM$6:$BM$53,0))</f>
        <v>Noruega</v>
      </c>
      <c r="AW70" s="202"/>
      <c r="AX70" s="163"/>
      <c r="AY70" s="193" t="str">
        <f ca="1">+A69</f>
        <v>Francia</v>
      </c>
      <c r="AZ70" s="194"/>
      <c r="BA70" s="168"/>
      <c r="DN70" s="16"/>
    </row>
    <row r="71" spans="1:121" ht="16" customHeight="1">
      <c r="A71" s="16" t="str">
        <f ca="1">+Equipos!B36</f>
        <v>Irak</v>
      </c>
      <c r="B71" s="16"/>
      <c r="C71" s="16"/>
      <c r="D71" s="16" t="str">
        <f t="shared" si="217"/>
        <v>Pendiente</v>
      </c>
      <c r="E71" s="16" t="str">
        <f t="shared" si="218"/>
        <v>-</v>
      </c>
      <c r="F71" s="16" t="str">
        <f t="shared" si="219"/>
        <v>-</v>
      </c>
      <c r="G71" s="16"/>
      <c r="H71" s="16" t="str">
        <f t="shared" si="220"/>
        <v>-</v>
      </c>
      <c r="I71" s="16" t="str">
        <f t="shared" si="221"/>
        <v>-</v>
      </c>
      <c r="J71" s="16"/>
      <c r="K71" s="16" t="str">
        <f t="shared" si="222"/>
        <v>-</v>
      </c>
      <c r="L71" s="16" t="str">
        <f t="shared" si="223"/>
        <v>-</v>
      </c>
      <c r="M71" s="16"/>
      <c r="N71" s="16" t="str">
        <f t="shared" si="224"/>
        <v>-</v>
      </c>
      <c r="O71" s="16" t="str">
        <f t="shared" si="225"/>
        <v>-</v>
      </c>
      <c r="P71" s="16"/>
      <c r="Q71" s="16" t="str">
        <f t="shared" si="226"/>
        <v>-</v>
      </c>
      <c r="R71" s="16" t="str">
        <f t="shared" si="227"/>
        <v>-</v>
      </c>
      <c r="S71" s="16"/>
      <c r="T71" s="16" t="str">
        <f t="shared" si="228"/>
        <v>-</v>
      </c>
      <c r="U71" s="16" t="str">
        <f t="shared" si="229"/>
        <v>-</v>
      </c>
      <c r="V71" s="17"/>
      <c r="W71" s="627"/>
      <c r="X71" s="24">
        <f ca="1">Horarios!C71</f>
        <v>46196.083333333336</v>
      </c>
      <c r="Y71" s="25">
        <f ca="1">Horarios!C71</f>
        <v>46196.083333333336</v>
      </c>
      <c r="Z71" s="26" t="str">
        <f>$Z$6</f>
        <v>J2</v>
      </c>
      <c r="AA71" s="27" t="str">
        <f ca="1">A72</f>
        <v>Noruega</v>
      </c>
      <c r="AB71" s="49" t="e" cm="1" vm="36">
        <f t="array" aca="1" ref="AB71" ca="1">Ver_flag_local</f>
        <v>#VALUE!</v>
      </c>
      <c r="AC71" s="50"/>
      <c r="AD71" s="51"/>
      <c r="AE71" s="574" t="e" cm="1" vm="34">
        <f t="array" aca="1" ref="AE71" ca="1">Ver_flag_visit</f>
        <v>#VALUE!</v>
      </c>
      <c r="AF71" s="32" t="str">
        <f ca="1">A70</f>
        <v>Senegal</v>
      </c>
      <c r="AG71" s="309">
        <f t="shared" si="230"/>
        <v>0</v>
      </c>
      <c r="AH71" s="187">
        <v>41</v>
      </c>
      <c r="AI71" s="173" t="str">
        <f t="shared" ref="AI71:AI73" si="234">AJ71&amp;$B$68</f>
        <v>2I</v>
      </c>
      <c r="AJ71" s="42">
        <v>2</v>
      </c>
      <c r="AK71" s="581" t="e" cm="1" vm="33">
        <f t="array" aca="1" ref="AK71" ca="1">Ver_flag_visit</f>
        <v>#VALUE!</v>
      </c>
      <c r="AL71" s="37" t="str">
        <f ca="1">IFERROR(INDEX($BD$6:$BD$53,MATCH(AI71,$BN$6:$BN$53,0)),"")</f>
        <v>Francia</v>
      </c>
      <c r="AM71" s="38">
        <f t="shared" ca="1" si="233"/>
        <v>3</v>
      </c>
      <c r="AN71" s="39">
        <f t="shared" ca="1" si="233"/>
        <v>1</v>
      </c>
      <c r="AO71" s="39">
        <f t="shared" ca="1" si="233"/>
        <v>1</v>
      </c>
      <c r="AP71" s="39">
        <f t="shared" ca="1" si="233"/>
        <v>0</v>
      </c>
      <c r="AQ71" s="39">
        <f t="shared" ca="1" si="233"/>
        <v>0</v>
      </c>
      <c r="AR71" s="39">
        <f t="shared" ca="1" si="233"/>
        <v>3</v>
      </c>
      <c r="AS71" s="39">
        <f t="shared" ca="1" si="233"/>
        <v>1</v>
      </c>
      <c r="AT71" s="43">
        <f t="shared" ca="1" si="233"/>
        <v>2</v>
      </c>
      <c r="AU71" s="316">
        <f ca="1">INDEX($DL$6:$DL$53,MATCH(AI71,$DP$6:$DP$53,0))</f>
        <v>1</v>
      </c>
      <c r="AV71" s="174" t="str">
        <f ca="1">INDEX($BD$6:$BD$53,MATCH(AI71,$BM$6:$BM$53,0))</f>
        <v>Francia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7"/>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1</v>
      </c>
      <c r="AO72" s="39">
        <f t="shared" ca="1" si="233"/>
        <v>0</v>
      </c>
      <c r="AP72" s="39">
        <f t="shared" ca="1" si="233"/>
        <v>0</v>
      </c>
      <c r="AQ72" s="39">
        <f t="shared" ca="1" si="233"/>
        <v>1</v>
      </c>
      <c r="AR72" s="39">
        <f t="shared" ca="1" si="233"/>
        <v>1</v>
      </c>
      <c r="AS72" s="39">
        <f t="shared" ca="1" si="233"/>
        <v>3</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28"/>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1</v>
      </c>
      <c r="AO73" s="47">
        <f t="shared" ca="1" si="233"/>
        <v>0</v>
      </c>
      <c r="AP73" s="47">
        <f t="shared" ca="1" si="233"/>
        <v>0</v>
      </c>
      <c r="AQ73" s="47">
        <f t="shared" ca="1" si="233"/>
        <v>1</v>
      </c>
      <c r="AR73" s="47">
        <f t="shared" ca="1" si="233"/>
        <v>1</v>
      </c>
      <c r="AS73" s="47">
        <f t="shared" ca="1" si="233"/>
        <v>4</v>
      </c>
      <c r="AT73" s="48">
        <f t="shared" ca="1" si="233"/>
        <v>-3</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P.1 (2)</v>
      </c>
      <c r="F76" s="16" t="str">
        <f t="shared" ref="F76:F81" ca="1" si="237">IF(D76="Pendiente","-",INDEX($BT$6:$BT$53,MATCH($AF76,$BD$6:$BD$53,0)))</f>
        <v>P.3 (2)</v>
      </c>
      <c r="G76" s="16"/>
      <c r="H76" s="16" t="str">
        <f t="shared" ref="H76:H81" ca="1" si="238">IF(D76="Pendiente","-",INDEX($BZ$6:$BZ$53,MATCH($AA76,$BD$6:$BD$53,0)))</f>
        <v>P.1 (2)</v>
      </c>
      <c r="I76" s="16" t="str">
        <f t="shared" ref="I76:I81" ca="1" si="239">IF(D76="Pendiente","-",INDEX($BZ$6:$BZ$53,MATCH($AF76,$BD$6:$BD$53,0)))</f>
        <v>P.3 (2)</v>
      </c>
      <c r="J76" s="16"/>
      <c r="K76" s="16" t="str">
        <f t="shared" ref="K76:K81" ca="1" si="240">IF(D76="Pendiente","-",INDEX($CE$6:$CE$53,MATCH($AA76,$BD$6:$BD$53,0)))</f>
        <v>P.1 (2)</v>
      </c>
      <c r="L76" s="16" t="str">
        <f t="shared" ref="L76:L81" ca="1" si="241">IF(D76="Pendiente","-",INDEX($CE$6:$CE$53,MATCH($AF76,$BD$6:$BD$53,0)))</f>
        <v>P.3 (2)</v>
      </c>
      <c r="M76" s="16"/>
      <c r="N76" s="16" t="str">
        <f t="shared" ref="N76:N81" ca="1" si="242">IF(D76="Pendiente","-",INDEX($CH$6:$CH$53,MATCH($AA76,$BD$6:$BD$53,0)))</f>
        <v>P.1 (2)</v>
      </c>
      <c r="O76" s="16" t="str">
        <f t="shared" ref="O76:O81" ca="1" si="243">IF(D76="Pendiente","-",INDEX($CH$6:$CH$53,MATCH($AF76,$BD$6:$BD$53,0)))</f>
        <v>P.3 (2)</v>
      </c>
      <c r="P76" s="16"/>
      <c r="Q76" s="16" t="str">
        <f t="shared" ref="Q76:Q81" ca="1" si="244">IF(D76="Pendiente","-",INDEX($CN$6:$CN$53,MATCH($AA76,$BD$6:$BD$53,0)))</f>
        <v>P.1 (2)</v>
      </c>
      <c r="R76" s="16" t="str">
        <f t="shared" ref="R76:R81" ca="1" si="245">IF(D76="Pendiente","-",INDEX($CN$6:$CN$53,MATCH($AF76,$BD$6:$BD$53,0)))</f>
        <v>P.3 (2)</v>
      </c>
      <c r="S76" s="16"/>
      <c r="T76" s="16" t="str">
        <f t="shared" ref="T76:T81" ca="1" si="246">IF(D76="Pendiente","-",INDEX($CS$6:$CS$53,MATCH($AA76,$BD$6:$BD$53,0)))</f>
        <v>P.1 (2)</v>
      </c>
      <c r="U76" s="16" t="str">
        <f t="shared" ref="U76:U81" ca="1" si="247">IF(D76="Pendiente","-",INDEX($CS$6:$CS$53,MATCH($AF76,$BD$6:$BD$53,0)))</f>
        <v>P.3 (2)</v>
      </c>
      <c r="V76" s="17"/>
      <c r="W76" s="623"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P.1 (2)</v>
      </c>
      <c r="F77" s="16" t="str">
        <f t="shared" ca="1" si="237"/>
        <v>P.3 (2)</v>
      </c>
      <c r="G77" s="16"/>
      <c r="H77" s="16" t="str">
        <f t="shared" ca="1" si="238"/>
        <v>P.1 (2)</v>
      </c>
      <c r="I77" s="16" t="str">
        <f t="shared" ca="1" si="239"/>
        <v>P.3 (2)</v>
      </c>
      <c r="J77" s="16"/>
      <c r="K77" s="16" t="str">
        <f t="shared" ca="1" si="240"/>
        <v>P.1 (2)</v>
      </c>
      <c r="L77" s="16" t="str">
        <f t="shared" ca="1" si="241"/>
        <v>P.3 (2)</v>
      </c>
      <c r="M77" s="16"/>
      <c r="N77" s="16" t="str">
        <f t="shared" ca="1" si="242"/>
        <v>P.1 (2)</v>
      </c>
      <c r="O77" s="16" t="str">
        <f t="shared" ca="1" si="243"/>
        <v>P.3 (2)</v>
      </c>
      <c r="P77" s="16"/>
      <c r="Q77" s="16" t="str">
        <f t="shared" ca="1" si="244"/>
        <v>P.1 (2)</v>
      </c>
      <c r="R77" s="16" t="str">
        <f t="shared" ca="1" si="245"/>
        <v>P.3 (2)</v>
      </c>
      <c r="S77" s="16"/>
      <c r="T77" s="16" t="str">
        <f t="shared" ca="1" si="246"/>
        <v>P.1 (2)</v>
      </c>
      <c r="U77" s="16" t="str">
        <f t="shared" ca="1" si="247"/>
        <v>P.3 (2)</v>
      </c>
      <c r="V77" s="17"/>
      <c r="W77" s="623"/>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Pendiente</v>
      </c>
      <c r="E78" s="16" t="str">
        <f t="shared" si="236"/>
        <v>-</v>
      </c>
      <c r="F78" s="16" t="str">
        <f t="shared" si="237"/>
        <v>-</v>
      </c>
      <c r="G78" s="16"/>
      <c r="H78" s="16" t="str">
        <f t="shared" si="238"/>
        <v>-</v>
      </c>
      <c r="I78" s="16" t="str">
        <f t="shared" si="239"/>
        <v>-</v>
      </c>
      <c r="J78" s="16"/>
      <c r="K78" s="16" t="str">
        <f t="shared" si="240"/>
        <v>-</v>
      </c>
      <c r="L78" s="16" t="str">
        <f t="shared" si="241"/>
        <v>-</v>
      </c>
      <c r="M78" s="16"/>
      <c r="N78" s="16" t="str">
        <f t="shared" si="242"/>
        <v>-</v>
      </c>
      <c r="O78" s="16" t="str">
        <f t="shared" si="243"/>
        <v>-</v>
      </c>
      <c r="P78" s="16"/>
      <c r="Q78" s="16" t="str">
        <f t="shared" si="244"/>
        <v>-</v>
      </c>
      <c r="R78" s="16" t="str">
        <f t="shared" si="245"/>
        <v>-</v>
      </c>
      <c r="S78" s="16"/>
      <c r="T78" s="16" t="str">
        <f t="shared" si="246"/>
        <v>-</v>
      </c>
      <c r="U78" s="16" t="str">
        <f t="shared" si="247"/>
        <v>-</v>
      </c>
      <c r="V78" s="17"/>
      <c r="W78" s="623"/>
      <c r="X78" s="24">
        <f ca="1">Horarios!C78</f>
        <v>46195.791666666664</v>
      </c>
      <c r="Y78" s="25">
        <f ca="1">Horarios!C78</f>
        <v>46195.791666666664</v>
      </c>
      <c r="Z78" s="26" t="str">
        <f>$Z$6</f>
        <v>J2</v>
      </c>
      <c r="AA78" s="27" t="str">
        <f ca="1">A77</f>
        <v>Argentina</v>
      </c>
      <c r="AB78" s="49" t="e" cm="1" vm="37">
        <f t="array" aca="1" ref="AB78" ca="1">Ver_flag_local</f>
        <v>#VALUE!</v>
      </c>
      <c r="AC78" s="50"/>
      <c r="AD78" s="51"/>
      <c r="AE78" s="574" t="e" cm="1" vm="39">
        <f t="array" aca="1" ref="AE78" ca="1">Ver_flag_visit</f>
        <v>#VALUE!</v>
      </c>
      <c r="AF78" s="32" t="str">
        <f ca="1">A79</f>
        <v>Austria</v>
      </c>
      <c r="AG78" s="309">
        <f t="shared" si="248"/>
        <v>0</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3</v>
      </c>
      <c r="AN78" s="36">
        <f t="shared" ca="1" si="251"/>
        <v>1</v>
      </c>
      <c r="AO78" s="36">
        <f t="shared" ca="1" si="251"/>
        <v>1</v>
      </c>
      <c r="AP78" s="36">
        <f t="shared" ca="1" si="251"/>
        <v>0</v>
      </c>
      <c r="AQ78" s="36">
        <f t="shared" ca="1" si="251"/>
        <v>0</v>
      </c>
      <c r="AR78" s="36">
        <f t="shared" ca="1" si="251"/>
        <v>3</v>
      </c>
      <c r="AS78" s="36">
        <f t="shared" ca="1" si="251"/>
        <v>0</v>
      </c>
      <c r="AT78" s="41">
        <f t="shared" ca="1" si="251"/>
        <v>3</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Pendiente</v>
      </c>
      <c r="E79" s="16" t="str">
        <f t="shared" si="236"/>
        <v>-</v>
      </c>
      <c r="F79" s="16" t="str">
        <f t="shared" si="237"/>
        <v>-</v>
      </c>
      <c r="G79" s="16"/>
      <c r="H79" s="16" t="str">
        <f t="shared" si="238"/>
        <v>-</v>
      </c>
      <c r="I79" s="16" t="str">
        <f t="shared" si="239"/>
        <v>-</v>
      </c>
      <c r="J79" s="16"/>
      <c r="K79" s="16" t="str">
        <f t="shared" si="240"/>
        <v>-</v>
      </c>
      <c r="L79" s="16" t="str">
        <f t="shared" si="241"/>
        <v>-</v>
      </c>
      <c r="M79" s="16"/>
      <c r="N79" s="16" t="str">
        <f t="shared" si="242"/>
        <v>-</v>
      </c>
      <c r="O79" s="16" t="str">
        <f t="shared" si="243"/>
        <v>-</v>
      </c>
      <c r="P79" s="16"/>
      <c r="Q79" s="16" t="str">
        <f t="shared" si="244"/>
        <v>-</v>
      </c>
      <c r="R79" s="16" t="str">
        <f t="shared" si="245"/>
        <v>-</v>
      </c>
      <c r="S79" s="16"/>
      <c r="T79" s="16" t="str">
        <f t="shared" si="246"/>
        <v>-</v>
      </c>
      <c r="U79" s="16" t="str">
        <f t="shared" si="247"/>
        <v>-</v>
      </c>
      <c r="V79" s="17"/>
      <c r="W79" s="623"/>
      <c r="X79" s="24">
        <f ca="1">Horarios!C79</f>
        <v>46196.208333333336</v>
      </c>
      <c r="Y79" s="25">
        <f ca="1">Horarios!C79</f>
        <v>46196.208333333336</v>
      </c>
      <c r="Z79" s="26" t="str">
        <f>$Z$6</f>
        <v>J2</v>
      </c>
      <c r="AA79" s="27" t="str">
        <f ca="1">A80</f>
        <v>Jordania</v>
      </c>
      <c r="AB79" s="49" t="e" cm="1" vm="40">
        <f t="array" aca="1" ref="AB79" ca="1">Ver_flag_local</f>
        <v>#VALUE!</v>
      </c>
      <c r="AC79" s="50"/>
      <c r="AD79" s="51"/>
      <c r="AE79" s="574" t="e" cm="1" vm="38">
        <f t="array" aca="1" ref="AE79" ca="1">Ver_flag_visit</f>
        <v>#VALUE!</v>
      </c>
      <c r="AF79" s="32" t="str">
        <f ca="1">A78</f>
        <v>Argelia</v>
      </c>
      <c r="AG79" s="309">
        <f t="shared" si="248"/>
        <v>0</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1</v>
      </c>
      <c r="AO79" s="39">
        <f t="shared" ca="1" si="251"/>
        <v>1</v>
      </c>
      <c r="AP79" s="39">
        <f t="shared" ca="1" si="251"/>
        <v>0</v>
      </c>
      <c r="AQ79" s="39">
        <f t="shared" ca="1" si="251"/>
        <v>0</v>
      </c>
      <c r="AR79" s="39">
        <f t="shared" ca="1" si="251"/>
        <v>3</v>
      </c>
      <c r="AS79" s="39">
        <f t="shared" ca="1" si="251"/>
        <v>1</v>
      </c>
      <c r="AT79" s="43">
        <f t="shared" ca="1" si="251"/>
        <v>2</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3"/>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40">
        <f t="array" aca="1" ref="AK80" ca="1">Ver_flag_visit</f>
        <v>#VALUE!</v>
      </c>
      <c r="AL80" s="37" t="str">
        <f ca="1">IFERROR(INDEX($BD$6:$BD$53,MATCH(AI80,$BN$6:$BN$53,0)),"")</f>
        <v>Jordania</v>
      </c>
      <c r="AM80" s="38">
        <f t="shared" ca="1" si="251"/>
        <v>0</v>
      </c>
      <c r="AN80" s="39">
        <f t="shared" ca="1" si="251"/>
        <v>1</v>
      </c>
      <c r="AO80" s="39">
        <f t="shared" ca="1" si="251"/>
        <v>0</v>
      </c>
      <c r="AP80" s="39">
        <f t="shared" ca="1" si="251"/>
        <v>0</v>
      </c>
      <c r="AQ80" s="39">
        <f t="shared" ca="1" si="251"/>
        <v>1</v>
      </c>
      <c r="AR80" s="39">
        <f t="shared" ca="1" si="251"/>
        <v>1</v>
      </c>
      <c r="AS80" s="39">
        <f t="shared" ca="1" si="251"/>
        <v>3</v>
      </c>
      <c r="AT80" s="43">
        <f t="shared" ca="1" si="251"/>
        <v>-2</v>
      </c>
      <c r="AU80" s="316">
        <f ca="1">INDEX($DL$6:$DL$53,MATCH(AI80,$DP$6:$DP$53,0))</f>
        <v>1</v>
      </c>
      <c r="AV80" s="174" t="str">
        <f ca="1">INDEX($BD$6:$BD$53,MATCH(AI80,$BM$6:$BM$53,0))</f>
        <v>Jordania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4"/>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38">
        <f t="array" aca="1" ref="AK81" ca="1">Ver_flag_visit</f>
        <v>#VALUE!</v>
      </c>
      <c r="AL81" s="45" t="str">
        <f ca="1">IFERROR(INDEX($BD$6:$BD$53,MATCH(AI81,$BN$6:$BN$53,0)),"")</f>
        <v>Argelia</v>
      </c>
      <c r="AM81" s="46">
        <f t="shared" ca="1" si="251"/>
        <v>0</v>
      </c>
      <c r="AN81" s="47">
        <f t="shared" ca="1" si="251"/>
        <v>1</v>
      </c>
      <c r="AO81" s="47">
        <f t="shared" ca="1" si="251"/>
        <v>0</v>
      </c>
      <c r="AP81" s="47">
        <f t="shared" ca="1" si="251"/>
        <v>0</v>
      </c>
      <c r="AQ81" s="47">
        <f t="shared" ca="1" si="251"/>
        <v>1</v>
      </c>
      <c r="AR81" s="47">
        <f t="shared" ca="1" si="251"/>
        <v>0</v>
      </c>
      <c r="AS81" s="47">
        <f t="shared" ca="1" si="251"/>
        <v>3</v>
      </c>
      <c r="AT81" s="48">
        <f t="shared" ca="1" si="251"/>
        <v>-3</v>
      </c>
      <c r="AU81" s="316">
        <f ca="1">INDEX($DL$6:$DL$53,MATCH(AI81,$DP$6:$DP$53,0))</f>
        <v>1</v>
      </c>
      <c r="AV81" s="174" t="str">
        <f ca="1">INDEX($BD$6:$BD$53,MATCH(AI81,$BM$6:$BM$53,0))</f>
        <v>Argelia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P.1 (2)</v>
      </c>
      <c r="F84" s="16" t="str">
        <f t="shared" ref="F84:F89" ca="1" si="255">IF(D84="Pendiente","-",INDEX($BT$6:$BT$53,MATCH($AF84,$BD$6:$BD$53,0)))</f>
        <v>P.1 (2)</v>
      </c>
      <c r="G84" s="16"/>
      <c r="H84" s="16" t="str">
        <f t="shared" ref="H84:H89" ca="1" si="256">IF(D84="Pendiente","-",INDEX($BZ$6:$BZ$53,MATCH($AA84,$BD$6:$BD$53,0)))</f>
        <v>P.1 (2)</v>
      </c>
      <c r="I84" s="16" t="str">
        <f t="shared" ref="I84:I89" ca="1" si="257">IF(D84="Pendiente","-",INDEX($BZ$6:$BZ$53,MATCH($AF84,$BD$6:$BD$53,0)))</f>
        <v>P.1 (2)</v>
      </c>
      <c r="J84" s="16"/>
      <c r="K84" s="16" t="str">
        <f t="shared" ref="K84:K89" ca="1" si="258">IF(D84="Pendiente","-",INDEX($CE$6:$CE$53,MATCH($AA84,$BD$6:$BD$53,0)))</f>
        <v>P.1 (2)</v>
      </c>
      <c r="L84" s="16" t="str">
        <f t="shared" ref="L84:L89" ca="1" si="259">IF(D84="Pendiente","-",INDEX($CE$6:$CE$53,MATCH($AF84,$BD$6:$BD$53,0)))</f>
        <v>P.1 (2)</v>
      </c>
      <c r="M84" s="16"/>
      <c r="N84" s="16" t="str">
        <f t="shared" ref="N84:N89" ca="1" si="260">IF(D84="Pendiente","-",INDEX($CH$6:$CH$53,MATCH($AA84,$BD$6:$BD$53,0)))</f>
        <v>P.1 (2)</v>
      </c>
      <c r="O84" s="16" t="str">
        <f t="shared" ref="O84:O89" ca="1" si="261">IF(D84="Pendiente","-",INDEX($CH$6:$CH$53,MATCH($AF84,$BD$6:$BD$53,0)))</f>
        <v>P.1 (2)</v>
      </c>
      <c r="P84" s="16"/>
      <c r="Q84" s="16" t="str">
        <f t="shared" ref="Q84:Q89" ca="1" si="262">IF(D84="Pendiente","-",INDEX($CN$6:$CN$53,MATCH($AA84,$BD$6:$BD$53,0)))</f>
        <v>P.1 (2)</v>
      </c>
      <c r="R84" s="16" t="str">
        <f t="shared" ref="R84:R89" ca="1" si="263">IF(D84="Pendiente","-",INDEX($CN$6:$CN$53,MATCH($AF84,$BD$6:$BD$53,0)))</f>
        <v>P.1 (2)</v>
      </c>
      <c r="S84" s="16"/>
      <c r="T84" s="16" t="str">
        <f t="shared" ref="T84:T89" ca="1" si="264">IF(D84="Pendiente","-",INDEX($CS$6:$CS$53,MATCH($AA84,$BD$6:$BD$53,0)))</f>
        <v>P.1 (2)</v>
      </c>
      <c r="U84" s="16" t="str">
        <f t="shared" ref="U84:U89" ca="1" si="265">IF(D84="Pendiente","-",INDEX($CS$6:$CS$53,MATCH($AF84,$BD$6:$BD$53,0)))</f>
        <v>P.1 (2)</v>
      </c>
      <c r="V84" s="17"/>
      <c r="W84" s="629"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Pendiente</v>
      </c>
      <c r="E85" s="16" t="str">
        <f t="shared" si="254"/>
        <v>-</v>
      </c>
      <c r="F85" s="16" t="str">
        <f t="shared" si="255"/>
        <v>-</v>
      </c>
      <c r="G85" s="16"/>
      <c r="H85" s="16" t="str">
        <f t="shared" si="256"/>
        <v>-</v>
      </c>
      <c r="I85" s="16" t="str">
        <f t="shared" si="257"/>
        <v>-</v>
      </c>
      <c r="J85" s="16"/>
      <c r="K85" s="16" t="str">
        <f t="shared" si="258"/>
        <v>-</v>
      </c>
      <c r="L85" s="16" t="str">
        <f t="shared" si="259"/>
        <v>-</v>
      </c>
      <c r="M85" s="16"/>
      <c r="N85" s="16" t="str">
        <f t="shared" si="260"/>
        <v>-</v>
      </c>
      <c r="O85" s="16" t="str">
        <f t="shared" si="261"/>
        <v>-</v>
      </c>
      <c r="P85" s="16"/>
      <c r="Q85" s="16" t="str">
        <f t="shared" si="262"/>
        <v>-</v>
      </c>
      <c r="R85" s="16" t="str">
        <f t="shared" si="263"/>
        <v>-</v>
      </c>
      <c r="S85" s="16"/>
      <c r="T85" s="16" t="str">
        <f t="shared" si="264"/>
        <v>-</v>
      </c>
      <c r="U85" s="16" t="str">
        <f t="shared" si="265"/>
        <v>-</v>
      </c>
      <c r="V85" s="17"/>
      <c r="W85" s="629"/>
      <c r="X85" s="24">
        <f ca="1">Horarios!C85</f>
        <v>46191.166666666664</v>
      </c>
      <c r="Y85" s="25">
        <f ca="1">Horarios!C85</f>
        <v>46191.166666666664</v>
      </c>
      <c r="Z85" s="26" t="str">
        <f>$Z$4</f>
        <v>J1</v>
      </c>
      <c r="AA85" s="27" t="str">
        <f ca="1">A87</f>
        <v>Uzbekistán</v>
      </c>
      <c r="AB85" s="49" t="e" cm="1" vm="43">
        <f t="array" aca="1" ref="AB85" ca="1">Ver_flag_local</f>
        <v>#VALUE!</v>
      </c>
      <c r="AC85" s="50"/>
      <c r="AD85" s="51"/>
      <c r="AE85" s="574" t="e" cm="1" vm="44">
        <f t="array" aca="1" ref="AE85" ca="1">Ver_flag_visit</f>
        <v>#VALUE!</v>
      </c>
      <c r="AF85" s="32" t="str">
        <f ca="1">A88</f>
        <v>Colombia</v>
      </c>
      <c r="AG85" s="309">
        <f t="shared" si="266"/>
        <v>0</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Pendiente</v>
      </c>
      <c r="E86" s="16" t="str">
        <f t="shared" si="254"/>
        <v>-</v>
      </c>
      <c r="F86" s="16" t="str">
        <f t="shared" si="255"/>
        <v>-</v>
      </c>
      <c r="G86" s="16"/>
      <c r="H86" s="16" t="str">
        <f t="shared" si="256"/>
        <v>-</v>
      </c>
      <c r="I86" s="16" t="str">
        <f t="shared" si="257"/>
        <v>-</v>
      </c>
      <c r="J86" s="16"/>
      <c r="K86" s="16" t="str">
        <f t="shared" si="258"/>
        <v>-</v>
      </c>
      <c r="L86" s="16" t="str">
        <f t="shared" si="259"/>
        <v>-</v>
      </c>
      <c r="M86" s="16"/>
      <c r="N86" s="16" t="str">
        <f t="shared" si="260"/>
        <v>-</v>
      </c>
      <c r="O86" s="16" t="str">
        <f t="shared" si="261"/>
        <v>-</v>
      </c>
      <c r="P86" s="16"/>
      <c r="Q86" s="16" t="str">
        <f t="shared" si="262"/>
        <v>-</v>
      </c>
      <c r="R86" s="16" t="str">
        <f t="shared" si="263"/>
        <v>-</v>
      </c>
      <c r="S86" s="16"/>
      <c r="T86" s="16" t="str">
        <f t="shared" si="264"/>
        <v>-</v>
      </c>
      <c r="U86" s="16" t="str">
        <f t="shared" si="265"/>
        <v>-</v>
      </c>
      <c r="V86" s="17"/>
      <c r="W86" s="629"/>
      <c r="X86" s="24">
        <f ca="1">Horarios!C86</f>
        <v>46196.791666666664</v>
      </c>
      <c r="Y86" s="25">
        <f ca="1">Horarios!C86</f>
        <v>46196.791666666664</v>
      </c>
      <c r="Z86" s="26" t="str">
        <f>$Z$6</f>
        <v>J2</v>
      </c>
      <c r="AA86" s="27" t="str">
        <f ca="1">A85</f>
        <v>Portugal</v>
      </c>
      <c r="AB86" s="49" t="e" cm="1" vm="41">
        <f t="array" aca="1" ref="AB86" ca="1">Ver_flag_local</f>
        <v>#VALUE!</v>
      </c>
      <c r="AC86" s="50"/>
      <c r="AD86" s="51"/>
      <c r="AE86" s="574" t="e" cm="1" vm="43">
        <f t="array" aca="1" ref="AE86" ca="1">Ver_flag_visit</f>
        <v>#VALUE!</v>
      </c>
      <c r="AF86" s="32" t="str">
        <f ca="1">A87</f>
        <v>Uzbekistán</v>
      </c>
      <c r="AG86" s="309">
        <f t="shared" si="266"/>
        <v>0</v>
      </c>
      <c r="AH86" s="187">
        <v>47</v>
      </c>
      <c r="AI86" s="173" t="str">
        <f>AJ86&amp;$B$84</f>
        <v>1K</v>
      </c>
      <c r="AJ86" s="40">
        <v>1</v>
      </c>
      <c r="AK86" s="580" t="e" cm="1" vm="41">
        <f t="array" aca="1" ref="AK86" ca="1">Ver_flag_visit</f>
        <v>#VALUE!</v>
      </c>
      <c r="AL86" s="34" t="str">
        <f ca="1">IFERROR(INDEX($BD$6:$BD$53,MATCH(AI86,$BN$6:$BN$53,0)),"")</f>
        <v>Portugal</v>
      </c>
      <c r="AM86" s="35">
        <f t="shared" ref="AM86:AT89" ca="1" si="269">INDEX($BE$6:$BN$53,MATCH($AL86,$BD$6:$BD$53,0),MATCH(AM$5,$BE$5:$BN$5,0))</f>
        <v>1</v>
      </c>
      <c r="AN86" s="36">
        <f t="shared" ca="1" si="269"/>
        <v>1</v>
      </c>
      <c r="AO86" s="36">
        <f t="shared" ca="1" si="269"/>
        <v>0</v>
      </c>
      <c r="AP86" s="36">
        <f t="shared" ca="1" si="269"/>
        <v>1</v>
      </c>
      <c r="AQ86" s="36">
        <f t="shared" ca="1" si="269"/>
        <v>0</v>
      </c>
      <c r="AR86" s="36">
        <f t="shared" ca="1" si="269"/>
        <v>1</v>
      </c>
      <c r="AS86" s="36">
        <f t="shared" ca="1" si="269"/>
        <v>1</v>
      </c>
      <c r="AT86" s="41">
        <f t="shared" ca="1" si="269"/>
        <v>0</v>
      </c>
      <c r="AU86" s="316">
        <f ca="1">INDEX($DL$6:$DL$53,MATCH(AI86,$DP$6:$DP$53,0))</f>
        <v>1</v>
      </c>
      <c r="AV86" s="174" t="str">
        <f ca="1">INDEX($BD$6:$BD$53,MATCH(AI86,$BM$6:$BM$53,0))</f>
        <v>Portugal</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29"/>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2">
        <f t="array" aca="1" ref="AK87" ca="1">Ver_flag_visit</f>
        <v>#VALUE!</v>
      </c>
      <c r="AL87" s="37" t="str">
        <f ca="1">IFERROR(INDEX($BD$6:$BD$53,MATCH(AI87,$BN$6:$BN$53,0)),"")</f>
        <v>RD Congo</v>
      </c>
      <c r="AM87" s="38">
        <f t="shared" ca="1" si="269"/>
        <v>1</v>
      </c>
      <c r="AN87" s="39">
        <f t="shared" ca="1" si="269"/>
        <v>1</v>
      </c>
      <c r="AO87" s="39">
        <f t="shared" ca="1" si="269"/>
        <v>0</v>
      </c>
      <c r="AP87" s="39">
        <f t="shared" ca="1" si="269"/>
        <v>1</v>
      </c>
      <c r="AQ87" s="39">
        <f t="shared" ca="1" si="269"/>
        <v>0</v>
      </c>
      <c r="AR87" s="39">
        <f t="shared" ca="1" si="269"/>
        <v>1</v>
      </c>
      <c r="AS87" s="39">
        <f t="shared" ca="1" si="269"/>
        <v>1</v>
      </c>
      <c r="AT87" s="43">
        <f t="shared" ca="1" si="269"/>
        <v>0</v>
      </c>
      <c r="AU87" s="316">
        <f ca="1">INDEX($DL$6:$DL$53,MATCH(AI87,$DP$6:$DP$53,0))</f>
        <v>1</v>
      </c>
      <c r="AV87" s="174" t="str">
        <f ca="1">INDEX($BD$6:$BD$53,MATCH(AI87,$BM$6:$BM$53,0))</f>
        <v>RD Congo</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29"/>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3">
        <f t="array" aca="1" ref="AK88" ca="1">Ver_flag_visit</f>
        <v>#VALUE!</v>
      </c>
      <c r="AL88" s="37" t="str">
        <f ca="1">IFERROR(INDEX($BD$6:$BD$53,MATCH(AI88,$BN$6:$BN$53,0)),"")</f>
        <v>Uzbekistán</v>
      </c>
      <c r="AM88" s="38">
        <f t="shared" ca="1" si="269"/>
        <v>0</v>
      </c>
      <c r="AN88" s="39">
        <f t="shared" ca="1" si="269"/>
        <v>0</v>
      </c>
      <c r="AO88" s="39">
        <f t="shared" ca="1" si="269"/>
        <v>0</v>
      </c>
      <c r="AP88" s="39">
        <f t="shared" ca="1" si="269"/>
        <v>0</v>
      </c>
      <c r="AQ88" s="39">
        <f t="shared" ca="1" si="269"/>
        <v>0</v>
      </c>
      <c r="AR88" s="39">
        <f t="shared" ca="1" si="269"/>
        <v>0</v>
      </c>
      <c r="AS88" s="39">
        <f t="shared" ca="1" si="269"/>
        <v>0</v>
      </c>
      <c r="AT88" s="43">
        <f t="shared" ca="1" si="269"/>
        <v>0</v>
      </c>
      <c r="AU88" s="316">
        <f ca="1">INDEX($DL$6:$DL$53,MATCH(AI88,$DP$6:$DP$53,0))</f>
        <v>1</v>
      </c>
      <c r="AV88" s="174" t="str">
        <f ca="1">INDEX($BD$6:$BD$53,MATCH(AI88,$BM$6:$BM$53,0))</f>
        <v>Uzbekistán</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0"/>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4">
        <f t="array" aca="1" ref="AK89" ca="1">Ver_flag_visit</f>
        <v>#VALUE!</v>
      </c>
      <c r="AL89" s="45" t="str">
        <f ca="1">IFERROR(INDEX($BD$6:$BD$53,MATCH(AI89,$BN$6:$BN$53,0)),"")</f>
        <v>Colombia</v>
      </c>
      <c r="AM89" s="46">
        <f t="shared" ca="1" si="269"/>
        <v>0</v>
      </c>
      <c r="AN89" s="47">
        <f t="shared" ca="1" si="269"/>
        <v>0</v>
      </c>
      <c r="AO89" s="47">
        <f t="shared" ca="1" si="269"/>
        <v>0</v>
      </c>
      <c r="AP89" s="47">
        <f t="shared" ca="1" si="269"/>
        <v>0</v>
      </c>
      <c r="AQ89" s="47">
        <f t="shared" ca="1" si="269"/>
        <v>0</v>
      </c>
      <c r="AR89" s="47">
        <f t="shared" ca="1" si="269"/>
        <v>0</v>
      </c>
      <c r="AS89" s="47">
        <f t="shared" ca="1" si="269"/>
        <v>0</v>
      </c>
      <c r="AT89" s="48">
        <f t="shared" ca="1" si="269"/>
        <v>0</v>
      </c>
      <c r="AU89" s="316">
        <f ca="1">INDEX($DL$6:$DL$53,MATCH(AI89,$DP$6:$DP$53,0))</f>
        <v>1</v>
      </c>
      <c r="AV89" s="174" t="str">
        <f ca="1">INDEX($BD$6:$BD$53,MATCH(AI89,$BM$6:$BM$53,0))</f>
        <v>Colombia</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Pendiente</v>
      </c>
      <c r="E92" s="16" t="str">
        <f t="shared" ref="E92:E97" si="272">IF(D92="Pendiente","-",INDEX($BT$6:$BT$53,MATCH($AA92,$BD$6:$BD$53,0)))</f>
        <v>-</v>
      </c>
      <c r="F92" s="16" t="str">
        <f t="shared" ref="F92:F97" si="273">IF(D92="Pendiente","-",INDEX($BT$6:$BT$53,MATCH($AF92,$BD$6:$BD$53,0)))</f>
        <v>-</v>
      </c>
      <c r="G92" s="16"/>
      <c r="H92" s="16" t="str">
        <f t="shared" ref="H92:H97" si="274">IF(D92="Pendiente","-",INDEX($BZ$6:$BZ$53,MATCH($AA92,$BD$6:$BD$53,0)))</f>
        <v>-</v>
      </c>
      <c r="I92" s="16" t="str">
        <f t="shared" ref="I92:I97" si="275">IF(D92="Pendiente","-",INDEX($BZ$6:$BZ$53,MATCH($AF92,$BD$6:$BD$53,0)))</f>
        <v>-</v>
      </c>
      <c r="J92" s="16"/>
      <c r="K92" s="16" t="str">
        <f t="shared" ref="K92:K97" si="276">IF(D92="Pendiente","-",INDEX($CE$6:$CE$53,MATCH($AA92,$BD$6:$BD$53,0)))</f>
        <v>-</v>
      </c>
      <c r="L92" s="16" t="str">
        <f t="shared" ref="L92:L97" si="277">IF(D92="Pendiente","-",INDEX($CE$6:$CE$53,MATCH($AF92,$BD$6:$BD$53,0)))</f>
        <v>-</v>
      </c>
      <c r="M92" s="16"/>
      <c r="N92" s="16" t="str">
        <f t="shared" ref="N92:N97" si="278">IF(D92="Pendiente","-",INDEX($CH$6:$CH$53,MATCH($AA92,$BD$6:$BD$53,0)))</f>
        <v>-</v>
      </c>
      <c r="O92" s="16" t="str">
        <f t="shared" ref="O92:O97" si="279">IF(D92="Pendiente","-",INDEX($CH$6:$CH$53,MATCH($AF92,$BD$6:$BD$53,0)))</f>
        <v>-</v>
      </c>
      <c r="P92" s="16"/>
      <c r="Q92" s="16" t="str">
        <f t="shared" ref="Q92:Q97" si="280">IF(D92="Pendiente","-",INDEX($CN$6:$CN$53,MATCH($AA92,$BD$6:$BD$53,0)))</f>
        <v>-</v>
      </c>
      <c r="R92" s="16" t="str">
        <f t="shared" ref="R92:R97" si="281">IF(D92="Pendiente","-",INDEX($CN$6:$CN$53,MATCH($AF92,$BD$6:$BD$53,0)))</f>
        <v>-</v>
      </c>
      <c r="S92" s="16"/>
      <c r="T92" s="16" t="str">
        <f t="shared" ref="T92:T97" si="282">IF(D92="Pendiente","-",INDEX($CS$6:$CS$53,MATCH($AA92,$BD$6:$BD$53,0)))</f>
        <v>-</v>
      </c>
      <c r="U92" s="16" t="str">
        <f t="shared" ref="U92:U97" si="283">IF(D92="Pendiente","-",INDEX($CS$6:$CS$53,MATCH($AF92,$BD$6:$BD$53,0)))</f>
        <v>-</v>
      </c>
      <c r="V92" s="17"/>
      <c r="W92" s="625" t="s">
        <v>247</v>
      </c>
      <c r="X92" s="24">
        <f ca="1">Horarios!C92</f>
        <v>46190.916666666664</v>
      </c>
      <c r="Y92" s="25">
        <f ca="1">Horarios!C92</f>
        <v>46190.916666666664</v>
      </c>
      <c r="Z92" s="26" t="str">
        <f>$Z$4</f>
        <v>J1</v>
      </c>
      <c r="AA92" s="27" t="str">
        <f ca="1">A93</f>
        <v>Inglaterra</v>
      </c>
      <c r="AB92" s="49" t="e" cm="1" vm="45">
        <f t="array" aca="1" ref="AB92" ca="1">Ver_flag_local</f>
        <v>#VALUE!</v>
      </c>
      <c r="AC92" s="50"/>
      <c r="AD92" s="51"/>
      <c r="AE92" s="574" t="e" cm="1" vm="46">
        <f t="array" aca="1" ref="AE92" ca="1">Ver_flag_visit</f>
        <v>#VALUE!</v>
      </c>
      <c r="AF92" s="32" t="str">
        <f ca="1">A94</f>
        <v>Croacia</v>
      </c>
      <c r="AG92" s="309">
        <f t="shared" ref="AG92:AG97" si="284">IF(NOT(OR(ISBLANK(AC92),ISBLANK(AD92))),1,0)</f>
        <v>0</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Pendiente</v>
      </c>
      <c r="E93" s="16" t="str">
        <f t="shared" si="272"/>
        <v>-</v>
      </c>
      <c r="F93" s="16" t="str">
        <f t="shared" si="273"/>
        <v>-</v>
      </c>
      <c r="G93" s="16"/>
      <c r="H93" s="16" t="str">
        <f t="shared" si="274"/>
        <v>-</v>
      </c>
      <c r="I93" s="16" t="str">
        <f t="shared" si="275"/>
        <v>-</v>
      </c>
      <c r="J93" s="16"/>
      <c r="K93" s="16" t="str">
        <f t="shared" si="276"/>
        <v>-</v>
      </c>
      <c r="L93" s="16" t="str">
        <f t="shared" si="277"/>
        <v>-</v>
      </c>
      <c r="M93" s="16"/>
      <c r="N93" s="16" t="str">
        <f t="shared" si="278"/>
        <v>-</v>
      </c>
      <c r="O93" s="16" t="str">
        <f t="shared" si="279"/>
        <v>-</v>
      </c>
      <c r="P93" s="16"/>
      <c r="Q93" s="16" t="str">
        <f t="shared" si="280"/>
        <v>-</v>
      </c>
      <c r="R93" s="16" t="str">
        <f t="shared" si="281"/>
        <v>-</v>
      </c>
      <c r="S93" s="16"/>
      <c r="T93" s="16" t="str">
        <f t="shared" si="282"/>
        <v>-</v>
      </c>
      <c r="U93" s="16" t="str">
        <f t="shared" si="283"/>
        <v>-</v>
      </c>
      <c r="V93" s="17"/>
      <c r="W93" s="625"/>
      <c r="X93" s="24">
        <f ca="1">Horarios!C93</f>
        <v>46191.041666666664</v>
      </c>
      <c r="Y93" s="25">
        <f ca="1">Horarios!C93</f>
        <v>46191.041666666664</v>
      </c>
      <c r="Z93" s="26" t="str">
        <f>$Z$4</f>
        <v>J1</v>
      </c>
      <c r="AA93" s="27" t="str">
        <f ca="1">A95</f>
        <v>Ghana</v>
      </c>
      <c r="AB93" s="49" t="e" cm="1" vm="47">
        <f t="array" aca="1" ref="AB93" ca="1">Ver_flag_local</f>
        <v>#VALUE!</v>
      </c>
      <c r="AC93" s="50"/>
      <c r="AD93" s="51"/>
      <c r="AE93" s="574" t="e" cm="1" vm="48">
        <f t="array" aca="1" ref="AE93" ca="1">Ver_flag_visit</f>
        <v>#VALUE!</v>
      </c>
      <c r="AF93" s="32" t="str">
        <f ca="1">A96</f>
        <v>Panamá</v>
      </c>
      <c r="AG93" s="309">
        <f t="shared" si="284"/>
        <v>0</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5"/>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0</v>
      </c>
      <c r="AN94" s="36">
        <f t="shared" ca="1" si="287"/>
        <v>0</v>
      </c>
      <c r="AO94" s="36">
        <f t="shared" ca="1" si="287"/>
        <v>0</v>
      </c>
      <c r="AP94" s="36">
        <f t="shared" ca="1" si="287"/>
        <v>0</v>
      </c>
      <c r="AQ94" s="36">
        <f t="shared" ca="1" si="287"/>
        <v>0</v>
      </c>
      <c r="AR94" s="36">
        <f t="shared" ca="1" si="287"/>
        <v>0</v>
      </c>
      <c r="AS94" s="36">
        <f t="shared" ca="1" si="287"/>
        <v>0</v>
      </c>
      <c r="AT94" s="41">
        <f t="shared" ca="1" si="287"/>
        <v>0</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5"/>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6">
        <f t="array" aca="1" ref="AK95" ca="1">Ver_flag_visit</f>
        <v>#VALUE!</v>
      </c>
      <c r="AL95" s="37" t="str">
        <f ca="1">IFERROR(INDEX($BD$6:$BD$53,MATCH(AI95,$BN$6:$BN$53,0)),"")</f>
        <v>Croacia</v>
      </c>
      <c r="AM95" s="38">
        <f t="shared" ca="1" si="287"/>
        <v>0</v>
      </c>
      <c r="AN95" s="39">
        <f t="shared" ca="1" si="287"/>
        <v>0</v>
      </c>
      <c r="AO95" s="39">
        <f t="shared" ca="1" si="287"/>
        <v>0</v>
      </c>
      <c r="AP95" s="39">
        <f t="shared" ca="1" si="287"/>
        <v>0</v>
      </c>
      <c r="AQ95" s="39">
        <f t="shared" ca="1" si="287"/>
        <v>0</v>
      </c>
      <c r="AR95" s="39">
        <f t="shared" ca="1" si="287"/>
        <v>0</v>
      </c>
      <c r="AS95" s="39">
        <f t="shared" ca="1" si="287"/>
        <v>0</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5"/>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7">
        <f t="array" aca="1" ref="AK96" ca="1">Ver_flag_visit</f>
        <v>#VALUE!</v>
      </c>
      <c r="AL96" s="37" t="str">
        <f ca="1">IFERROR(INDEX($BD$6:$BD$53,MATCH(AI96,$BN$6:$BN$53,0)),"")</f>
        <v>Ghana</v>
      </c>
      <c r="AM96" s="38">
        <f t="shared" ca="1" si="287"/>
        <v>0</v>
      </c>
      <c r="AN96" s="39">
        <f t="shared" ca="1" si="287"/>
        <v>0</v>
      </c>
      <c r="AO96" s="39">
        <f t="shared" ca="1" si="287"/>
        <v>0</v>
      </c>
      <c r="AP96" s="39">
        <f t="shared" ca="1" si="287"/>
        <v>0</v>
      </c>
      <c r="AQ96" s="39">
        <f t="shared" ca="1" si="287"/>
        <v>0</v>
      </c>
      <c r="AR96" s="39">
        <f t="shared" ca="1" si="287"/>
        <v>0</v>
      </c>
      <c r="AS96" s="39">
        <f t="shared" ca="1" si="287"/>
        <v>0</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6"/>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0</v>
      </c>
      <c r="AO97" s="47">
        <f t="shared" ca="1" si="287"/>
        <v>0</v>
      </c>
      <c r="AP97" s="47">
        <f t="shared" ca="1" si="287"/>
        <v>0</v>
      </c>
      <c r="AQ97" s="47">
        <f t="shared" ca="1" si="287"/>
        <v>0</v>
      </c>
      <c r="AR97" s="47">
        <f t="shared" ca="1" si="287"/>
        <v>0</v>
      </c>
      <c r="AS97" s="47">
        <f t="shared" ca="1" si="287"/>
        <v>0</v>
      </c>
      <c r="AT97" s="48">
        <f t="shared" ca="1" si="287"/>
        <v>0</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La clasificación de los mejores terceros aparece al final de la J1</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4</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c>
      <c r="AZ101" s="322" t="str">
        <f ca="1">+IF(OR($H$113&gt;=48,$AJ$99=144),BI112,"")</f>
        <v/>
      </c>
      <c r="BA101" s="168"/>
    </row>
    <row r="102" spans="1:62" ht="16" customHeight="1">
      <c r="A102" s="16" t="s">
        <v>673</v>
      </c>
      <c r="B102" s="16" t="s">
        <v>734</v>
      </c>
      <c r="C102" s="16"/>
      <c r="D102" s="16" t="str">
        <f t="shared" si="289"/>
        <v>W76</v>
      </c>
      <c r="E102" s="16" t="s">
        <v>3</v>
      </c>
      <c r="F102" s="16" t="s">
        <v>733</v>
      </c>
      <c r="G102" s="16" t="s">
        <v>1</v>
      </c>
      <c r="H102" s="16">
        <f t="shared" ca="1" si="290"/>
        <v>4</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1"/>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str" cm="1">
        <f t="array" aca="1" ref="AK102" ca="1">Ver_flag_visit</f>
        <v/>
      </c>
      <c r="AL102" s="79" t="str">
        <f t="shared" ref="AL102:AL113" ca="1" si="297">+IF($H$113&gt;=48,INDEX($BD$58:$BD$69,MATCH(AI102,$BN$58:$BN$69,0)),BB58)</f>
        <v>3A</v>
      </c>
      <c r="AM102" s="567" t="str">
        <f ca="1">+IF($H$113&gt;=48,INDEX($BE$58:$BN$69,MATCH($AL102,$BD$58:$BD$69,0),MATCH(AM$5,$BE$57:$BN$57,0)),$BB58)</f>
        <v>3A</v>
      </c>
      <c r="AN102" s="80" t="str">
        <f ca="1">+IF($H$113&gt;=48,INDEX($BE$58:$BN$69,MATCH($AL102,$BD$58:$BD$69,0),MATCH(AN$5,$BE$57:$BN$57,0)),$BB58)</f>
        <v>3A</v>
      </c>
      <c r="AO102" s="80" t="str">
        <f t="shared" ref="AO102:AT102" ca="1" si="298">+IF($H$113&gt;=48,INDEX($BE$58:$BN$69,MATCH($AL102,$BD$58:$BD$69,0),MATCH(AO$5,$BE$57:$BN$57,0)),$BB58)</f>
        <v>3A</v>
      </c>
      <c r="AP102" s="80" t="str">
        <f t="shared" ca="1" si="298"/>
        <v>3A</v>
      </c>
      <c r="AQ102" s="81" t="str">
        <f t="shared" ca="1" si="298"/>
        <v>3A</v>
      </c>
      <c r="AR102" s="81" t="str">
        <f t="shared" ca="1" si="298"/>
        <v>3A</v>
      </c>
      <c r="AS102" s="81" t="str">
        <f t="shared" ca="1" si="298"/>
        <v>3A</v>
      </c>
      <c r="AT102" s="82" t="str">
        <f t="shared" ca="1" si="298"/>
        <v>3A</v>
      </c>
      <c r="AU102" s="316" t="str">
        <f t="shared" ref="AU102:AU113" ca="1" si="299">IF($H$113=144,INDEX($DL$58:$DL$69,MATCH(AI102,$DP$58:$DP$69,0)),"")</f>
        <v/>
      </c>
      <c r="AV102" s="174" t="str">
        <f t="shared" ref="AV102:AV113" ca="1" si="300">INDEX($BD$58:$BD$69,MATCH(AI102,$BM$58:$BM$69,0))</f>
        <v>Japón</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4</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1"/>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str" cm="1">
        <f t="array" aca="1" ref="AK103" ca="1">Ver_flag_visit</f>
        <v/>
      </c>
      <c r="AL103" s="83" t="str">
        <f t="shared" ca="1" si="297"/>
        <v>3B</v>
      </c>
      <c r="AM103" s="568" t="str">
        <f t="shared" ref="AM103:AM113" ca="1" si="301">+IF($H$113&gt;=48,INDEX($BE$58:$BN$69,MATCH($AL103,$BD$58:$BD$69,0),MATCH(AM$5,$BE$57:$BN$57,0)),$BB59)</f>
        <v>3B</v>
      </c>
      <c r="AN103" s="84" t="str">
        <f t="shared" ref="AN103:AT103" ca="1" si="302">+IF($H$113&gt;=48,INDEX($BE$58:$BN$69,MATCH($AL103,$BD$58:$BD$69,0),MATCH(AN$5,$BE$57:$BN$57,0)),$BB59)</f>
        <v>3B</v>
      </c>
      <c r="AO103" s="84" t="str">
        <f t="shared" ca="1" si="302"/>
        <v>3B</v>
      </c>
      <c r="AP103" s="84" t="str">
        <f t="shared" ca="1" si="302"/>
        <v>3B</v>
      </c>
      <c r="AQ103" s="84" t="str">
        <f t="shared" ca="1" si="302"/>
        <v>3B</v>
      </c>
      <c r="AR103" s="84" t="str">
        <f t="shared" ca="1" si="302"/>
        <v>3B</v>
      </c>
      <c r="AS103" s="84" t="str">
        <f t="shared" ca="1" si="302"/>
        <v>3B</v>
      </c>
      <c r="AT103" s="85" t="str">
        <f t="shared" ca="1" si="302"/>
        <v>3B</v>
      </c>
      <c r="AU103" s="316" t="str">
        <f t="shared" ca="1" si="299"/>
        <v/>
      </c>
      <c r="AV103" s="174" t="str">
        <f t="shared" ca="1" si="300"/>
        <v>Bélgica</v>
      </c>
      <c r="AW103" s="207"/>
      <c r="AX103" s="162"/>
      <c r="AY103" s="263"/>
      <c r="AZ103" s="265" t="str">
        <f t="shared" ref="AZ103:AZ110" ca="1" si="303">+IF(OR($H$113&gt;=48,$AJ$99=144),BF117&amp;" - "&amp;BG117,"")</f>
        <v/>
      </c>
      <c r="BA103" s="168"/>
      <c r="BF103" t="str">
        <f t="shared" ref="BF103:BF110" ca="1" si="304">IFERROR(INDEX($BC$6:$BC$53,MATCH(AL102,$BD$6:$BD$53,0)),"")</f>
        <v/>
      </c>
      <c r="BG103">
        <f t="shared" ref="BG103:BG110" ca="1" si="305">COUNTIF($BF$103:$BF$110,"&lt;="&amp;BF103)</f>
        <v>0</v>
      </c>
      <c r="BI103">
        <v>1</v>
      </c>
      <c r="BJ103" t="str">
        <f t="shared" ref="BJ103:BJ110" ca="1" si="306">IFERROR(INDEX($BF$103:$BF$110,MATCH(BI103,$BG$103:$BG$110,0)),"Grupo")</f>
        <v>Grupo</v>
      </c>
    </row>
    <row r="104" spans="1:62" ht="16" customHeight="1">
      <c r="A104" s="16" t="s">
        <v>663</v>
      </c>
      <c r="B104" s="16" t="s">
        <v>677</v>
      </c>
      <c r="C104" s="16"/>
      <c r="D104" s="16" t="str">
        <f t="shared" si="289"/>
        <v>W75</v>
      </c>
      <c r="E104" s="16" t="s">
        <v>2</v>
      </c>
      <c r="F104" s="16" t="s">
        <v>4</v>
      </c>
      <c r="G104" s="16" t="s">
        <v>74</v>
      </c>
      <c r="H104" s="16">
        <f t="shared" ca="1" si="290"/>
        <v>4</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1"/>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str" cm="1">
        <f t="array" aca="1" ref="AK104" ca="1">Ver_flag_visit</f>
        <v/>
      </c>
      <c r="AL104" s="83" t="str">
        <f t="shared" ca="1" si="297"/>
        <v>3C</v>
      </c>
      <c r="AM104" s="568" t="str">
        <f t="shared" ca="1" si="301"/>
        <v>3C</v>
      </c>
      <c r="AN104" s="84" t="str">
        <f t="shared" ref="AN104:AT104" ca="1" si="307">+IF($H$113&gt;=48,INDEX($BE$58:$BN$69,MATCH($AL104,$BD$58:$BD$69,0),MATCH(AN$5,$BE$57:$BN$57,0)),$BB60)</f>
        <v>3C</v>
      </c>
      <c r="AO104" s="84" t="str">
        <f t="shared" ca="1" si="307"/>
        <v>3C</v>
      </c>
      <c r="AP104" s="84" t="str">
        <f t="shared" ca="1" si="307"/>
        <v>3C</v>
      </c>
      <c r="AQ104" s="84" t="str">
        <f t="shared" ca="1" si="307"/>
        <v>3C</v>
      </c>
      <c r="AR104" s="84" t="str">
        <f t="shared" ca="1" si="307"/>
        <v>3C</v>
      </c>
      <c r="AS104" s="84" t="str">
        <f t="shared" ca="1" si="307"/>
        <v>3C</v>
      </c>
      <c r="AT104" s="85" t="str">
        <f t="shared" ca="1" si="307"/>
        <v>3C</v>
      </c>
      <c r="AU104" s="316" t="str">
        <f t="shared" ca="1" si="299"/>
        <v/>
      </c>
      <c r="AV104" s="174" t="str">
        <f t="shared" ca="1" si="300"/>
        <v>Catar</v>
      </c>
      <c r="AW104" s="207"/>
      <c r="AX104" s="162"/>
      <c r="AY104" s="263"/>
      <c r="AZ104" s="265" t="str">
        <f t="shared" ca="1" si="303"/>
        <v/>
      </c>
      <c r="BA104" s="168"/>
      <c r="BF104" t="str">
        <f t="shared" ca="1" si="304"/>
        <v/>
      </c>
      <c r="BG104">
        <f t="shared" ca="1" si="305"/>
        <v>0</v>
      </c>
      <c r="BI104">
        <v>2</v>
      </c>
      <c r="BJ104" t="str">
        <f t="shared" ca="1" si="306"/>
        <v>Grupo</v>
      </c>
    </row>
    <row r="105" spans="1:62" ht="16" customHeight="1">
      <c r="A105" s="16" t="s">
        <v>685</v>
      </c>
      <c r="B105" s="16" t="s">
        <v>735</v>
      </c>
      <c r="C105" s="16"/>
      <c r="D105" s="16" t="str">
        <f t="shared" si="289"/>
        <v>W78</v>
      </c>
      <c r="E105" s="16" t="s">
        <v>448</v>
      </c>
      <c r="F105" s="16" t="s">
        <v>733</v>
      </c>
      <c r="G105" s="16" t="s">
        <v>3</v>
      </c>
      <c r="H105" s="16">
        <f t="shared" ca="1" si="290"/>
        <v>4</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1"/>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str" cm="1">
        <f t="array" aca="1" ref="AK105" ca="1">Ver_flag_visit</f>
        <v/>
      </c>
      <c r="AL105" s="83" t="str">
        <f t="shared" ca="1" si="297"/>
        <v>3D</v>
      </c>
      <c r="AM105" s="568" t="str">
        <f t="shared" ca="1" si="301"/>
        <v>3D</v>
      </c>
      <c r="AN105" s="84" t="str">
        <f t="shared" ref="AN105:AT105" ca="1" si="308">+IF($H$113&gt;=48,INDEX($BE$58:$BN$69,MATCH($AL105,$BD$58:$BD$69,0),MATCH(AN$5,$BE$57:$BN$57,0)),$BB61)</f>
        <v>3D</v>
      </c>
      <c r="AO105" s="84" t="str">
        <f t="shared" ca="1" si="308"/>
        <v>3D</v>
      </c>
      <c r="AP105" s="84" t="str">
        <f t="shared" ca="1" si="308"/>
        <v>3D</v>
      </c>
      <c r="AQ105" s="84" t="str">
        <f t="shared" ca="1" si="308"/>
        <v>3D</v>
      </c>
      <c r="AR105" s="84" t="str">
        <f t="shared" ca="1" si="308"/>
        <v>3D</v>
      </c>
      <c r="AS105" s="84" t="str">
        <f t="shared" ca="1" si="308"/>
        <v>3D</v>
      </c>
      <c r="AT105" s="85" t="str">
        <f t="shared" ca="1" si="308"/>
        <v>3D</v>
      </c>
      <c r="AU105" s="316" t="str">
        <f t="shared" ca="1" si="299"/>
        <v/>
      </c>
      <c r="AV105" s="174" t="str">
        <f t="shared" ca="1" si="300"/>
        <v>Marruecos</v>
      </c>
      <c r="AW105" s="207"/>
      <c r="AX105" s="162"/>
      <c r="AY105" s="263"/>
      <c r="AZ105" s="265" t="str">
        <f t="shared" ca="1" si="303"/>
        <v/>
      </c>
      <c r="BA105" s="168"/>
      <c r="BF105" t="str">
        <f t="shared" ca="1" si="304"/>
        <v/>
      </c>
      <c r="BG105">
        <f t="shared" ca="1" si="305"/>
        <v>0</v>
      </c>
      <c r="BI105">
        <v>3</v>
      </c>
      <c r="BJ105" t="str">
        <f t="shared" ca="1" si="306"/>
        <v>Grupo</v>
      </c>
    </row>
    <row r="106" spans="1:62" ht="16" customHeight="1">
      <c r="A106" s="16" t="s">
        <v>674</v>
      </c>
      <c r="B106" s="16" t="s">
        <v>686</v>
      </c>
      <c r="C106" s="16"/>
      <c r="D106" s="16" t="str">
        <f t="shared" si="289"/>
        <v>W77</v>
      </c>
      <c r="E106" s="16" t="s">
        <v>3</v>
      </c>
      <c r="F106" s="16" t="s">
        <v>448</v>
      </c>
      <c r="G106" s="16" t="s">
        <v>4</v>
      </c>
      <c r="H106" s="16">
        <f t="shared" ca="1" si="290"/>
        <v>4</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1"/>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str" cm="1">
        <f t="array" aca="1" ref="AK106" ca="1">Ver_flag_visit</f>
        <v/>
      </c>
      <c r="AL106" s="83" t="str">
        <f t="shared" ca="1" si="297"/>
        <v>3E</v>
      </c>
      <c r="AM106" s="568" t="str">
        <f t="shared" ca="1" si="301"/>
        <v>3E</v>
      </c>
      <c r="AN106" s="84" t="str">
        <f t="shared" ref="AN106:AT106" ca="1" si="309">+IF($H$113&gt;=48,INDEX($BE$58:$BN$69,MATCH($AL106,$BD$58:$BD$69,0),MATCH(AN$5,$BE$57:$BN$57,0)),$BB62)</f>
        <v>3E</v>
      </c>
      <c r="AO106" s="84" t="str">
        <f t="shared" ca="1" si="309"/>
        <v>3E</v>
      </c>
      <c r="AP106" s="84" t="str">
        <f t="shared" ca="1" si="309"/>
        <v>3E</v>
      </c>
      <c r="AQ106" s="84" t="str">
        <f t="shared" ca="1" si="309"/>
        <v>3E</v>
      </c>
      <c r="AR106" s="84" t="str">
        <f t="shared" ca="1" si="309"/>
        <v>3E</v>
      </c>
      <c r="AS106" s="84" t="str">
        <f t="shared" ca="1" si="309"/>
        <v>3E</v>
      </c>
      <c r="AT106" s="85" t="str">
        <f t="shared" ca="1" si="309"/>
        <v>3E</v>
      </c>
      <c r="AU106" s="316" t="str">
        <f t="shared" ca="1" si="299"/>
        <v/>
      </c>
      <c r="AV106" s="174" t="str">
        <f t="shared" ca="1" si="300"/>
        <v>España</v>
      </c>
      <c r="AW106" s="207"/>
      <c r="AX106" s="162"/>
      <c r="AY106" s="263"/>
      <c r="AZ106" s="265" t="str">
        <f t="shared" ca="1" si="303"/>
        <v/>
      </c>
      <c r="BA106" s="168"/>
      <c r="BF106" t="str">
        <f t="shared" ca="1" si="304"/>
        <v/>
      </c>
      <c r="BG106">
        <f t="shared" ca="1" si="305"/>
        <v>0</v>
      </c>
      <c r="BI106">
        <v>4</v>
      </c>
      <c r="BJ106" t="str">
        <f t="shared" ca="1" si="306"/>
        <v>Grupo</v>
      </c>
    </row>
    <row r="107" spans="1:62" ht="16" customHeight="1">
      <c r="A107" s="16" t="s">
        <v>657</v>
      </c>
      <c r="B107" s="16" t="s">
        <v>736</v>
      </c>
      <c r="C107" s="16"/>
      <c r="D107" s="16" t="str">
        <f t="shared" si="289"/>
        <v>W79</v>
      </c>
      <c r="E107" s="16" t="s">
        <v>0</v>
      </c>
      <c r="F107" s="16" t="s">
        <v>733</v>
      </c>
      <c r="G107" s="16" t="s">
        <v>6</v>
      </c>
      <c r="H107" s="16">
        <f t="shared" ca="1" si="290"/>
        <v>4</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1"/>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str" cm="1">
        <f t="array" aca="1" ref="AK107" ca="1">Ver_flag_visit</f>
        <v/>
      </c>
      <c r="AL107" s="83" t="str">
        <f t="shared" ca="1" si="297"/>
        <v>3F</v>
      </c>
      <c r="AM107" s="568" t="str">
        <f t="shared" ca="1" si="301"/>
        <v>3F</v>
      </c>
      <c r="AN107" s="84" t="str">
        <f t="shared" ref="AN107:AT107" ca="1" si="310">+IF($H$113&gt;=48,INDEX($BE$58:$BN$69,MATCH($AL107,$BD$58:$BD$69,0),MATCH(AN$5,$BE$57:$BN$57,0)),$BB63)</f>
        <v>3F</v>
      </c>
      <c r="AO107" s="84" t="str">
        <f t="shared" ca="1" si="310"/>
        <v>3F</v>
      </c>
      <c r="AP107" s="84" t="str">
        <f t="shared" ca="1" si="310"/>
        <v>3F</v>
      </c>
      <c r="AQ107" s="84" t="str">
        <f t="shared" ca="1" si="310"/>
        <v>3F</v>
      </c>
      <c r="AR107" s="84" t="str">
        <f t="shared" ca="1" si="310"/>
        <v>3F</v>
      </c>
      <c r="AS107" s="84" t="str">
        <f t="shared" ca="1" si="310"/>
        <v>3F</v>
      </c>
      <c r="AT107" s="85" t="str">
        <f t="shared" ca="1" si="310"/>
        <v>3F</v>
      </c>
      <c r="AU107" s="316" t="str">
        <f t="shared" ca="1" si="299"/>
        <v/>
      </c>
      <c r="AV107" s="174" t="str">
        <f ca="1">INDEX($BD$58:$BD$69,MATCH(AI107,$BM$58:$BM$69,0))</f>
        <v>Ghana</v>
      </c>
      <c r="AW107" s="207"/>
      <c r="AX107" s="162"/>
      <c r="AY107" s="263"/>
      <c r="AZ107" s="265" t="str">
        <f t="shared" ca="1" si="303"/>
        <v/>
      </c>
      <c r="BA107" s="168"/>
      <c r="BF107" t="str">
        <f t="shared" ca="1" si="304"/>
        <v/>
      </c>
      <c r="BG107">
        <f t="shared" ca="1" si="305"/>
        <v>0</v>
      </c>
      <c r="BI107">
        <v>5</v>
      </c>
      <c r="BJ107" t="str">
        <f t="shared" ca="1" si="306"/>
        <v>Grupo</v>
      </c>
    </row>
    <row r="108" spans="1:62" ht="16" customHeight="1">
      <c r="A108" s="16" t="s">
        <v>694</v>
      </c>
      <c r="B108" s="16" t="s">
        <v>737</v>
      </c>
      <c r="C108" s="16"/>
      <c r="D108" s="16" t="str">
        <f t="shared" si="289"/>
        <v>W80</v>
      </c>
      <c r="E108" s="16" t="s">
        <v>247</v>
      </c>
      <c r="F108" s="16" t="s">
        <v>733</v>
      </c>
      <c r="G108" s="16" t="s">
        <v>447</v>
      </c>
      <c r="H108" s="16">
        <f t="shared" ca="1" si="290"/>
        <v>4</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1"/>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str" cm="1">
        <f t="array" aca="1" ref="AK108" ca="1">Ver_flag_visit</f>
        <v/>
      </c>
      <c r="AL108" s="83" t="str">
        <f t="shared" ca="1" si="297"/>
        <v>3G</v>
      </c>
      <c r="AM108" s="568" t="str">
        <f t="shared" ca="1" si="301"/>
        <v>3G</v>
      </c>
      <c r="AN108" s="84" t="str">
        <f t="shared" ref="AN108:AT108" ca="1" si="311">+IF($H$113&gt;=48,INDEX($BE$58:$BN$69,MATCH($AL108,$BD$58:$BD$69,0),MATCH(AN$5,$BE$57:$BN$57,0)),$BB64)</f>
        <v>3G</v>
      </c>
      <c r="AO108" s="84" t="str">
        <f t="shared" ca="1" si="311"/>
        <v>3G</v>
      </c>
      <c r="AP108" s="84" t="str">
        <f t="shared" ca="1" si="311"/>
        <v>3G</v>
      </c>
      <c r="AQ108" s="84" t="str">
        <f t="shared" ca="1" si="311"/>
        <v>3G</v>
      </c>
      <c r="AR108" s="84" t="str">
        <f t="shared" ca="1" si="311"/>
        <v>3G</v>
      </c>
      <c r="AS108" s="84" t="str">
        <f t="shared" ca="1" si="311"/>
        <v>3G</v>
      </c>
      <c r="AT108" s="85" t="str">
        <f t="shared" ca="1" si="311"/>
        <v>3G</v>
      </c>
      <c r="AU108" s="316" t="str">
        <f t="shared" ca="1" si="299"/>
        <v/>
      </c>
      <c r="AV108" s="174" t="str">
        <f t="shared" ca="1" si="300"/>
        <v>Uzbekistán</v>
      </c>
      <c r="AW108" s="207"/>
      <c r="AX108" s="162"/>
      <c r="AY108" s="263"/>
      <c r="AZ108" s="265" t="str">
        <f t="shared" ca="1" si="303"/>
        <v/>
      </c>
      <c r="BA108" s="168"/>
      <c r="BF108" t="str">
        <f t="shared" ca="1" si="304"/>
        <v/>
      </c>
      <c r="BG108">
        <f t="shared" ca="1" si="305"/>
        <v>0</v>
      </c>
      <c r="BI108">
        <v>6</v>
      </c>
      <c r="BJ108" t="str">
        <f t="shared" ca="1" si="306"/>
        <v>Grupo</v>
      </c>
    </row>
    <row r="109" spans="1:62" ht="16" customHeight="1">
      <c r="A109" s="16" t="s">
        <v>670</v>
      </c>
      <c r="B109" s="16" t="s">
        <v>738</v>
      </c>
      <c r="C109" s="16"/>
      <c r="D109" s="16" t="str">
        <f t="shared" si="289"/>
        <v>W82</v>
      </c>
      <c r="E109" s="16" t="s">
        <v>74</v>
      </c>
      <c r="F109" s="16" t="s">
        <v>733</v>
      </c>
      <c r="G109" s="16" t="s">
        <v>448</v>
      </c>
      <c r="H109" s="16">
        <f t="shared" ca="1" si="290"/>
        <v>4</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1"/>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str" cm="1">
        <f t="array" aca="1" ref="AK109" ca="1">Ver_flag_visit</f>
        <v/>
      </c>
      <c r="AL109" s="83" t="str">
        <f t="shared" ca="1" si="297"/>
        <v>3H</v>
      </c>
      <c r="AM109" s="568" t="str">
        <f t="shared" ca="1" si="301"/>
        <v>3H</v>
      </c>
      <c r="AN109" s="84" t="str">
        <f t="shared" ref="AN109:AT109" ca="1" si="312">+IF($H$113&gt;=48,INDEX($BE$58:$BN$69,MATCH($AL109,$BD$58:$BD$69,0),MATCH(AN$5,$BE$57:$BN$57,0)),$BB65)</f>
        <v>3H</v>
      </c>
      <c r="AO109" s="84" t="str">
        <f t="shared" ca="1" si="312"/>
        <v>3H</v>
      </c>
      <c r="AP109" s="84" t="str">
        <f t="shared" ca="1" si="312"/>
        <v>3H</v>
      </c>
      <c r="AQ109" s="84" t="str">
        <f t="shared" ca="1" si="312"/>
        <v>3H</v>
      </c>
      <c r="AR109" s="84" t="str">
        <f t="shared" ca="1" si="312"/>
        <v>3H</v>
      </c>
      <c r="AS109" s="84" t="str">
        <f t="shared" ca="1" si="312"/>
        <v>3H</v>
      </c>
      <c r="AT109" s="85" t="str">
        <f t="shared" ca="1" si="312"/>
        <v>3H</v>
      </c>
      <c r="AU109" s="316" t="str">
        <f t="shared" ca="1" si="299"/>
        <v/>
      </c>
      <c r="AV109" s="174" t="str">
        <f t="shared" ca="1" si="300"/>
        <v>República Checa</v>
      </c>
      <c r="AW109" s="207"/>
      <c r="AX109" s="162"/>
      <c r="AY109" s="263"/>
      <c r="AZ109" s="265" t="str">
        <f t="shared" ca="1" si="303"/>
        <v/>
      </c>
      <c r="BA109" s="168"/>
      <c r="BF109" t="str">
        <f t="shared" ca="1" si="304"/>
        <v/>
      </c>
      <c r="BG109">
        <f t="shared" ca="1" si="305"/>
        <v>0</v>
      </c>
      <c r="BI109">
        <v>7</v>
      </c>
      <c r="BJ109" t="str">
        <f t="shared" ca="1" si="306"/>
        <v>Grupo</v>
      </c>
    </row>
    <row r="110" spans="1:62" ht="16" customHeight="1">
      <c r="A110" s="16" t="s">
        <v>679</v>
      </c>
      <c r="B110" s="16" t="s">
        <v>739</v>
      </c>
      <c r="C110" s="16"/>
      <c r="D110" s="16" t="str">
        <f t="shared" si="289"/>
        <v>W81</v>
      </c>
      <c r="E110" s="16" t="s">
        <v>6</v>
      </c>
      <c r="F110" s="16" t="s">
        <v>733</v>
      </c>
      <c r="G110" s="16" t="s">
        <v>5</v>
      </c>
      <c r="H110" s="16">
        <f t="shared" ca="1" si="290"/>
        <v>4</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1"/>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str" cm="1">
        <f t="array" aca="1" ref="AK110" ca="1">Ver_flag_visit</f>
        <v/>
      </c>
      <c r="AL110" s="83" t="str">
        <f t="shared" ca="1" si="297"/>
        <v>3I</v>
      </c>
      <c r="AM110" s="568" t="str">
        <f t="shared" ca="1" si="301"/>
        <v>3I</v>
      </c>
      <c r="AN110" s="84" t="str">
        <f t="shared" ref="AN110:AT110" ca="1" si="313">+IF($H$113&gt;=48,INDEX($BE$58:$BN$69,MATCH($AL110,$BD$58:$BD$69,0),MATCH(AN$5,$BE$57:$BN$57,0)),$BB66)</f>
        <v>3I</v>
      </c>
      <c r="AO110" s="84" t="str">
        <f t="shared" ca="1" si="313"/>
        <v>3I</v>
      </c>
      <c r="AP110" s="84" t="str">
        <f t="shared" ca="1" si="313"/>
        <v>3I</v>
      </c>
      <c r="AQ110" s="84" t="str">
        <f t="shared" ca="1" si="313"/>
        <v>3I</v>
      </c>
      <c r="AR110" s="84" t="str">
        <f t="shared" ca="1" si="313"/>
        <v>3I</v>
      </c>
      <c r="AS110" s="84" t="str">
        <f t="shared" ca="1" si="313"/>
        <v>3I</v>
      </c>
      <c r="AT110" s="85" t="str">
        <f t="shared" ca="1" si="313"/>
        <v>3I</v>
      </c>
      <c r="AU110" s="316" t="str">
        <f t="shared" ca="1" si="299"/>
        <v/>
      </c>
      <c r="AV110" s="174" t="str">
        <f t="shared" ca="1" si="300"/>
        <v>Ecuador</v>
      </c>
      <c r="AW110" s="207"/>
      <c r="AX110" s="162"/>
      <c r="AY110" s="263"/>
      <c r="AZ110" s="265" t="str">
        <f t="shared" ca="1" si="303"/>
        <v/>
      </c>
      <c r="BA110" s="168"/>
      <c r="BF110" t="str">
        <f t="shared" ca="1" si="304"/>
        <v/>
      </c>
      <c r="BG110">
        <f t="shared" ca="1" si="305"/>
        <v>0</v>
      </c>
      <c r="BI110">
        <v>8</v>
      </c>
      <c r="BJ110" t="str">
        <f t="shared" ca="1" si="306"/>
        <v>Grupo</v>
      </c>
    </row>
    <row r="111" spans="1:62" ht="16" customHeight="1">
      <c r="A111" s="16" t="s">
        <v>692</v>
      </c>
      <c r="B111" s="16" t="s">
        <v>695</v>
      </c>
      <c r="C111" s="16"/>
      <c r="D111" s="16" t="str">
        <f t="shared" si="289"/>
        <v>W84</v>
      </c>
      <c r="E111" s="16" t="s">
        <v>449</v>
      </c>
      <c r="F111" s="16" t="s">
        <v>247</v>
      </c>
      <c r="G111" s="16" t="s">
        <v>449</v>
      </c>
      <c r="H111" s="16">
        <f t="shared" ca="1" si="290"/>
        <v>2</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1"/>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str" cm="1">
        <f t="array" aca="1" ref="AK111" ca="1">Ver_flag_visit</f>
        <v/>
      </c>
      <c r="AL111" s="83" t="str">
        <f t="shared" ca="1" si="297"/>
        <v>3J</v>
      </c>
      <c r="AM111" s="568" t="str">
        <f t="shared" ca="1" si="301"/>
        <v>3J</v>
      </c>
      <c r="AN111" s="84" t="str">
        <f t="shared" ref="AN111:AT111" ca="1" si="314">+IF($H$113&gt;=48,INDEX($BE$58:$BN$69,MATCH($AL111,$BD$58:$BD$69,0),MATCH(AN$5,$BE$57:$BN$57,0)),$BB67)</f>
        <v>3J</v>
      </c>
      <c r="AO111" s="84" t="str">
        <f t="shared" ca="1" si="314"/>
        <v>3J</v>
      </c>
      <c r="AP111" s="84" t="str">
        <f t="shared" ca="1" si="314"/>
        <v>3J</v>
      </c>
      <c r="AQ111" s="84" t="str">
        <f t="shared" ca="1" si="314"/>
        <v>3J</v>
      </c>
      <c r="AR111" s="84" t="str">
        <f t="shared" ca="1" si="314"/>
        <v>3J</v>
      </c>
      <c r="AS111" s="84" t="str">
        <f t="shared" ca="1" si="314"/>
        <v>3J</v>
      </c>
      <c r="AT111" s="85" t="str">
        <f t="shared" ca="1" si="314"/>
        <v>3J</v>
      </c>
      <c r="AU111" s="316" t="str">
        <f t="shared" ca="1" si="299"/>
        <v/>
      </c>
      <c r="AV111" s="174" t="str">
        <f t="shared" ca="1" si="300"/>
        <v>Jordania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0</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1"/>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str" cm="1">
        <f t="array" aca="1" ref="AK112" ca="1">Ver_flag_visit</f>
        <v/>
      </c>
      <c r="AL112" s="83" t="str">
        <f t="shared" ca="1" si="297"/>
        <v>3K</v>
      </c>
      <c r="AM112" s="568" t="str">
        <f t="shared" ca="1" si="301"/>
        <v>3K</v>
      </c>
      <c r="AN112" s="84" t="str">
        <f t="shared" ref="AN112:AT112" ca="1" si="315">+IF($H$113&gt;=48,INDEX($BE$58:$BN$69,MATCH($AL112,$BD$58:$BD$69,0),MATCH(AN$5,$BE$57:$BN$57,0)),$BB68)</f>
        <v>3K</v>
      </c>
      <c r="AO112" s="84" t="str">
        <f t="shared" ca="1" si="315"/>
        <v>3K</v>
      </c>
      <c r="AP112" s="84" t="str">
        <f t="shared" ca="1" si="315"/>
        <v>3K</v>
      </c>
      <c r="AQ112" s="84" t="str">
        <f t="shared" ca="1" si="315"/>
        <v>3K</v>
      </c>
      <c r="AR112" s="84" t="str">
        <f t="shared" ca="1" si="315"/>
        <v>3K</v>
      </c>
      <c r="AS112" s="84" t="str">
        <f t="shared" ca="1" si="315"/>
        <v>3K</v>
      </c>
      <c r="AT112" s="85" t="str">
        <f t="shared" ca="1" si="315"/>
        <v>3K</v>
      </c>
      <c r="AU112" s="316" t="str">
        <f t="shared" ca="1" si="299"/>
        <v/>
      </c>
      <c r="AV112" s="174" t="str">
        <f t="shared" ca="1" si="300"/>
        <v>Senegal</v>
      </c>
      <c r="AW112" s="207"/>
      <c r="AX112" s="162"/>
      <c r="AY112" s="262"/>
      <c r="AZ112" s="262"/>
      <c r="BA112" s="168"/>
      <c r="BI112" t="str">
        <f ca="1">IFERROR(CONCATENATE(BJ103,BJ104,BJ105,BJ106,BJ107,BJ108,BJ109,BJ110),"¿A/B/C/D/E/F/G/H/I/J/K/L?")</f>
        <v>GrupoGrupoGrupoGrupoGrupoGrupoGrupoGrupo</v>
      </c>
    </row>
    <row r="113" spans="1:59" ht="16" customHeight="1" thickBot="1">
      <c r="A113" s="16" t="s">
        <v>660</v>
      </c>
      <c r="B113" s="16" t="s">
        <v>740</v>
      </c>
      <c r="C113" s="16"/>
      <c r="D113" s="16" t="str">
        <f t="shared" si="289"/>
        <v>W85</v>
      </c>
      <c r="E113" s="16" t="s">
        <v>1</v>
      </c>
      <c r="F113" s="16" t="s">
        <v>733</v>
      </c>
      <c r="G113" s="16" t="s">
        <v>733</v>
      </c>
      <c r="H113" s="16">
        <f ca="1">+IF($AJ$99&lt;&gt;144,SUM(H101:H112),$AJ$99)</f>
        <v>42</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1"/>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str" cm="1">
        <f t="array" aca="1" ref="AK113" ca="1">Ver_flag_visit</f>
        <v/>
      </c>
      <c r="AL113" s="45" t="str">
        <f t="shared" ca="1" si="297"/>
        <v>3L</v>
      </c>
      <c r="AM113" s="569" t="str">
        <f t="shared" ca="1" si="301"/>
        <v>3L</v>
      </c>
      <c r="AN113" s="47" t="str">
        <f t="shared" ref="AN113:AT113" ca="1" si="316">+IF($H$113&gt;=48,INDEX($BE$58:$BN$69,MATCH($AL113,$BD$58:$BD$69,0),MATCH(AN$5,$BE$57:$BN$57,0)),$BB69)</f>
        <v>3L</v>
      </c>
      <c r="AO113" s="47" t="str">
        <f t="shared" ca="1" si="316"/>
        <v>3L</v>
      </c>
      <c r="AP113" s="47" t="str">
        <f t="shared" ca="1" si="316"/>
        <v>3L</v>
      </c>
      <c r="AQ113" s="47" t="str">
        <f t="shared" ca="1" si="316"/>
        <v>3L</v>
      </c>
      <c r="AR113" s="47" t="str">
        <f t="shared" ca="1" si="316"/>
        <v>3L</v>
      </c>
      <c r="AS113" s="47" t="str">
        <f t="shared" ca="1" si="316"/>
        <v>3L</v>
      </c>
      <c r="AT113" s="48" t="str">
        <f t="shared" ca="1" si="316"/>
        <v>3L</v>
      </c>
      <c r="AU113" s="316" t="str">
        <f t="shared" ca="1" si="299"/>
        <v/>
      </c>
      <c r="AV113" s="174" t="str">
        <f t="shared" ca="1" si="300"/>
        <v>Turquía</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1"/>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1"/>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2"/>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3"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3"/>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3"/>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3"/>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3"/>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3"/>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3"/>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4"/>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5"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5"/>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5"/>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6"/>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7"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38"/>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6" t="str">
        <f>IF(SUM(COUNTIF(AG4:AG97,0),COUNTIF(AG101:AG156,0)&gt;0),AL148,AL149)</f>
        <v>PORRA INCOMPLETA:</v>
      </c>
      <c r="AK151" s="647"/>
      <c r="AL151" s="647"/>
      <c r="AM151" s="647"/>
      <c r="AN151" s="647"/>
      <c r="AO151" s="647"/>
      <c r="AP151" s="647"/>
      <c r="AQ151" s="647"/>
      <c r="AR151" s="647"/>
      <c r="AS151" s="647"/>
      <c r="AT151" s="647"/>
      <c r="AU151" s="648"/>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49"/>
      <c r="AK152" s="650"/>
      <c r="AL152" s="650"/>
      <c r="AM152" s="650"/>
      <c r="AN152" s="650"/>
      <c r="AO152" s="650"/>
      <c r="AP152" s="650"/>
      <c r="AQ152" s="650"/>
      <c r="AR152" s="650"/>
      <c r="AS152" s="650"/>
      <c r="AT152" s="650"/>
      <c r="AU152" s="651"/>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49"/>
      <c r="AK153" s="650"/>
      <c r="AL153" s="650"/>
      <c r="AM153" s="650"/>
      <c r="AN153" s="650"/>
      <c r="AO153" s="650"/>
      <c r="AP153" s="650"/>
      <c r="AQ153" s="650"/>
      <c r="AR153" s="650"/>
      <c r="AS153" s="650"/>
      <c r="AT153" s="650"/>
      <c r="AU153" s="651"/>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49"/>
      <c r="AK154" s="650"/>
      <c r="AL154" s="650"/>
      <c r="AM154" s="650"/>
      <c r="AN154" s="650"/>
      <c r="AO154" s="650"/>
      <c r="AP154" s="650"/>
      <c r="AQ154" s="650"/>
      <c r="AR154" s="650"/>
      <c r="AS154" s="650"/>
      <c r="AT154" s="650"/>
      <c r="AU154" s="651"/>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3" t="str">
        <f>IF(SUM(COUNTIF(AG4:AG97,0),COUNTIF(AG101:AG156,0)&gt;0),AM148,AM149)</f>
        <v>Aún falta alguna apuesta</v>
      </c>
      <c r="AK155" s="614"/>
      <c r="AL155" s="614"/>
      <c r="AM155" s="614"/>
      <c r="AN155" s="614"/>
      <c r="AO155" s="614"/>
      <c r="AP155" s="614"/>
      <c r="AQ155" s="614"/>
      <c r="AR155" s="614"/>
      <c r="AS155" s="614"/>
      <c r="AT155" s="614"/>
      <c r="AU155" s="615"/>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3"/>
      <c r="AK156" s="614"/>
      <c r="AL156" s="614"/>
      <c r="AM156" s="614"/>
      <c r="AN156" s="614"/>
      <c r="AO156" s="614"/>
      <c r="AP156" s="614"/>
      <c r="AQ156" s="614"/>
      <c r="AR156" s="614"/>
      <c r="AS156" s="614"/>
      <c r="AT156" s="614"/>
      <c r="AU156" s="615"/>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6"/>
      <c r="AK157" s="617"/>
      <c r="AL157" s="617"/>
      <c r="AM157" s="617"/>
      <c r="AN157" s="617"/>
      <c r="AO157" s="617"/>
      <c r="AP157" s="617"/>
      <c r="AQ157" s="617"/>
      <c r="AR157" s="617"/>
      <c r="AS157" s="617"/>
      <c r="AT157" s="617"/>
      <c r="AU157" s="618"/>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H161"/>
  <sheetViews>
    <sheetView topLeftCell="A63" zoomScale="55" workbookViewId="0">
      <selection activeCell="B90" sqref="B90"/>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s>
  <sheetData>
    <row r="1" spans="1:8">
      <c r="A1" s="609" t="s">
        <v>1477</v>
      </c>
      <c r="B1" s="610" t="s">
        <v>1204</v>
      </c>
      <c r="C1" s="610" t="s">
        <v>1205</v>
      </c>
      <c r="D1" s="609" t="s">
        <v>1516</v>
      </c>
      <c r="E1" s="609" t="s">
        <v>1517</v>
      </c>
      <c r="F1" s="609" t="s">
        <v>1520</v>
      </c>
      <c r="H1" s="609" t="s">
        <v>1533</v>
      </c>
    </row>
    <row r="2" spans="1:8">
      <c r="A2" s="7">
        <v>1</v>
      </c>
      <c r="B2" s="611" t="str">
        <f ca="1">WORLDCUP!AA4</f>
        <v>México</v>
      </c>
      <c r="C2" t="str">
        <f ca="1">WORLDCUP!AF4</f>
        <v>Sudáfrica</v>
      </c>
      <c r="D2" s="7">
        <f>WORLDCUP!AC4</f>
        <v>2</v>
      </c>
      <c r="E2" s="7">
        <f>WORLDCUP!AD4</f>
        <v>0</v>
      </c>
      <c r="H2" s="7">
        <f>IF(AND(NOT(ISBLANK(WORLDCUP!AC4)),NOT(ISBLANK(WORLDCUP!AD4))),1,0)</f>
        <v>1</v>
      </c>
    </row>
    <row r="3" spans="1:8">
      <c r="A3" s="7">
        <v>2</v>
      </c>
      <c r="B3" s="611" t="str">
        <f ca="1">WORLDCUP!AA5</f>
        <v>Corea del Sur</v>
      </c>
      <c r="C3" t="str">
        <f ca="1">WORLDCUP!AF5</f>
        <v>República Checa</v>
      </c>
      <c r="D3" s="7">
        <f>WORLDCUP!AC5</f>
        <v>2</v>
      </c>
      <c r="E3" s="7">
        <f>WORLDCUP!AD5</f>
        <v>1</v>
      </c>
      <c r="H3" s="7">
        <f>IF(AND(NOT(ISBLANK(WORLDCUP!AC5)),NOT(ISBLANK(WORLDCUP!AD5))),1,0)</f>
        <v>1</v>
      </c>
    </row>
    <row r="4" spans="1:8">
      <c r="A4" s="7">
        <v>3</v>
      </c>
      <c r="B4" s="611" t="str">
        <f ca="1">WORLDCUP!AA6</f>
        <v>República Checa</v>
      </c>
      <c r="C4" t="str">
        <f ca="1">WORLDCUP!AF6</f>
        <v>Sudáfrica</v>
      </c>
      <c r="D4" s="7">
        <f>WORLDCUP!AC6</f>
        <v>0</v>
      </c>
      <c r="E4" s="7">
        <f>WORLDCUP!AD6</f>
        <v>0</v>
      </c>
      <c r="H4" s="7">
        <f>IF(AND(NOT(ISBLANK(WORLDCUP!AC6)),NOT(ISBLANK(WORLDCUP!AD6))),1,0)</f>
        <v>0</v>
      </c>
    </row>
    <row r="5" spans="1:8">
      <c r="A5" s="7">
        <v>4</v>
      </c>
      <c r="B5" s="611" t="str">
        <f ca="1">WORLDCUP!AA7</f>
        <v>México</v>
      </c>
      <c r="C5" t="str">
        <f ca="1">WORLDCUP!AF7</f>
        <v>Corea del Sur</v>
      </c>
      <c r="D5" s="7">
        <f>WORLDCUP!AC7</f>
        <v>0</v>
      </c>
      <c r="E5" s="7">
        <f>WORLDCUP!AD7</f>
        <v>0</v>
      </c>
      <c r="H5" s="7">
        <f>IF(AND(NOT(ISBLANK(WORLDCUP!AC7)),NOT(ISBLANK(WORLDCUP!AD7))),1,0)</f>
        <v>0</v>
      </c>
    </row>
    <row r="6" spans="1:8">
      <c r="A6" s="7">
        <v>5</v>
      </c>
      <c r="B6" s="611" t="str">
        <f ca="1">WORLDCUP!AA8</f>
        <v>República Checa</v>
      </c>
      <c r="C6" t="str">
        <f ca="1">WORLDCUP!AF8</f>
        <v>México</v>
      </c>
      <c r="D6" s="7">
        <f>WORLDCUP!AC8</f>
        <v>0</v>
      </c>
      <c r="E6" s="7">
        <f>WORLDCUP!AD8</f>
        <v>0</v>
      </c>
      <c r="H6" s="7">
        <f>IF(AND(NOT(ISBLANK(WORLDCUP!AC8)),NOT(ISBLANK(WORLDCUP!AD8))),1,0)</f>
        <v>0</v>
      </c>
    </row>
    <row r="7" spans="1:8">
      <c r="A7" s="7">
        <v>6</v>
      </c>
      <c r="B7" s="611" t="str">
        <f ca="1">WORLDCUP!AA9</f>
        <v>Sudáfrica</v>
      </c>
      <c r="C7" t="str">
        <f ca="1">WORLDCUP!AF9</f>
        <v>Corea del Sur</v>
      </c>
      <c r="D7" s="7">
        <f>WORLDCUP!AC9</f>
        <v>0</v>
      </c>
      <c r="E7" s="7">
        <f>WORLDCUP!AD9</f>
        <v>0</v>
      </c>
      <c r="H7" s="7">
        <f>IF(AND(NOT(ISBLANK(WORLDCUP!AC9)),NOT(ISBLANK(WORLDCUP!AD9))),1,0)</f>
        <v>0</v>
      </c>
    </row>
    <row r="8" spans="1:8">
      <c r="A8" s="7">
        <v>7</v>
      </c>
      <c r="B8" s="611" t="str">
        <f ca="1">WORLDCUP!AA12</f>
        <v>Canadá</v>
      </c>
      <c r="C8" t="str">
        <f ca="1">WORLDCUP!AF12</f>
        <v>Bosnia y Herzegovina</v>
      </c>
      <c r="D8" s="7">
        <f>WORLDCUP!AC12</f>
        <v>1</v>
      </c>
      <c r="E8" s="7">
        <f>WORLDCUP!AD12</f>
        <v>1</v>
      </c>
      <c r="H8" s="7">
        <f>IF(AND(NOT(ISBLANK(WORLDCUP!AC12)),NOT(ISBLANK(WORLDCUP!AD12))),1,0)</f>
        <v>1</v>
      </c>
    </row>
    <row r="9" spans="1:8">
      <c r="A9" s="7">
        <v>8</v>
      </c>
      <c r="B9" s="611" t="str">
        <f ca="1">WORLDCUP!AA13</f>
        <v>Catar</v>
      </c>
      <c r="C9" t="str">
        <f ca="1">WORLDCUP!AF13</f>
        <v>Suiza</v>
      </c>
      <c r="D9" s="7">
        <f>WORLDCUP!AC13</f>
        <v>1</v>
      </c>
      <c r="E9" s="7">
        <f>WORLDCUP!AD13</f>
        <v>1</v>
      </c>
      <c r="H9" s="7">
        <f>IF(AND(NOT(ISBLANK(WORLDCUP!AC13)),NOT(ISBLANK(WORLDCUP!AD13))),1,0)</f>
        <v>1</v>
      </c>
    </row>
    <row r="10" spans="1:8">
      <c r="A10" s="7">
        <v>9</v>
      </c>
      <c r="B10" s="611" t="str">
        <f ca="1">WORLDCUP!AA14</f>
        <v>Suiza</v>
      </c>
      <c r="C10" t="str">
        <f ca="1">WORLDCUP!AF14</f>
        <v>Bosnia y Herzegovina</v>
      </c>
      <c r="D10" s="7">
        <f>WORLDCUP!AC14</f>
        <v>0</v>
      </c>
      <c r="E10" s="7">
        <f>WORLDCUP!AD14</f>
        <v>0</v>
      </c>
      <c r="H10" s="7">
        <f>IF(AND(NOT(ISBLANK(WORLDCUP!AC14)),NOT(ISBLANK(WORLDCUP!AD14))),1,0)</f>
        <v>0</v>
      </c>
    </row>
    <row r="11" spans="1:8">
      <c r="A11" s="7">
        <v>10</v>
      </c>
      <c r="B11" s="611" t="str">
        <f ca="1">WORLDCUP!AA15</f>
        <v>Canadá</v>
      </c>
      <c r="C11" t="str">
        <f ca="1">WORLDCUP!AF15</f>
        <v>Catar</v>
      </c>
      <c r="D11" s="7">
        <f>WORLDCUP!AC15</f>
        <v>0</v>
      </c>
      <c r="E11" s="7">
        <f>WORLDCUP!AD15</f>
        <v>0</v>
      </c>
      <c r="H11" s="7">
        <f>IF(AND(NOT(ISBLANK(WORLDCUP!AC15)),NOT(ISBLANK(WORLDCUP!AD15))),1,0)</f>
        <v>0</v>
      </c>
    </row>
    <row r="12" spans="1:8">
      <c r="A12" s="7">
        <v>11</v>
      </c>
      <c r="B12" s="611" t="str">
        <f ca="1">WORLDCUP!AA16</f>
        <v>Suiza</v>
      </c>
      <c r="C12" t="str">
        <f ca="1">WORLDCUP!AF16</f>
        <v>Canadá</v>
      </c>
      <c r="D12" s="7">
        <f>WORLDCUP!AC16</f>
        <v>0</v>
      </c>
      <c r="E12" s="7">
        <f>WORLDCUP!AD16</f>
        <v>0</v>
      </c>
      <c r="H12" s="7">
        <f>IF(AND(NOT(ISBLANK(WORLDCUP!AC16)),NOT(ISBLANK(WORLDCUP!AD16))),1,0)</f>
        <v>0</v>
      </c>
    </row>
    <row r="13" spans="1:8">
      <c r="A13" s="7">
        <v>12</v>
      </c>
      <c r="B13" s="611" t="str">
        <f ca="1">WORLDCUP!AA17</f>
        <v>Bosnia y Herzegovina</v>
      </c>
      <c r="C13" t="str">
        <f ca="1">WORLDCUP!AF17</f>
        <v>Catar</v>
      </c>
      <c r="D13" s="7">
        <f>WORLDCUP!AC17</f>
        <v>0</v>
      </c>
      <c r="E13" s="7">
        <f>WORLDCUP!AD17</f>
        <v>0</v>
      </c>
      <c r="H13" s="7">
        <f>IF(AND(NOT(ISBLANK(WORLDCUP!AC17)),NOT(ISBLANK(WORLDCUP!AD17))),1,0)</f>
        <v>0</v>
      </c>
    </row>
    <row r="14" spans="1:8">
      <c r="A14" s="7">
        <v>13</v>
      </c>
      <c r="B14" s="611" t="str">
        <f ca="1">WORLDCUP!AA20</f>
        <v>Brasil</v>
      </c>
      <c r="C14" t="str">
        <f ca="1">WORLDCUP!AF20</f>
        <v>Marruecos</v>
      </c>
      <c r="D14" s="7">
        <f>WORLDCUP!AC20</f>
        <v>1</v>
      </c>
      <c r="E14" s="7">
        <f>WORLDCUP!AD20</f>
        <v>1</v>
      </c>
      <c r="H14" s="7">
        <f>IF(AND(NOT(ISBLANK(WORLDCUP!AC20)),NOT(ISBLANK(WORLDCUP!AD20))),1,0)</f>
        <v>1</v>
      </c>
    </row>
    <row r="15" spans="1:8">
      <c r="A15" s="7">
        <v>14</v>
      </c>
      <c r="B15" s="611" t="str">
        <f ca="1">WORLDCUP!AA21</f>
        <v>Haití</v>
      </c>
      <c r="C15" t="str">
        <f ca="1">WORLDCUP!AF21</f>
        <v>Escocia</v>
      </c>
      <c r="D15" s="7">
        <f>WORLDCUP!AC21</f>
        <v>0</v>
      </c>
      <c r="E15" s="7">
        <f>WORLDCUP!AD21</f>
        <v>1</v>
      </c>
      <c r="H15" s="7">
        <f>IF(AND(NOT(ISBLANK(WORLDCUP!AC21)),NOT(ISBLANK(WORLDCUP!AD21))),1,0)</f>
        <v>1</v>
      </c>
    </row>
    <row r="16" spans="1:8">
      <c r="A16" s="7">
        <v>15</v>
      </c>
      <c r="B16" s="611" t="str">
        <f ca="1">WORLDCUP!AA22</f>
        <v>Escocia</v>
      </c>
      <c r="C16" t="str">
        <f ca="1">WORLDCUP!AF22</f>
        <v>Marruecos</v>
      </c>
      <c r="D16" s="7">
        <f>WORLDCUP!AC22</f>
        <v>0</v>
      </c>
      <c r="E16" s="7">
        <f>WORLDCUP!AD22</f>
        <v>0</v>
      </c>
      <c r="H16" s="7">
        <f>IF(AND(NOT(ISBLANK(WORLDCUP!AC22)),NOT(ISBLANK(WORLDCUP!AD22))),1,0)</f>
        <v>0</v>
      </c>
    </row>
    <row r="17" spans="1:8">
      <c r="A17" s="7">
        <v>16</v>
      </c>
      <c r="B17" s="611" t="str">
        <f ca="1">WORLDCUP!AA23</f>
        <v>Brasil</v>
      </c>
      <c r="C17" t="str">
        <f ca="1">WORLDCUP!AF23</f>
        <v>Haití</v>
      </c>
      <c r="D17" s="7">
        <f>WORLDCUP!AC23</f>
        <v>0</v>
      </c>
      <c r="E17" s="7">
        <f>WORLDCUP!AD23</f>
        <v>0</v>
      </c>
      <c r="H17" s="7">
        <f>IF(AND(NOT(ISBLANK(WORLDCUP!AC23)),NOT(ISBLANK(WORLDCUP!AD23))),1,0)</f>
        <v>0</v>
      </c>
    </row>
    <row r="18" spans="1:8">
      <c r="A18" s="7">
        <v>17</v>
      </c>
      <c r="B18" s="611" t="str">
        <f ca="1">WORLDCUP!AA24</f>
        <v>Escocia</v>
      </c>
      <c r="C18" t="str">
        <f ca="1">WORLDCUP!AF24</f>
        <v>Brasil</v>
      </c>
      <c r="D18" s="7">
        <f>WORLDCUP!AC24</f>
        <v>0</v>
      </c>
      <c r="E18" s="7">
        <f>WORLDCUP!AD24</f>
        <v>0</v>
      </c>
      <c r="H18" s="7">
        <f>IF(AND(NOT(ISBLANK(WORLDCUP!AC24)),NOT(ISBLANK(WORLDCUP!AD24))),1,0)</f>
        <v>0</v>
      </c>
    </row>
    <row r="19" spans="1:8">
      <c r="A19" s="7">
        <v>18</v>
      </c>
      <c r="B19" s="611" t="str">
        <f ca="1">WORLDCUP!AA25</f>
        <v>Marruecos</v>
      </c>
      <c r="C19" t="str">
        <f ca="1">WORLDCUP!AF25</f>
        <v>Haití</v>
      </c>
      <c r="D19" s="7">
        <f>WORLDCUP!AC25</f>
        <v>0</v>
      </c>
      <c r="E19" s="7">
        <f>WORLDCUP!AD25</f>
        <v>0</v>
      </c>
      <c r="H19" s="7">
        <f>IF(AND(NOT(ISBLANK(WORLDCUP!AC25)),NOT(ISBLANK(WORLDCUP!AD25))),1,0)</f>
        <v>0</v>
      </c>
    </row>
    <row r="20" spans="1:8">
      <c r="A20" s="7">
        <v>19</v>
      </c>
      <c r="B20" s="611" t="str">
        <f ca="1">WORLDCUP!AA28</f>
        <v>Estados Unidos</v>
      </c>
      <c r="C20" t="str">
        <f ca="1">WORLDCUP!AF28</f>
        <v>Paraguay</v>
      </c>
      <c r="D20" s="7">
        <f>WORLDCUP!AC28</f>
        <v>4</v>
      </c>
      <c r="E20" s="7">
        <f>WORLDCUP!AD28</f>
        <v>1</v>
      </c>
      <c r="H20" s="7">
        <f>IF(AND(NOT(ISBLANK(WORLDCUP!AC28)),NOT(ISBLANK(WORLDCUP!AD28))),1,0)</f>
        <v>1</v>
      </c>
    </row>
    <row r="21" spans="1:8">
      <c r="A21" s="7">
        <v>20</v>
      </c>
      <c r="B21" s="611" t="str">
        <f ca="1">WORLDCUP!AA29</f>
        <v>Australia</v>
      </c>
      <c r="C21" t="str">
        <f ca="1">WORLDCUP!AF29</f>
        <v>Turquía</v>
      </c>
      <c r="D21" s="7">
        <f>WORLDCUP!AC29</f>
        <v>2</v>
      </c>
      <c r="E21" s="7">
        <f>WORLDCUP!AD29</f>
        <v>0</v>
      </c>
      <c r="H21" s="7">
        <f>IF(AND(NOT(ISBLANK(WORLDCUP!AC29)),NOT(ISBLANK(WORLDCUP!AD29))),1,0)</f>
        <v>1</v>
      </c>
    </row>
    <row r="22" spans="1:8">
      <c r="A22" s="7">
        <v>21</v>
      </c>
      <c r="B22" s="611" t="str">
        <f ca="1">WORLDCUP!AA30</f>
        <v>Estados Unidos</v>
      </c>
      <c r="C22" t="str">
        <f ca="1">WORLDCUP!AF30</f>
        <v>Australia</v>
      </c>
      <c r="D22" s="7">
        <f>WORLDCUP!AC30</f>
        <v>0</v>
      </c>
      <c r="E22" s="7">
        <f>WORLDCUP!AD30</f>
        <v>0</v>
      </c>
      <c r="H22" s="7">
        <f>IF(AND(NOT(ISBLANK(WORLDCUP!AC30)),NOT(ISBLANK(WORLDCUP!AD30))),1,0)</f>
        <v>0</v>
      </c>
    </row>
    <row r="23" spans="1:8">
      <c r="A23" s="7">
        <v>22</v>
      </c>
      <c r="B23" s="611" t="str">
        <f ca="1">WORLDCUP!AA31</f>
        <v>Turquía</v>
      </c>
      <c r="C23" t="str">
        <f ca="1">WORLDCUP!AF31</f>
        <v>Paraguay</v>
      </c>
      <c r="D23" s="7">
        <f>WORLDCUP!AC31</f>
        <v>0</v>
      </c>
      <c r="E23" s="7">
        <f>WORLDCUP!AD31</f>
        <v>0</v>
      </c>
      <c r="H23" s="7">
        <f>IF(AND(NOT(ISBLANK(WORLDCUP!AC31)),NOT(ISBLANK(WORLDCUP!AD31))),1,0)</f>
        <v>0</v>
      </c>
    </row>
    <row r="24" spans="1:8">
      <c r="A24" s="7">
        <v>23</v>
      </c>
      <c r="B24" s="611" t="str">
        <f ca="1">WORLDCUP!AA32</f>
        <v>Turquía</v>
      </c>
      <c r="C24" t="str">
        <f ca="1">WORLDCUP!AF32</f>
        <v>Estados Unidos</v>
      </c>
      <c r="D24" s="7">
        <f>WORLDCUP!AC32</f>
        <v>0</v>
      </c>
      <c r="E24" s="7">
        <f>WORLDCUP!AD32</f>
        <v>0</v>
      </c>
      <c r="H24" s="7">
        <f>IF(AND(NOT(ISBLANK(WORLDCUP!AC32)),NOT(ISBLANK(WORLDCUP!AD32))),1,0)</f>
        <v>0</v>
      </c>
    </row>
    <row r="25" spans="1:8">
      <c r="A25" s="7">
        <v>24</v>
      </c>
      <c r="B25" s="611" t="str">
        <f ca="1">WORLDCUP!AA33</f>
        <v>Paraguay</v>
      </c>
      <c r="C25" t="str">
        <f ca="1">WORLDCUP!AF33</f>
        <v>Australia</v>
      </c>
      <c r="D25" s="7">
        <f>WORLDCUP!AC33</f>
        <v>0</v>
      </c>
      <c r="E25" s="7">
        <f>WORLDCUP!AD33</f>
        <v>0</v>
      </c>
      <c r="H25" s="7">
        <f>IF(AND(NOT(ISBLANK(WORLDCUP!AC33)),NOT(ISBLANK(WORLDCUP!AD33))),1,0)</f>
        <v>0</v>
      </c>
    </row>
    <row r="26" spans="1:8">
      <c r="A26" s="7">
        <v>25</v>
      </c>
      <c r="B26" s="611" t="str">
        <f ca="1">WORLDCUP!AA36</f>
        <v>Alemania</v>
      </c>
      <c r="C26" t="str">
        <f ca="1">WORLDCUP!AF36</f>
        <v>Curazao</v>
      </c>
      <c r="D26" s="7">
        <f>WORLDCUP!AC36</f>
        <v>7</v>
      </c>
      <c r="E26" s="7">
        <f>WORLDCUP!AD36</f>
        <v>1</v>
      </c>
      <c r="H26" s="7">
        <f>IF(AND(NOT(ISBLANK(WORLDCUP!AC36)),NOT(ISBLANK(WORLDCUP!AD36))),1,0)</f>
        <v>1</v>
      </c>
    </row>
    <row r="27" spans="1:8">
      <c r="A27" s="7">
        <v>26</v>
      </c>
      <c r="B27" s="611" t="str">
        <f ca="1">WORLDCUP!AA37</f>
        <v>Costa de Marfil</v>
      </c>
      <c r="C27" t="str">
        <f ca="1">WORLDCUP!AF37</f>
        <v>Ecuador</v>
      </c>
      <c r="D27" s="7">
        <f>WORLDCUP!AC37</f>
        <v>1</v>
      </c>
      <c r="E27" s="7">
        <f>WORLDCUP!AD37</f>
        <v>0</v>
      </c>
      <c r="H27" s="7">
        <f>IF(AND(NOT(ISBLANK(WORLDCUP!AC37)),NOT(ISBLANK(WORLDCUP!AD37))),1,0)</f>
        <v>1</v>
      </c>
    </row>
    <row r="28" spans="1:8">
      <c r="A28" s="7">
        <v>27</v>
      </c>
      <c r="B28" s="611" t="str">
        <f ca="1">WORLDCUP!AA38</f>
        <v>Alemania</v>
      </c>
      <c r="C28" t="str">
        <f ca="1">WORLDCUP!AF38</f>
        <v>Costa de Marfil</v>
      </c>
      <c r="D28" s="7">
        <f>WORLDCUP!AC38</f>
        <v>0</v>
      </c>
      <c r="E28" s="7">
        <f>WORLDCUP!AD38</f>
        <v>0</v>
      </c>
      <c r="H28" s="7">
        <f>IF(AND(NOT(ISBLANK(WORLDCUP!AC38)),NOT(ISBLANK(WORLDCUP!AD38))),1,0)</f>
        <v>0</v>
      </c>
    </row>
    <row r="29" spans="1:8">
      <c r="A29" s="7">
        <v>28</v>
      </c>
      <c r="B29" s="611" t="str">
        <f ca="1">WORLDCUP!AA39</f>
        <v>Ecuador</v>
      </c>
      <c r="C29" t="str">
        <f ca="1">WORLDCUP!AF39</f>
        <v>Curazao</v>
      </c>
      <c r="D29" s="7">
        <f>WORLDCUP!AC39</f>
        <v>0</v>
      </c>
      <c r="E29" s="7">
        <f>WORLDCUP!AD39</f>
        <v>0</v>
      </c>
      <c r="H29" s="7">
        <f>IF(AND(NOT(ISBLANK(WORLDCUP!AC39)),NOT(ISBLANK(WORLDCUP!AD39))),1,0)</f>
        <v>0</v>
      </c>
    </row>
    <row r="30" spans="1:8">
      <c r="A30" s="7">
        <v>29</v>
      </c>
      <c r="B30" s="611" t="str">
        <f ca="1">WORLDCUP!AA40</f>
        <v>Curazao</v>
      </c>
      <c r="C30" t="str">
        <f ca="1">WORLDCUP!AF40</f>
        <v>Costa de Marfil</v>
      </c>
      <c r="D30" s="7">
        <f>WORLDCUP!AC40</f>
        <v>0</v>
      </c>
      <c r="E30" s="7">
        <f>WORLDCUP!AD40</f>
        <v>0</v>
      </c>
      <c r="H30" s="7">
        <f>IF(AND(NOT(ISBLANK(WORLDCUP!AC40)),NOT(ISBLANK(WORLDCUP!AD40))),1,0)</f>
        <v>0</v>
      </c>
    </row>
    <row r="31" spans="1:8">
      <c r="A31" s="7">
        <v>30</v>
      </c>
      <c r="B31" s="611" t="str">
        <f ca="1">WORLDCUP!AA41</f>
        <v>Ecuador</v>
      </c>
      <c r="C31" t="str">
        <f ca="1">WORLDCUP!AF41</f>
        <v>Alemania</v>
      </c>
      <c r="D31" s="7">
        <f>WORLDCUP!AC41</f>
        <v>0</v>
      </c>
      <c r="E31" s="7">
        <f>WORLDCUP!AD41</f>
        <v>0</v>
      </c>
      <c r="H31" s="7">
        <f>IF(AND(NOT(ISBLANK(WORLDCUP!AC41)),NOT(ISBLANK(WORLDCUP!AD41))),1,0)</f>
        <v>0</v>
      </c>
    </row>
    <row r="32" spans="1:8">
      <c r="A32" s="7">
        <v>31</v>
      </c>
      <c r="B32" s="611" t="str">
        <f ca="1">WORLDCUP!AA44</f>
        <v>Países Bajos</v>
      </c>
      <c r="C32" t="str">
        <f ca="1">WORLDCUP!AF44</f>
        <v>Japón</v>
      </c>
      <c r="D32" s="7">
        <f>WORLDCUP!AC44</f>
        <v>2</v>
      </c>
      <c r="E32" s="7">
        <f>WORLDCUP!AD44</f>
        <v>2</v>
      </c>
      <c r="H32" s="7">
        <f>IF(AND(NOT(ISBLANK(WORLDCUP!AC44)),NOT(ISBLANK(WORLDCUP!AD44))),1,0)</f>
        <v>1</v>
      </c>
    </row>
    <row r="33" spans="1:8">
      <c r="A33" s="7">
        <v>32</v>
      </c>
      <c r="B33" s="611" t="str">
        <f ca="1">WORLDCUP!AA45</f>
        <v>Suecia</v>
      </c>
      <c r="C33" t="str">
        <f ca="1">WORLDCUP!AF45</f>
        <v>Túnez</v>
      </c>
      <c r="D33" s="7">
        <f>WORLDCUP!AC45</f>
        <v>5</v>
      </c>
      <c r="E33" s="7">
        <f>WORLDCUP!AD45</f>
        <v>1</v>
      </c>
      <c r="H33" s="7">
        <f>IF(AND(NOT(ISBLANK(WORLDCUP!AC45)),NOT(ISBLANK(WORLDCUP!AD45))),1,0)</f>
        <v>1</v>
      </c>
    </row>
    <row r="34" spans="1:8">
      <c r="A34" s="7">
        <v>33</v>
      </c>
      <c r="B34" s="611" t="str">
        <f ca="1">WORLDCUP!AA46</f>
        <v>Países Bajos</v>
      </c>
      <c r="C34" t="str">
        <f ca="1">WORLDCUP!AF46</f>
        <v>Suecia</v>
      </c>
      <c r="D34" s="7">
        <f>WORLDCUP!AC46</f>
        <v>0</v>
      </c>
      <c r="E34" s="7">
        <f>WORLDCUP!AD46</f>
        <v>0</v>
      </c>
      <c r="H34" s="7">
        <f>IF(AND(NOT(ISBLANK(WORLDCUP!AC46)),NOT(ISBLANK(WORLDCUP!AD46))),1,0)</f>
        <v>0</v>
      </c>
    </row>
    <row r="35" spans="1:8">
      <c r="A35" s="7">
        <v>34</v>
      </c>
      <c r="B35" s="611" t="str">
        <f ca="1">WORLDCUP!AA47</f>
        <v>Túnez</v>
      </c>
      <c r="C35" t="str">
        <f ca="1">WORLDCUP!AF47</f>
        <v>Japón</v>
      </c>
      <c r="D35" s="7">
        <f>WORLDCUP!AC47</f>
        <v>0</v>
      </c>
      <c r="E35" s="7">
        <f>WORLDCUP!AD47</f>
        <v>0</v>
      </c>
      <c r="H35" s="7">
        <f>IF(AND(NOT(ISBLANK(WORLDCUP!AC47)),NOT(ISBLANK(WORLDCUP!AD47))),1,0)</f>
        <v>0</v>
      </c>
    </row>
    <row r="36" spans="1:8">
      <c r="A36" s="7">
        <v>35</v>
      </c>
      <c r="B36" s="611" t="str">
        <f ca="1">WORLDCUP!AA48</f>
        <v>Japón</v>
      </c>
      <c r="C36" t="str">
        <f ca="1">WORLDCUP!AF48</f>
        <v>Suecia</v>
      </c>
      <c r="D36" s="7">
        <f>WORLDCUP!AC48</f>
        <v>0</v>
      </c>
      <c r="E36" s="7">
        <f>WORLDCUP!AD48</f>
        <v>0</v>
      </c>
      <c r="H36" s="7">
        <f>IF(AND(NOT(ISBLANK(WORLDCUP!AC48)),NOT(ISBLANK(WORLDCUP!AD48))),1,0)</f>
        <v>0</v>
      </c>
    </row>
    <row r="37" spans="1:8">
      <c r="A37" s="7">
        <v>36</v>
      </c>
      <c r="B37" s="611" t="str">
        <f ca="1">WORLDCUP!AA49</f>
        <v>Túnez</v>
      </c>
      <c r="C37" t="str">
        <f ca="1">WORLDCUP!AF49</f>
        <v>Países Bajos</v>
      </c>
      <c r="D37" s="7">
        <f>WORLDCUP!AC49</f>
        <v>0</v>
      </c>
      <c r="E37" s="7">
        <f>WORLDCUP!AD49</f>
        <v>0</v>
      </c>
      <c r="H37" s="7">
        <f>IF(AND(NOT(ISBLANK(WORLDCUP!AC49)),NOT(ISBLANK(WORLDCUP!AD49))),1,0)</f>
        <v>0</v>
      </c>
    </row>
    <row r="38" spans="1:8">
      <c r="A38" s="7">
        <v>37</v>
      </c>
      <c r="B38" s="611" t="str">
        <f ca="1">WORLDCUP!AA52</f>
        <v>Bélgica</v>
      </c>
      <c r="C38" t="str">
        <f ca="1">WORLDCUP!AF52</f>
        <v>Egipto</v>
      </c>
      <c r="D38" s="7">
        <f>WORLDCUP!AC52</f>
        <v>1</v>
      </c>
      <c r="E38" s="7">
        <f>WORLDCUP!AD52</f>
        <v>1</v>
      </c>
      <c r="H38" s="7">
        <f>IF(AND(NOT(ISBLANK(WORLDCUP!AC52)),NOT(ISBLANK(WORLDCUP!AD52))),1,0)</f>
        <v>1</v>
      </c>
    </row>
    <row r="39" spans="1:8">
      <c r="A39" s="7">
        <v>38</v>
      </c>
      <c r="B39" s="611" t="str">
        <f ca="1">WORLDCUP!AA53</f>
        <v>Irán</v>
      </c>
      <c r="C39" t="str">
        <f ca="1">WORLDCUP!AF53</f>
        <v>Nueva Zelanda</v>
      </c>
      <c r="D39" s="7">
        <f>WORLDCUP!AC53</f>
        <v>2</v>
      </c>
      <c r="E39" s="7">
        <f>WORLDCUP!AD53</f>
        <v>2</v>
      </c>
      <c r="H39" s="7">
        <f>IF(AND(NOT(ISBLANK(WORLDCUP!AC53)),NOT(ISBLANK(WORLDCUP!AD53))),1,0)</f>
        <v>1</v>
      </c>
    </row>
    <row r="40" spans="1:8">
      <c r="A40" s="7">
        <v>39</v>
      </c>
      <c r="B40" s="611" t="str">
        <f ca="1">WORLDCUP!AA54</f>
        <v>Bélgica</v>
      </c>
      <c r="C40" t="str">
        <f ca="1">WORLDCUP!AF54</f>
        <v>Irán</v>
      </c>
      <c r="D40" s="7">
        <f>WORLDCUP!AC54</f>
        <v>0</v>
      </c>
      <c r="E40" s="7">
        <f>WORLDCUP!AD54</f>
        <v>0</v>
      </c>
      <c r="H40" s="7">
        <f>IF(AND(NOT(ISBLANK(WORLDCUP!AC54)),NOT(ISBLANK(WORLDCUP!AD54))),1,0)</f>
        <v>0</v>
      </c>
    </row>
    <row r="41" spans="1:8">
      <c r="A41" s="7">
        <v>40</v>
      </c>
      <c r="B41" s="611" t="str">
        <f ca="1">WORLDCUP!AA55</f>
        <v>Nueva Zelanda</v>
      </c>
      <c r="C41" t="str">
        <f ca="1">WORLDCUP!AF55</f>
        <v>Egipto</v>
      </c>
      <c r="D41" s="7">
        <f>WORLDCUP!AC55</f>
        <v>0</v>
      </c>
      <c r="E41" s="7">
        <f>WORLDCUP!AD55</f>
        <v>0</v>
      </c>
      <c r="H41" s="7">
        <f>IF(AND(NOT(ISBLANK(WORLDCUP!AC55)),NOT(ISBLANK(WORLDCUP!AD55))),1,0)</f>
        <v>0</v>
      </c>
    </row>
    <row r="42" spans="1:8">
      <c r="A42" s="7">
        <v>41</v>
      </c>
      <c r="B42" s="611" t="str">
        <f ca="1">WORLDCUP!AA56</f>
        <v>Egipto</v>
      </c>
      <c r="C42" t="str">
        <f ca="1">WORLDCUP!AF56</f>
        <v>Irán</v>
      </c>
      <c r="D42" s="7">
        <f>WORLDCUP!AC56</f>
        <v>0</v>
      </c>
      <c r="E42" s="7">
        <f>WORLDCUP!AD56</f>
        <v>0</v>
      </c>
      <c r="H42" s="7">
        <f>IF(AND(NOT(ISBLANK(WORLDCUP!AC56)),NOT(ISBLANK(WORLDCUP!AD56))),1,0)</f>
        <v>0</v>
      </c>
    </row>
    <row r="43" spans="1:8">
      <c r="A43" s="7">
        <v>42</v>
      </c>
      <c r="B43" s="611" t="str">
        <f ca="1">WORLDCUP!AA57</f>
        <v>Nueva Zelanda</v>
      </c>
      <c r="C43" t="str">
        <f ca="1">WORLDCUP!AF57</f>
        <v>Bélgica</v>
      </c>
      <c r="D43" s="7">
        <f>WORLDCUP!AC57</f>
        <v>0</v>
      </c>
      <c r="E43" s="7">
        <f>WORLDCUP!AD57</f>
        <v>0</v>
      </c>
      <c r="H43" s="7">
        <f>IF(AND(NOT(ISBLANK(WORLDCUP!AC57)),NOT(ISBLANK(WORLDCUP!AD57))),1,0)</f>
        <v>0</v>
      </c>
    </row>
    <row r="44" spans="1:8">
      <c r="A44" s="7">
        <v>43</v>
      </c>
      <c r="B44" s="611" t="str">
        <f ca="1">WORLDCUP!AA60</f>
        <v>España</v>
      </c>
      <c r="C44" t="str">
        <f ca="1">WORLDCUP!AF60</f>
        <v>Cabo Verde</v>
      </c>
      <c r="D44" s="7">
        <f>WORLDCUP!AC60</f>
        <v>0</v>
      </c>
      <c r="E44" s="7">
        <f>WORLDCUP!AD60</f>
        <v>0</v>
      </c>
      <c r="H44" s="7">
        <f>IF(AND(NOT(ISBLANK(WORLDCUP!AC60)),NOT(ISBLANK(WORLDCUP!AD60))),1,0)</f>
        <v>1</v>
      </c>
    </row>
    <row r="45" spans="1:8">
      <c r="A45" s="7">
        <v>44</v>
      </c>
      <c r="B45" s="611" t="str">
        <f ca="1">WORLDCUP!AA61</f>
        <v>Arabia Saudita</v>
      </c>
      <c r="C45" t="str">
        <f ca="1">WORLDCUP!AF61</f>
        <v>Uruguay</v>
      </c>
      <c r="D45" s="7">
        <f>WORLDCUP!AC61</f>
        <v>1</v>
      </c>
      <c r="E45" s="7">
        <f>WORLDCUP!AD61</f>
        <v>1</v>
      </c>
      <c r="H45" s="7">
        <f>IF(AND(NOT(ISBLANK(WORLDCUP!AC61)),NOT(ISBLANK(WORLDCUP!AD61))),1,0)</f>
        <v>1</v>
      </c>
    </row>
    <row r="46" spans="1:8">
      <c r="A46" s="7">
        <v>45</v>
      </c>
      <c r="B46" s="611" t="str">
        <f ca="1">WORLDCUP!AA62</f>
        <v>España</v>
      </c>
      <c r="C46" t="str">
        <f ca="1">WORLDCUP!AF62</f>
        <v>Arabia Saudita</v>
      </c>
      <c r="D46" s="7">
        <f>WORLDCUP!AC62</f>
        <v>0</v>
      </c>
      <c r="E46" s="7">
        <f>WORLDCUP!AD62</f>
        <v>0</v>
      </c>
      <c r="H46" s="7">
        <f>IF(AND(NOT(ISBLANK(WORLDCUP!AC62)),NOT(ISBLANK(WORLDCUP!AD62))),1,0)</f>
        <v>0</v>
      </c>
    </row>
    <row r="47" spans="1:8">
      <c r="A47" s="7">
        <v>46</v>
      </c>
      <c r="B47" s="611" t="str">
        <f ca="1">WORLDCUP!AA63</f>
        <v>Uruguay</v>
      </c>
      <c r="C47" t="str">
        <f ca="1">WORLDCUP!AF63</f>
        <v>Cabo Verde</v>
      </c>
      <c r="D47" s="7">
        <f>WORLDCUP!AC63</f>
        <v>0</v>
      </c>
      <c r="E47" s="7">
        <f>WORLDCUP!AD63</f>
        <v>0</v>
      </c>
      <c r="H47" s="7">
        <f>IF(AND(NOT(ISBLANK(WORLDCUP!AC63)),NOT(ISBLANK(WORLDCUP!AD63))),1,0)</f>
        <v>0</v>
      </c>
    </row>
    <row r="48" spans="1:8">
      <c r="A48" s="7">
        <v>47</v>
      </c>
      <c r="B48" s="611" t="str">
        <f ca="1">WORLDCUP!AA64</f>
        <v>Cabo Verde</v>
      </c>
      <c r="C48" t="str">
        <f ca="1">WORLDCUP!AF64</f>
        <v>Arabia Saudita</v>
      </c>
      <c r="D48" s="7">
        <f>WORLDCUP!AC64</f>
        <v>0</v>
      </c>
      <c r="E48" s="7">
        <f>WORLDCUP!AD64</f>
        <v>0</v>
      </c>
      <c r="H48" s="7">
        <f>IF(AND(NOT(ISBLANK(WORLDCUP!AC64)),NOT(ISBLANK(WORLDCUP!AD64))),1,0)</f>
        <v>0</v>
      </c>
    </row>
    <row r="49" spans="1:8">
      <c r="A49" s="7">
        <v>48</v>
      </c>
      <c r="B49" s="611" t="str">
        <f ca="1">WORLDCUP!AA65</f>
        <v>Uruguay</v>
      </c>
      <c r="C49" t="str">
        <f ca="1">WORLDCUP!AF65</f>
        <v>España</v>
      </c>
      <c r="D49" s="7">
        <f>WORLDCUP!AC65</f>
        <v>0</v>
      </c>
      <c r="E49" s="7">
        <f>WORLDCUP!AD65</f>
        <v>0</v>
      </c>
      <c r="H49" s="7">
        <f>IF(AND(NOT(ISBLANK(WORLDCUP!AC65)),NOT(ISBLANK(WORLDCUP!AD65))),1,0)</f>
        <v>0</v>
      </c>
    </row>
    <row r="50" spans="1:8">
      <c r="A50" s="7">
        <v>49</v>
      </c>
      <c r="B50" s="611" t="str">
        <f ca="1">WORLDCUP!AA68</f>
        <v>Francia</v>
      </c>
      <c r="C50" t="str">
        <f ca="1">WORLDCUP!AF68</f>
        <v>Senegal</v>
      </c>
      <c r="D50" s="7">
        <f>WORLDCUP!AC68</f>
        <v>3</v>
      </c>
      <c r="E50" s="7">
        <f>WORLDCUP!AD68</f>
        <v>1</v>
      </c>
      <c r="H50" s="7">
        <f>IF(AND(NOT(ISBLANK(WORLDCUP!AC68)),NOT(ISBLANK(WORLDCUP!AD68))),1,0)</f>
        <v>1</v>
      </c>
    </row>
    <row r="51" spans="1:8">
      <c r="A51" s="7">
        <v>50</v>
      </c>
      <c r="B51" s="611" t="str">
        <f ca="1">WORLDCUP!AA69</f>
        <v>Irak</v>
      </c>
      <c r="C51" t="str">
        <f ca="1">WORLDCUP!AF69</f>
        <v>Noruega</v>
      </c>
      <c r="D51" s="7">
        <f>WORLDCUP!AC69</f>
        <v>1</v>
      </c>
      <c r="E51" s="7">
        <f>WORLDCUP!AD69</f>
        <v>4</v>
      </c>
      <c r="H51" s="7">
        <f>IF(AND(NOT(ISBLANK(WORLDCUP!AC69)),NOT(ISBLANK(WORLDCUP!AD69))),1,0)</f>
        <v>1</v>
      </c>
    </row>
    <row r="52" spans="1:8">
      <c r="A52" s="7">
        <v>51</v>
      </c>
      <c r="B52" s="611" t="str">
        <f ca="1">WORLDCUP!AA70</f>
        <v>Francia</v>
      </c>
      <c r="C52" t="str">
        <f ca="1">WORLDCUP!AF70</f>
        <v>Irak</v>
      </c>
      <c r="D52" s="7">
        <f>WORLDCUP!AC70</f>
        <v>0</v>
      </c>
      <c r="E52" s="7">
        <f>WORLDCUP!AD70</f>
        <v>0</v>
      </c>
      <c r="H52" s="7">
        <f>IF(AND(NOT(ISBLANK(WORLDCUP!AC70)),NOT(ISBLANK(WORLDCUP!AD70))),1,0)</f>
        <v>0</v>
      </c>
    </row>
    <row r="53" spans="1:8">
      <c r="A53" s="7">
        <v>52</v>
      </c>
      <c r="B53" s="611" t="str">
        <f ca="1">WORLDCUP!AA71</f>
        <v>Noruega</v>
      </c>
      <c r="C53" t="str">
        <f ca="1">WORLDCUP!AF71</f>
        <v>Senegal</v>
      </c>
      <c r="D53" s="7">
        <f>WORLDCUP!AC71</f>
        <v>0</v>
      </c>
      <c r="E53" s="7">
        <f>WORLDCUP!AD71</f>
        <v>0</v>
      </c>
      <c r="H53" s="7">
        <f>IF(AND(NOT(ISBLANK(WORLDCUP!AC71)),NOT(ISBLANK(WORLDCUP!AD71))),1,0)</f>
        <v>0</v>
      </c>
    </row>
    <row r="54" spans="1:8">
      <c r="A54" s="7">
        <v>53</v>
      </c>
      <c r="B54" s="611" t="str">
        <f ca="1">WORLDCUP!AA72</f>
        <v>Noruega</v>
      </c>
      <c r="C54" t="str">
        <f ca="1">WORLDCUP!AF72</f>
        <v>Francia</v>
      </c>
      <c r="D54" s="7">
        <f>WORLDCUP!AC72</f>
        <v>0</v>
      </c>
      <c r="E54" s="7">
        <f>WORLDCUP!AD72</f>
        <v>0</v>
      </c>
      <c r="H54" s="7">
        <f>IF(AND(NOT(ISBLANK(WORLDCUP!AC72)),NOT(ISBLANK(WORLDCUP!AD72))),1,0)</f>
        <v>0</v>
      </c>
    </row>
    <row r="55" spans="1:8">
      <c r="A55" s="7">
        <v>54</v>
      </c>
      <c r="B55" s="611" t="str">
        <f ca="1">WORLDCUP!AA73</f>
        <v>Senegal</v>
      </c>
      <c r="C55" t="str">
        <f ca="1">WORLDCUP!AF73</f>
        <v>Irak</v>
      </c>
      <c r="D55" s="7">
        <f>WORLDCUP!AC73</f>
        <v>0</v>
      </c>
      <c r="E55" s="7">
        <f>WORLDCUP!AD73</f>
        <v>0</v>
      </c>
      <c r="H55" s="7">
        <f>IF(AND(NOT(ISBLANK(WORLDCUP!AC73)),NOT(ISBLANK(WORLDCUP!AD73))),1,0)</f>
        <v>0</v>
      </c>
    </row>
    <row r="56" spans="1:8">
      <c r="A56" s="7">
        <v>55</v>
      </c>
      <c r="B56" s="611" t="str">
        <f ca="1">WORLDCUP!AA76</f>
        <v>Argentina</v>
      </c>
      <c r="C56" t="str">
        <f ca="1">WORLDCUP!AF76</f>
        <v>Argelia</v>
      </c>
      <c r="D56" s="7">
        <f>WORLDCUP!AC76</f>
        <v>3</v>
      </c>
      <c r="E56" s="7">
        <f>WORLDCUP!AD76</f>
        <v>0</v>
      </c>
      <c r="H56" s="7">
        <f>IF(AND(NOT(ISBLANK(WORLDCUP!AC76)),NOT(ISBLANK(WORLDCUP!AD76))),1,0)</f>
        <v>1</v>
      </c>
    </row>
    <row r="57" spans="1:8">
      <c r="A57" s="7">
        <v>56</v>
      </c>
      <c r="B57" s="611" t="str">
        <f ca="1">WORLDCUP!AA77</f>
        <v>Austria</v>
      </c>
      <c r="C57" t="str">
        <f ca="1">WORLDCUP!AF77</f>
        <v>Jordania</v>
      </c>
      <c r="D57" s="7">
        <f>WORLDCUP!AC77</f>
        <v>3</v>
      </c>
      <c r="E57" s="7">
        <f>WORLDCUP!AD77</f>
        <v>1</v>
      </c>
      <c r="H57" s="7">
        <f>IF(AND(NOT(ISBLANK(WORLDCUP!AC77)),NOT(ISBLANK(WORLDCUP!AD77))),1,0)</f>
        <v>1</v>
      </c>
    </row>
    <row r="58" spans="1:8">
      <c r="A58" s="7">
        <v>57</v>
      </c>
      <c r="B58" s="611" t="str">
        <f ca="1">WORLDCUP!AA78</f>
        <v>Argentina</v>
      </c>
      <c r="C58" t="str">
        <f ca="1">WORLDCUP!AF78</f>
        <v>Austria</v>
      </c>
      <c r="D58" s="7">
        <f>WORLDCUP!AC78</f>
        <v>0</v>
      </c>
      <c r="E58" s="7">
        <f>WORLDCUP!AD78</f>
        <v>0</v>
      </c>
      <c r="H58" s="7">
        <f>IF(AND(NOT(ISBLANK(WORLDCUP!AC78)),NOT(ISBLANK(WORLDCUP!AD78))),1,0)</f>
        <v>0</v>
      </c>
    </row>
    <row r="59" spans="1:8">
      <c r="A59" s="7">
        <v>58</v>
      </c>
      <c r="B59" s="611" t="str">
        <f ca="1">WORLDCUP!AA79</f>
        <v>Jordania</v>
      </c>
      <c r="C59" t="str">
        <f ca="1">WORLDCUP!AF79</f>
        <v>Argelia</v>
      </c>
      <c r="D59" s="7">
        <f>WORLDCUP!AC79</f>
        <v>0</v>
      </c>
      <c r="E59" s="7">
        <f>WORLDCUP!AD79</f>
        <v>0</v>
      </c>
      <c r="H59" s="7">
        <f>IF(AND(NOT(ISBLANK(WORLDCUP!AC79)),NOT(ISBLANK(WORLDCUP!AD79))),1,0)</f>
        <v>0</v>
      </c>
    </row>
    <row r="60" spans="1:8">
      <c r="A60" s="7">
        <v>59</v>
      </c>
      <c r="B60" s="611" t="str">
        <f ca="1">WORLDCUP!AA80</f>
        <v>Argelia</v>
      </c>
      <c r="C60" t="str">
        <f ca="1">WORLDCUP!AF80</f>
        <v>Austria</v>
      </c>
      <c r="D60" s="7">
        <f>WORLDCUP!AC80</f>
        <v>0</v>
      </c>
      <c r="E60" s="7">
        <f>WORLDCUP!AD80</f>
        <v>0</v>
      </c>
      <c r="H60" s="7">
        <f>IF(AND(NOT(ISBLANK(WORLDCUP!AC80)),NOT(ISBLANK(WORLDCUP!AD80))),1,0)</f>
        <v>0</v>
      </c>
    </row>
    <row r="61" spans="1:8">
      <c r="A61" s="7">
        <v>60</v>
      </c>
      <c r="B61" s="611" t="str">
        <f ca="1">WORLDCUP!AA81</f>
        <v>Jordania</v>
      </c>
      <c r="C61" t="str">
        <f ca="1">WORLDCUP!AF81</f>
        <v>Argentina</v>
      </c>
      <c r="D61" s="7">
        <f>WORLDCUP!AC81</f>
        <v>0</v>
      </c>
      <c r="E61" s="7">
        <f>WORLDCUP!AD81</f>
        <v>0</v>
      </c>
      <c r="H61" s="7">
        <f>IF(AND(NOT(ISBLANK(WORLDCUP!AC81)),NOT(ISBLANK(WORLDCUP!AD81))),1,0)</f>
        <v>0</v>
      </c>
    </row>
    <row r="62" spans="1:8">
      <c r="A62" s="7">
        <v>61</v>
      </c>
      <c r="B62" s="611" t="str">
        <f ca="1">WORLDCUP!AA84</f>
        <v>Portugal</v>
      </c>
      <c r="C62" t="str">
        <f ca="1">WORLDCUP!AF84</f>
        <v>RD Congo</v>
      </c>
      <c r="D62" s="7">
        <f>WORLDCUP!AC84</f>
        <v>1</v>
      </c>
      <c r="E62" s="7">
        <f>WORLDCUP!AD84</f>
        <v>1</v>
      </c>
      <c r="H62" s="7">
        <f>IF(AND(NOT(ISBLANK(WORLDCUP!AC84)),NOT(ISBLANK(WORLDCUP!AD84))),1,0)</f>
        <v>1</v>
      </c>
    </row>
    <row r="63" spans="1:8">
      <c r="A63" s="7">
        <v>62</v>
      </c>
      <c r="B63" s="611" t="str">
        <f ca="1">WORLDCUP!AA85</f>
        <v>Uzbekistán</v>
      </c>
      <c r="C63" t="str">
        <f ca="1">WORLDCUP!AF85</f>
        <v>Colombia</v>
      </c>
      <c r="D63" s="7">
        <f>WORLDCUP!AC85</f>
        <v>0</v>
      </c>
      <c r="E63" s="7">
        <f>WORLDCUP!AD85</f>
        <v>0</v>
      </c>
      <c r="H63" s="7">
        <f>IF(AND(NOT(ISBLANK(WORLDCUP!AC85)),NOT(ISBLANK(WORLDCUP!AD85))),1,0)</f>
        <v>0</v>
      </c>
    </row>
    <row r="64" spans="1:8">
      <c r="A64" s="7">
        <v>63</v>
      </c>
      <c r="B64" s="611" t="str">
        <f ca="1">WORLDCUP!AA86</f>
        <v>Portugal</v>
      </c>
      <c r="C64" t="str">
        <f ca="1">WORLDCUP!AF86</f>
        <v>Uzbekistán</v>
      </c>
      <c r="D64" s="7">
        <f>WORLDCUP!AC86</f>
        <v>0</v>
      </c>
      <c r="E64" s="7">
        <f>WORLDCUP!AD86</f>
        <v>0</v>
      </c>
      <c r="H64" s="7">
        <f>IF(AND(NOT(ISBLANK(WORLDCUP!AC86)),NOT(ISBLANK(WORLDCUP!AD86))),1,0)</f>
        <v>0</v>
      </c>
    </row>
    <row r="65" spans="1:8">
      <c r="A65" s="7">
        <v>64</v>
      </c>
      <c r="B65" s="611" t="str">
        <f ca="1">WORLDCUP!AA87</f>
        <v>Colombia</v>
      </c>
      <c r="C65" t="str">
        <f ca="1">WORLDCUP!AF87</f>
        <v>RD Congo</v>
      </c>
      <c r="D65" s="7">
        <f>WORLDCUP!AC87</f>
        <v>0</v>
      </c>
      <c r="E65" s="7">
        <f>WORLDCUP!AD87</f>
        <v>0</v>
      </c>
      <c r="H65" s="7">
        <f>IF(AND(NOT(ISBLANK(WORLDCUP!AC87)),NOT(ISBLANK(WORLDCUP!AD87))),1,0)</f>
        <v>0</v>
      </c>
    </row>
    <row r="66" spans="1:8">
      <c r="A66" s="7">
        <v>65</v>
      </c>
      <c r="B66" s="611" t="str">
        <f ca="1">WORLDCUP!AA88</f>
        <v>Colombia</v>
      </c>
      <c r="C66" t="str">
        <f ca="1">WORLDCUP!AF88</f>
        <v>Portugal</v>
      </c>
      <c r="D66" s="7">
        <f>WORLDCUP!AC88</f>
        <v>0</v>
      </c>
      <c r="E66" s="7">
        <f>WORLDCUP!AD88</f>
        <v>0</v>
      </c>
      <c r="H66" s="7">
        <f>IF(AND(NOT(ISBLANK(WORLDCUP!AC88)),NOT(ISBLANK(WORLDCUP!AD88))),1,0)</f>
        <v>0</v>
      </c>
    </row>
    <row r="67" spans="1:8">
      <c r="A67" s="7">
        <v>66</v>
      </c>
      <c r="B67" s="611" t="str">
        <f ca="1">WORLDCUP!AA89</f>
        <v>RD Congo</v>
      </c>
      <c r="C67" t="str">
        <f ca="1">WORLDCUP!AF89</f>
        <v>Uzbekistán</v>
      </c>
      <c r="D67" s="7">
        <f>WORLDCUP!AC89</f>
        <v>0</v>
      </c>
      <c r="E67" s="7">
        <f>WORLDCUP!AD89</f>
        <v>0</v>
      </c>
      <c r="H67" s="7">
        <f>IF(AND(NOT(ISBLANK(WORLDCUP!AC89)),NOT(ISBLANK(WORLDCUP!AD89))),1,0)</f>
        <v>0</v>
      </c>
    </row>
    <row r="68" spans="1:8">
      <c r="A68" s="7">
        <v>67</v>
      </c>
      <c r="B68" s="611" t="str">
        <f ca="1">WORLDCUP!AA92</f>
        <v>Inglaterra</v>
      </c>
      <c r="C68" t="str">
        <f ca="1">WORLDCUP!AF92</f>
        <v>Croacia</v>
      </c>
      <c r="D68" s="7">
        <f>WORLDCUP!AC92</f>
        <v>0</v>
      </c>
      <c r="E68" s="7">
        <f>WORLDCUP!AD92</f>
        <v>0</v>
      </c>
      <c r="H68" s="7">
        <f>IF(AND(NOT(ISBLANK(WORLDCUP!AC92)),NOT(ISBLANK(WORLDCUP!AD92))),1,0)</f>
        <v>0</v>
      </c>
    </row>
    <row r="69" spans="1:8">
      <c r="A69" s="7">
        <v>68</v>
      </c>
      <c r="B69" s="611" t="str">
        <f ca="1">WORLDCUP!AA93</f>
        <v>Ghana</v>
      </c>
      <c r="C69" t="str">
        <f ca="1">WORLDCUP!AF93</f>
        <v>Panamá</v>
      </c>
      <c r="D69" s="7">
        <f>WORLDCUP!AC93</f>
        <v>0</v>
      </c>
      <c r="E69" s="7">
        <f>WORLDCUP!AD93</f>
        <v>0</v>
      </c>
      <c r="H69" s="7">
        <f>IF(AND(NOT(ISBLANK(WORLDCUP!AC93)),NOT(ISBLANK(WORLDCUP!AD93))),1,0)</f>
        <v>0</v>
      </c>
    </row>
    <row r="70" spans="1:8">
      <c r="A70" s="7">
        <v>69</v>
      </c>
      <c r="B70" s="611" t="str">
        <f ca="1">WORLDCUP!AA94</f>
        <v>Inglaterra</v>
      </c>
      <c r="C70" t="str">
        <f ca="1">WORLDCUP!AF94</f>
        <v>Ghana</v>
      </c>
      <c r="D70" s="7">
        <f>WORLDCUP!AC94</f>
        <v>0</v>
      </c>
      <c r="E70" s="7">
        <f>WORLDCUP!AD94</f>
        <v>0</v>
      </c>
      <c r="H70" s="7">
        <f>IF(AND(NOT(ISBLANK(WORLDCUP!AC94)),NOT(ISBLANK(WORLDCUP!AD94))),1,0)</f>
        <v>0</v>
      </c>
    </row>
    <row r="71" spans="1:8">
      <c r="A71" s="7">
        <v>70</v>
      </c>
      <c r="B71" s="611" t="str">
        <f ca="1">WORLDCUP!AA95</f>
        <v>Panamá</v>
      </c>
      <c r="C71" t="str">
        <f ca="1">WORLDCUP!AF95</f>
        <v>Croacia</v>
      </c>
      <c r="D71" s="7">
        <f>WORLDCUP!AC95</f>
        <v>0</v>
      </c>
      <c r="E71" s="7">
        <f>WORLDCUP!AD95</f>
        <v>0</v>
      </c>
      <c r="H71" s="7">
        <f>IF(AND(NOT(ISBLANK(WORLDCUP!AC95)),NOT(ISBLANK(WORLDCUP!AD95))),1,0)</f>
        <v>0</v>
      </c>
    </row>
    <row r="72" spans="1:8">
      <c r="A72" s="7">
        <v>71</v>
      </c>
      <c r="B72" s="611" t="str">
        <f ca="1">WORLDCUP!AA96</f>
        <v>Panamá</v>
      </c>
      <c r="C72" t="str">
        <f ca="1">WORLDCUP!AF96</f>
        <v>Inglaterra</v>
      </c>
      <c r="D72" s="7">
        <f>WORLDCUP!AC96</f>
        <v>0</v>
      </c>
      <c r="E72" s="7">
        <f>WORLDCUP!AD96</f>
        <v>0</v>
      </c>
      <c r="H72" s="7">
        <f>IF(AND(NOT(ISBLANK(WORLDCUP!AC96)),NOT(ISBLANK(WORLDCUP!AD96))),1,0)</f>
        <v>0</v>
      </c>
    </row>
    <row r="73" spans="1:8">
      <c r="A73" s="7">
        <v>72</v>
      </c>
      <c r="B73" s="611" t="str">
        <f ca="1">WORLDCUP!AA97</f>
        <v>Croacia</v>
      </c>
      <c r="C73" t="str">
        <f ca="1">WORLDCUP!AF97</f>
        <v>Ghana</v>
      </c>
      <c r="D73" s="7">
        <f>WORLDCUP!AC97</f>
        <v>0</v>
      </c>
      <c r="E73" s="7">
        <f>WORLDCUP!AD97</f>
        <v>0</v>
      </c>
      <c r="H73" s="7">
        <f>IF(AND(NOT(ISBLANK(WORLDCUP!AC97)),NOT(ISBLANK(WORLDCUP!AD97))),1,0)</f>
        <v>0</v>
      </c>
    </row>
    <row r="74" spans="1:8">
      <c r="A74" s="7">
        <v>73</v>
      </c>
      <c r="B74" s="611" t="str">
        <f ca="1">WORLDCUP!AA101</f>
        <v>2A</v>
      </c>
      <c r="C74" t="str">
        <f ca="1">WORLDCUP!AF101</f>
        <v>2B</v>
      </c>
      <c r="D74" s="7">
        <f>WORLDCUP!AC101</f>
        <v>0</v>
      </c>
      <c r="E74" s="7">
        <f>WORLDCUP!AD101</f>
        <v>0</v>
      </c>
      <c r="H74" s="7">
        <f>IF(AND(NOT(ISBLANK(WORLDCUP!AC101)),NOT(ISBLANK(WORLDCUP!AD101))),1,0)</f>
        <v>0</v>
      </c>
    </row>
    <row r="75" spans="1:8">
      <c r="A75" s="7">
        <v>74</v>
      </c>
      <c r="B75" s="611" t="str">
        <f ca="1">WORLDCUP!AA102</f>
        <v>1C</v>
      </c>
      <c r="C75" t="str">
        <f ca="1">WORLDCUP!AF102</f>
        <v>2F</v>
      </c>
      <c r="D75" s="7">
        <f>WORLDCUP!AC102</f>
        <v>0</v>
      </c>
      <c r="E75" s="7">
        <f>WORLDCUP!AD102</f>
        <v>0</v>
      </c>
      <c r="H75" s="7">
        <f>IF(AND(NOT(ISBLANK(WORLDCUP!AC102)),NOT(ISBLANK(WORLDCUP!AD102))),1,0)</f>
        <v>0</v>
      </c>
    </row>
    <row r="76" spans="1:8">
      <c r="A76" s="7">
        <v>75</v>
      </c>
      <c r="B76" s="611" t="str">
        <f ca="1">WORLDCUP!AA103</f>
        <v>1E</v>
      </c>
      <c r="C76" t="str">
        <f ca="1">WORLDCUP!AF103</f>
        <v>3ABCDF</v>
      </c>
      <c r="D76" s="7">
        <f>WORLDCUP!AC103</f>
        <v>0</v>
      </c>
      <c r="E76" s="7">
        <f>WORLDCUP!AD103</f>
        <v>0</v>
      </c>
      <c r="H76" s="7">
        <f>IF(AND(NOT(ISBLANK(WORLDCUP!AC103)),NOT(ISBLANK(WORLDCUP!AD103))),1,0)</f>
        <v>0</v>
      </c>
    </row>
    <row r="77" spans="1:8">
      <c r="A77" s="7">
        <v>76</v>
      </c>
      <c r="B77" s="611" t="str">
        <f ca="1">WORLDCUP!AA104</f>
        <v>1F</v>
      </c>
      <c r="C77" t="str">
        <f ca="1">WORLDCUP!AF104</f>
        <v>2C</v>
      </c>
      <c r="D77" s="7">
        <f>WORLDCUP!AC104</f>
        <v>0</v>
      </c>
      <c r="E77" s="7">
        <f>WORLDCUP!AD104</f>
        <v>0</v>
      </c>
      <c r="H77" s="7">
        <f>IF(AND(NOT(ISBLANK(WORLDCUP!AC104)),NOT(ISBLANK(WORLDCUP!AD104))),1,0)</f>
        <v>0</v>
      </c>
    </row>
    <row r="78" spans="1:8">
      <c r="A78" s="7">
        <v>77</v>
      </c>
      <c r="B78" s="611" t="str">
        <f ca="1">WORLDCUP!AA105</f>
        <v>2E</v>
      </c>
      <c r="C78" t="str">
        <f ca="1">WORLDCUP!AF105</f>
        <v>2I</v>
      </c>
      <c r="D78" s="7">
        <f>WORLDCUP!AC105</f>
        <v>0</v>
      </c>
      <c r="E78" s="7">
        <f>WORLDCUP!AD105</f>
        <v>0</v>
      </c>
      <c r="H78" s="7">
        <f>IF(AND(NOT(ISBLANK(WORLDCUP!AC105)),NOT(ISBLANK(WORLDCUP!AD105))),1,0)</f>
        <v>0</v>
      </c>
    </row>
    <row r="79" spans="1:8">
      <c r="A79" s="7">
        <v>78</v>
      </c>
      <c r="B79" s="611" t="str">
        <f ca="1">WORLDCUP!AA106</f>
        <v>1I</v>
      </c>
      <c r="C79" t="str">
        <f ca="1">WORLDCUP!AF106</f>
        <v>3CDFGH</v>
      </c>
      <c r="D79" s="7">
        <f>WORLDCUP!AC106</f>
        <v>0</v>
      </c>
      <c r="E79" s="7">
        <f>WORLDCUP!AD106</f>
        <v>0</v>
      </c>
      <c r="H79" s="7">
        <f>IF(AND(NOT(ISBLANK(WORLDCUP!AC106)),NOT(ISBLANK(WORLDCUP!AD106))),1,0)</f>
        <v>0</v>
      </c>
    </row>
    <row r="80" spans="1:8">
      <c r="A80" s="7">
        <v>79</v>
      </c>
      <c r="B80" s="611" t="str">
        <f ca="1">WORLDCUP!AA107</f>
        <v>1A</v>
      </c>
      <c r="C80" t="str">
        <f ca="1">WORLDCUP!AF107</f>
        <v>3CEFHI</v>
      </c>
      <c r="D80" s="7">
        <f>WORLDCUP!AC107</f>
        <v>0</v>
      </c>
      <c r="E80" s="7">
        <f>WORLDCUP!AD107</f>
        <v>0</v>
      </c>
      <c r="H80" s="7">
        <f>IF(AND(NOT(ISBLANK(WORLDCUP!AC106)),NOT(ISBLANK(WORLDCUP!AD106))),1,0)</f>
        <v>0</v>
      </c>
    </row>
    <row r="81" spans="1:8">
      <c r="A81" s="7">
        <v>80</v>
      </c>
      <c r="B81" s="611" t="str">
        <f ca="1">WORLDCUP!AA108</f>
        <v>1L</v>
      </c>
      <c r="C81" t="str">
        <f ca="1">WORLDCUP!AF108</f>
        <v>3EHIJK</v>
      </c>
      <c r="D81" s="7">
        <f>WORLDCUP!AC108</f>
        <v>0</v>
      </c>
      <c r="E81" s="7">
        <f>WORLDCUP!AD108</f>
        <v>0</v>
      </c>
      <c r="H81" s="7">
        <f>IF(AND(NOT(ISBLANK(WORLDCUP!AC107)),NOT(ISBLANK(WORLDCUP!AD107))),1,0)</f>
        <v>0</v>
      </c>
    </row>
    <row r="82" spans="1:8">
      <c r="A82" s="7">
        <v>81</v>
      </c>
      <c r="B82" s="611" t="str">
        <f ca="1">WORLDCUP!AA109</f>
        <v>1G</v>
      </c>
      <c r="C82" t="str">
        <f ca="1">WORLDCUP!AF109</f>
        <v>3AEHIJ</v>
      </c>
      <c r="D82" s="7">
        <f>WORLDCUP!AC109</f>
        <v>0</v>
      </c>
      <c r="E82" s="7">
        <f>WORLDCUP!AD109</f>
        <v>0</v>
      </c>
      <c r="H82" s="7">
        <f>IF(AND(NOT(ISBLANK(WORLDCUP!AC108)),NOT(ISBLANK(WORLDCUP!AD108))),1,0)</f>
        <v>0</v>
      </c>
    </row>
    <row r="83" spans="1:8">
      <c r="A83" s="7">
        <v>82</v>
      </c>
      <c r="B83" s="611" t="str">
        <f ca="1">WORLDCUP!AA110</f>
        <v>1D</v>
      </c>
      <c r="C83" t="str">
        <f ca="1">WORLDCUP!AF110</f>
        <v>3BEFIJ</v>
      </c>
      <c r="D83" s="7">
        <f>WORLDCUP!AC110</f>
        <v>0</v>
      </c>
      <c r="E83" s="7">
        <f>WORLDCUP!AD110</f>
        <v>0</v>
      </c>
      <c r="H83" s="7">
        <f>IF(AND(NOT(ISBLANK(WORLDCUP!AC109)),NOT(ISBLANK(WORLDCUP!AD109))),1,0)</f>
        <v>0</v>
      </c>
    </row>
    <row r="84" spans="1:8">
      <c r="A84" s="7">
        <v>83</v>
      </c>
      <c r="B84" s="611" t="str">
        <f ca="1">WORLDCUP!AA111</f>
        <v>1H</v>
      </c>
      <c r="C84" t="str">
        <f ca="1">WORLDCUP!AF111</f>
        <v>2J</v>
      </c>
      <c r="D84" s="7">
        <f>WORLDCUP!AC111</f>
        <v>0</v>
      </c>
      <c r="E84" s="7">
        <f>WORLDCUP!AD111</f>
        <v>0</v>
      </c>
      <c r="H84" s="7">
        <f>IF(AND(NOT(ISBLANK(WORLDCUP!AC110)),NOT(ISBLANK(WORLDCUP!AD110))),1,0)</f>
        <v>0</v>
      </c>
    </row>
    <row r="85" spans="1:8">
      <c r="A85" s="7">
        <v>84</v>
      </c>
      <c r="B85" s="611" t="str">
        <f ca="1">WORLDCUP!AA112</f>
        <v>2K</v>
      </c>
      <c r="C85" t="str">
        <f ca="1">WORLDCUP!AF112</f>
        <v>2L</v>
      </c>
      <c r="D85" s="7">
        <f>WORLDCUP!AC112</f>
        <v>0</v>
      </c>
      <c r="E85" s="7">
        <f>WORLDCUP!AD112</f>
        <v>0</v>
      </c>
      <c r="H85" s="7">
        <f>IF(AND(NOT(ISBLANK(WORLDCUP!AC112)),NOT(ISBLANK(WORLDCUP!AD112))),1,0)</f>
        <v>0</v>
      </c>
    </row>
    <row r="86" spans="1:8">
      <c r="A86" s="7">
        <v>85</v>
      </c>
      <c r="B86" s="611" t="str">
        <f ca="1">WORLDCUP!AA113</f>
        <v>1B</v>
      </c>
      <c r="C86" t="str">
        <f ca="1">WORLDCUP!AF113</f>
        <v>3EFGIJ</v>
      </c>
      <c r="D86" s="7">
        <f>WORLDCUP!AC113</f>
        <v>0</v>
      </c>
      <c r="E86" s="7">
        <f>WORLDCUP!AD113</f>
        <v>0</v>
      </c>
      <c r="H86" s="7">
        <f>IF(AND(NOT(ISBLANK(WORLDCUP!AC113)),NOT(ISBLANK(WORLDCUP!AD113))),1,0)</f>
        <v>0</v>
      </c>
    </row>
    <row r="87" spans="1:8">
      <c r="A87" s="7">
        <v>86</v>
      </c>
      <c r="B87" s="611" t="str">
        <f ca="1">WORLDCUP!AA114</f>
        <v>2D</v>
      </c>
      <c r="C87" t="str">
        <f ca="1">WORLDCUP!AF114</f>
        <v>2G</v>
      </c>
      <c r="D87" s="7">
        <f>WORLDCUP!AC114</f>
        <v>0</v>
      </c>
      <c r="E87" s="7">
        <f>WORLDCUP!AD114</f>
        <v>0</v>
      </c>
      <c r="H87" s="7">
        <f>IF(AND(NOT(ISBLANK(WORLDCUP!AC114)),NOT(ISBLANK(WORLDCUP!AD114))),1,0)</f>
        <v>0</v>
      </c>
    </row>
    <row r="88" spans="1:8">
      <c r="A88" s="7">
        <v>87</v>
      </c>
      <c r="B88" s="611" t="str">
        <f ca="1">WORLDCUP!AA115</f>
        <v>1J</v>
      </c>
      <c r="C88" t="str">
        <f ca="1">WORLDCUP!AF115</f>
        <v>2H</v>
      </c>
      <c r="D88" s="7">
        <f>WORLDCUP!AC115</f>
        <v>0</v>
      </c>
      <c r="E88" s="7">
        <f>WORLDCUP!AD115</f>
        <v>0</v>
      </c>
      <c r="H88" s="7">
        <f>IF(AND(NOT(ISBLANK(WORLDCUP!AC115)),NOT(ISBLANK(WORLDCUP!AD115))),1,0)</f>
        <v>0</v>
      </c>
    </row>
    <row r="89" spans="1:8">
      <c r="A89" s="7">
        <v>88</v>
      </c>
      <c r="B89" s="611" t="str">
        <f ca="1">WORLDCUP!AA116</f>
        <v>1K</v>
      </c>
      <c r="C89" t="str">
        <f ca="1">WORLDCUP!AF116</f>
        <v>3DEIJL</v>
      </c>
      <c r="D89" s="7">
        <f>WORLDCUP!AC116</f>
        <v>0</v>
      </c>
      <c r="E89" s="7">
        <f>WORLDCUP!AD116</f>
        <v>0</v>
      </c>
      <c r="H89" s="7">
        <f>IF(AND(NOT(ISBLANK(WORLDCUP!AC116)),NOT(ISBLANK(WORLDCUP!AD116))),1,0)</f>
        <v>0</v>
      </c>
    </row>
    <row r="90" spans="1:8">
      <c r="A90" s="7">
        <v>89</v>
      </c>
      <c r="B90" s="611" t="str">
        <f>WORLDCUP!AA120</f>
        <v>W73</v>
      </c>
      <c r="C90" t="str">
        <f>WORLDCUP!AF120</f>
        <v>W75</v>
      </c>
      <c r="D90" s="7">
        <f>WORLDCUP!AC120</f>
        <v>0</v>
      </c>
      <c r="E90" s="7">
        <f>WORLDCUP!AD120</f>
        <v>0</v>
      </c>
      <c r="H90" s="7">
        <f>IF(AND(NOT(ISBLANK(WORLDCUP!AC120)),NOT(ISBLANK(WORLDCUP!AD120))),1,0)</f>
        <v>0</v>
      </c>
    </row>
    <row r="91" spans="1:8">
      <c r="A91" s="7">
        <v>90</v>
      </c>
      <c r="B91" s="611" t="str">
        <f>WORLDCUP!AA121</f>
        <v>W74</v>
      </c>
      <c r="C91" t="str">
        <f>WORLDCUP!AF121</f>
        <v>W77</v>
      </c>
      <c r="D91" s="7">
        <f>WORLDCUP!AC121</f>
        <v>0</v>
      </c>
      <c r="E91" s="7">
        <f>WORLDCUP!AD121</f>
        <v>0</v>
      </c>
      <c r="H91" s="7">
        <f>IF(AND(NOT(ISBLANK(WORLDCUP!AC121)),NOT(ISBLANK(WORLDCUP!AD121))),1,0)</f>
        <v>0</v>
      </c>
    </row>
    <row r="92" spans="1:8">
      <c r="A92" s="7">
        <v>91</v>
      </c>
      <c r="B92" s="611" t="str">
        <f>WORLDCUP!AA122</f>
        <v>W76</v>
      </c>
      <c r="C92" t="str">
        <f>WORLDCUP!AF122</f>
        <v>W78</v>
      </c>
      <c r="D92" s="7">
        <f>WORLDCUP!AC122</f>
        <v>0</v>
      </c>
      <c r="E92" s="7">
        <f>WORLDCUP!AD122</f>
        <v>0</v>
      </c>
      <c r="H92" s="7">
        <f>IF(AND(NOT(ISBLANK(WORLDCUP!AC122)),NOT(ISBLANK(WORLDCUP!AD122))),1,0)</f>
        <v>0</v>
      </c>
    </row>
    <row r="93" spans="1:8">
      <c r="A93" s="7">
        <v>92</v>
      </c>
      <c r="B93" s="611" t="str">
        <f>WORLDCUP!AA123</f>
        <v>W79</v>
      </c>
      <c r="C93" t="str">
        <f>WORLDCUP!AF123</f>
        <v>W80</v>
      </c>
      <c r="D93" s="7">
        <f>WORLDCUP!AC123</f>
        <v>0</v>
      </c>
      <c r="E93" s="7">
        <f>WORLDCUP!AD123</f>
        <v>0</v>
      </c>
      <c r="H93" s="7">
        <f>IF(AND(NOT(ISBLANK(WORLDCUP!AC123)),NOT(ISBLANK(WORLDCUP!AD123))),1,0)</f>
        <v>0</v>
      </c>
    </row>
    <row r="94" spans="1:8">
      <c r="A94" s="7">
        <v>93</v>
      </c>
      <c r="B94" s="611" t="str">
        <f>WORLDCUP!AA124</f>
        <v>W83</v>
      </c>
      <c r="C94" t="str">
        <f>WORLDCUP!AF124</f>
        <v>W84</v>
      </c>
      <c r="D94" s="7">
        <f>WORLDCUP!AC124</f>
        <v>0</v>
      </c>
      <c r="E94" s="7">
        <f>WORLDCUP!AD124</f>
        <v>0</v>
      </c>
      <c r="H94" s="7">
        <f>IF(AND(NOT(ISBLANK(WORLDCUP!AC124)),NOT(ISBLANK(WORLDCUP!AD124))),1,0)</f>
        <v>0</v>
      </c>
    </row>
    <row r="95" spans="1:8">
      <c r="A95" s="7">
        <v>94</v>
      </c>
      <c r="B95" s="611" t="str">
        <f>WORLDCUP!AA125</f>
        <v>W81</v>
      </c>
      <c r="C95" t="str">
        <f>WORLDCUP!AF125</f>
        <v>W82</v>
      </c>
      <c r="D95" s="7">
        <f>WORLDCUP!AC125</f>
        <v>0</v>
      </c>
      <c r="E95" s="7">
        <f>WORLDCUP!AD125</f>
        <v>0</v>
      </c>
      <c r="H95" s="7">
        <f>IF(AND(NOT(ISBLANK(WORLDCUP!AC125)),NOT(ISBLANK(WORLDCUP!AD125))),1,0)</f>
        <v>0</v>
      </c>
    </row>
    <row r="96" spans="1:8">
      <c r="A96" s="7">
        <v>95</v>
      </c>
      <c r="B96" s="611" t="str">
        <f>WORLDCUP!AA126</f>
        <v>W86</v>
      </c>
      <c r="C96" t="str">
        <f>WORLDCUP!AF126</f>
        <v>W88</v>
      </c>
      <c r="D96" s="7">
        <f>WORLDCUP!AC126</f>
        <v>0</v>
      </c>
      <c r="E96" s="7">
        <f>WORLDCUP!AD126</f>
        <v>0</v>
      </c>
      <c r="H96" s="7">
        <f>IF(AND(NOT(ISBLANK(WORLDCUP!AC126)),NOT(ISBLANK(WORLDCUP!AD126))),1,0)</f>
        <v>0</v>
      </c>
    </row>
    <row r="97" spans="1:8">
      <c r="A97" s="7">
        <v>96</v>
      </c>
      <c r="B97" s="611" t="str">
        <f>WORLDCUP!AA127</f>
        <v>W85</v>
      </c>
      <c r="C97" t="str">
        <f>WORLDCUP!AF127</f>
        <v>W87</v>
      </c>
      <c r="D97" s="7">
        <f>WORLDCUP!AC127</f>
        <v>0</v>
      </c>
      <c r="E97" s="7">
        <f>WORLDCUP!AD127</f>
        <v>0</v>
      </c>
      <c r="H97" s="7">
        <f>IF(AND(NOT(ISBLANK(WORLDCUP!AC127)),NOT(ISBLANK(WORLDCUP!AD127))),1,0)</f>
        <v>0</v>
      </c>
    </row>
    <row r="98" spans="1:8">
      <c r="A98" s="7">
        <v>97</v>
      </c>
      <c r="B98" s="611" t="str">
        <f>WORLDCUP!AA131</f>
        <v>W89</v>
      </c>
      <c r="C98" t="str">
        <f>WORLDCUP!AF131</f>
        <v>W90</v>
      </c>
      <c r="D98" s="7">
        <f>WORLDCUP!AC131</f>
        <v>0</v>
      </c>
      <c r="E98" s="7">
        <f>WORLDCUP!AD131</f>
        <v>0</v>
      </c>
      <c r="H98" s="7">
        <f>IF(AND(NOT(ISBLANK(WORLDCUP!AC131)),NOT(ISBLANK(WORLDCUP!AD131))),1,0)</f>
        <v>0</v>
      </c>
    </row>
    <row r="99" spans="1:8">
      <c r="A99" s="7">
        <v>98</v>
      </c>
      <c r="B99" s="611" t="str">
        <f>WORLDCUP!AA132</f>
        <v>W93</v>
      </c>
      <c r="C99" t="str">
        <f>WORLDCUP!AF132</f>
        <v>W94</v>
      </c>
      <c r="D99" s="7">
        <f>WORLDCUP!AC132</f>
        <v>0</v>
      </c>
      <c r="E99" s="7">
        <f>WORLDCUP!AD132</f>
        <v>0</v>
      </c>
      <c r="H99" s="7">
        <f>IF(AND(NOT(ISBLANK(WORLDCUP!AC132)),NOT(ISBLANK(WORLDCUP!AD132))),1,0)</f>
        <v>0</v>
      </c>
    </row>
    <row r="100" spans="1:8">
      <c r="A100" s="7">
        <v>99</v>
      </c>
      <c r="B100" s="611" t="str">
        <f>WORLDCUP!AA133</f>
        <v>W91</v>
      </c>
      <c r="C100" t="str">
        <f>WORLDCUP!AF133</f>
        <v>W92</v>
      </c>
      <c r="D100" s="7">
        <f>WORLDCUP!AC133</f>
        <v>0</v>
      </c>
      <c r="E100" s="7">
        <f>WORLDCUP!AD133</f>
        <v>0</v>
      </c>
      <c r="H100" s="7">
        <f>IF(AND(NOT(ISBLANK(WORLDCUP!AC133)),NOT(ISBLANK(WORLDCUP!AD133))),1,0)</f>
        <v>0</v>
      </c>
    </row>
    <row r="101" spans="1:8">
      <c r="A101" s="7">
        <v>100</v>
      </c>
      <c r="B101" s="611" t="str">
        <f>WORLDCUP!AA134</f>
        <v>W95</v>
      </c>
      <c r="C101" t="str">
        <f>WORLDCUP!AF134</f>
        <v>W96</v>
      </c>
      <c r="D101" s="7">
        <f>WORLDCUP!AC134</f>
        <v>0</v>
      </c>
      <c r="E101" s="7">
        <f>WORLDCUP!AD134</f>
        <v>0</v>
      </c>
      <c r="H101" s="7">
        <f>IF(AND(NOT(ISBLANK(WORLDCUP!AC134)),NOT(ISBLANK(WORLDCUP!AD134))),1,0)</f>
        <v>0</v>
      </c>
    </row>
    <row r="102" spans="1:8">
      <c r="A102" s="7">
        <v>101</v>
      </c>
      <c r="B102" s="611" t="str">
        <f>WORLDCUP!AA138</f>
        <v>W97</v>
      </c>
      <c r="C102" t="str">
        <f>WORLDCUP!AF138</f>
        <v>W98</v>
      </c>
      <c r="D102" s="7">
        <f>WORLDCUP!AC138</f>
        <v>0</v>
      </c>
      <c r="E102" s="7">
        <f>WORLDCUP!AD138</f>
        <v>0</v>
      </c>
      <c r="H102" s="7">
        <f>IF(AND(NOT(ISBLANK(WORLDCUP!AC138)),NOT(ISBLANK(WORLDCUP!AD138))),1,0)</f>
        <v>0</v>
      </c>
    </row>
    <row r="103" spans="1:8">
      <c r="A103" s="7">
        <v>102</v>
      </c>
      <c r="B103" s="611" t="str">
        <f>WORLDCUP!AA139</f>
        <v>W99</v>
      </c>
      <c r="C103" t="str">
        <f>WORLDCUP!AF139</f>
        <v>W100</v>
      </c>
      <c r="D103" s="7">
        <f>WORLDCUP!AC139</f>
        <v>0</v>
      </c>
      <c r="E103" s="7">
        <f>WORLDCUP!AD139</f>
        <v>0</v>
      </c>
      <c r="H103" s="7">
        <f>IF(AND(NOT(ISBLANK(WORLDCUP!AC139)),NOT(ISBLANK(WORLDCUP!AD139))),1,0)</f>
        <v>0</v>
      </c>
    </row>
    <row r="104" spans="1:8">
      <c r="A104" s="7">
        <v>103</v>
      </c>
      <c r="B104" s="611" t="str">
        <f>WORLDCUP!AA143</f>
        <v>L101</v>
      </c>
      <c r="C104" t="str">
        <f>WORLDCUP!AF143</f>
        <v>L102</v>
      </c>
      <c r="D104" s="7">
        <f>WORLDCUP!AC143</f>
        <v>0</v>
      </c>
      <c r="E104" s="7">
        <f>WORLDCUP!AD143</f>
        <v>0</v>
      </c>
      <c r="H104" s="7">
        <f>IF(AND(NOT(ISBLANK(WORLDCUP!AC143)),NOT(ISBLANK(WORLDCUP!AD143))),1,0)</f>
        <v>0</v>
      </c>
    </row>
    <row r="105" spans="1:8">
      <c r="A105" s="7">
        <v>104</v>
      </c>
      <c r="B105" s="611" t="str">
        <f>WORLDCUP!AA147</f>
        <v>W101</v>
      </c>
      <c r="C105" t="str">
        <f>WORLDCUP!AF147</f>
        <v>W102</v>
      </c>
      <c r="D105" s="7">
        <f>WORLDCUP!AC147</f>
        <v>0</v>
      </c>
      <c r="E105" s="7">
        <f>WORLDCUP!AD147</f>
        <v>0</v>
      </c>
      <c r="H105" s="7">
        <f>IF(AND(NOT(ISBLANK(WORLDCUP!AC147)),NOT(ISBLANK(WORLDCUP!AD147))),1,0)</f>
        <v>0</v>
      </c>
    </row>
    <row r="106" spans="1:8">
      <c r="B106" s="611"/>
    </row>
    <row r="107" spans="1:8">
      <c r="B107" s="611"/>
    </row>
    <row r="108" spans="1:8">
      <c r="B108" s="611"/>
    </row>
    <row r="109" spans="1:8">
      <c r="A109" s="7">
        <v>988</v>
      </c>
      <c r="B109" s="611"/>
      <c r="F109" t="s">
        <v>1518</v>
      </c>
      <c r="G109">
        <f>WORLDCUP!AA154</f>
        <v>0</v>
      </c>
      <c r="H109" s="7">
        <f>IF(AND(NOT(ISBLANK(WORLDCUP!AA154)),NOT(ISBLANK(WORLDCUP!AA154))),1,0)</f>
        <v>0</v>
      </c>
    </row>
    <row r="110" spans="1:8">
      <c r="A110" s="7">
        <v>999</v>
      </c>
      <c r="F110" t="s">
        <v>1519</v>
      </c>
      <c r="G110">
        <f>WORLDCUP!AA156</f>
        <v>0</v>
      </c>
      <c r="H110" s="7">
        <f>IF(AND(NOT(ISBLANK(WORLDCUP!AA155)),NOT(ISBLANK(WORLDCUP!AA155))),1,0)</f>
        <v>0</v>
      </c>
    </row>
    <row r="114" spans="1:4">
      <c r="A114" s="7">
        <v>1000</v>
      </c>
      <c r="B114" t="s">
        <v>1521</v>
      </c>
      <c r="C114" s="7">
        <v>1</v>
      </c>
      <c r="D114" t="str">
        <f ca="1">WORLDCUP!AL6</f>
        <v>México</v>
      </c>
    </row>
    <row r="115" spans="1:4">
      <c r="A115" s="7">
        <v>1001</v>
      </c>
      <c r="B115" t="s">
        <v>1521</v>
      </c>
      <c r="C115" s="7">
        <v>2</v>
      </c>
      <c r="D115" t="str">
        <f ca="1">WORLDCUP!AL7</f>
        <v>Corea del Sur</v>
      </c>
    </row>
    <row r="116" spans="1:4">
      <c r="A116" s="7">
        <v>1002</v>
      </c>
      <c r="B116" t="s">
        <v>1521</v>
      </c>
      <c r="C116" s="7">
        <v>3</v>
      </c>
      <c r="D116" t="str">
        <f ca="1">WORLDCUP!AL8</f>
        <v>República Checa</v>
      </c>
    </row>
    <row r="117" spans="1:4">
      <c r="A117" s="7">
        <v>1003</v>
      </c>
      <c r="B117" t="s">
        <v>1521</v>
      </c>
      <c r="C117" s="7">
        <v>4</v>
      </c>
      <c r="D117" t="str">
        <f ca="1">WORLDCUP!AL9</f>
        <v>Sudáfrica</v>
      </c>
    </row>
    <row r="118" spans="1:4">
      <c r="A118" s="7">
        <v>1004</v>
      </c>
      <c r="B118" t="s">
        <v>1522</v>
      </c>
      <c r="C118" s="7">
        <v>1</v>
      </c>
      <c r="D118" t="str">
        <f ca="1">WORLDCUP!AL14</f>
        <v>Canadá</v>
      </c>
    </row>
    <row r="119" spans="1:4">
      <c r="A119" s="7">
        <v>1005</v>
      </c>
      <c r="B119" t="s">
        <v>1522</v>
      </c>
      <c r="C119" s="7">
        <v>2</v>
      </c>
      <c r="D119" t="str">
        <f ca="1">WORLDCUP!AL15</f>
        <v>Bosnia y Herzegovina</v>
      </c>
    </row>
    <row r="120" spans="1:4">
      <c r="A120" s="7">
        <v>1006</v>
      </c>
      <c r="B120" t="s">
        <v>1522</v>
      </c>
      <c r="C120" s="7">
        <v>3</v>
      </c>
      <c r="D120" t="str">
        <f ca="1">WORLDCUP!AL16</f>
        <v>Catar</v>
      </c>
    </row>
    <row r="121" spans="1:4">
      <c r="A121" s="7">
        <v>1007</v>
      </c>
      <c r="B121" t="s">
        <v>1522</v>
      </c>
      <c r="C121" s="7">
        <v>4</v>
      </c>
      <c r="D121" t="str">
        <f ca="1">WORLDCUP!AL17</f>
        <v>Suiza</v>
      </c>
    </row>
    <row r="122" spans="1:4">
      <c r="A122" s="7">
        <v>1008</v>
      </c>
      <c r="B122" t="s">
        <v>1523</v>
      </c>
      <c r="C122" s="7">
        <v>1</v>
      </c>
      <c r="D122" t="str">
        <f ca="1">WORLDCUP!AL22</f>
        <v>Escocia</v>
      </c>
    </row>
    <row r="123" spans="1:4">
      <c r="A123" s="7">
        <v>1009</v>
      </c>
      <c r="B123" t="s">
        <v>1523</v>
      </c>
      <c r="C123" s="7">
        <v>2</v>
      </c>
      <c r="D123" t="str">
        <f ca="1">WORLDCUP!AL23</f>
        <v>Brasil</v>
      </c>
    </row>
    <row r="124" spans="1:4">
      <c r="A124" s="7">
        <v>1010</v>
      </c>
      <c r="B124" t="s">
        <v>1523</v>
      </c>
      <c r="C124" s="7">
        <v>3</v>
      </c>
      <c r="D124" t="str">
        <f ca="1">WORLDCUP!AL24</f>
        <v>Marruecos</v>
      </c>
    </row>
    <row r="125" spans="1:4">
      <c r="A125" s="7">
        <v>1011</v>
      </c>
      <c r="B125" t="s">
        <v>1523</v>
      </c>
      <c r="C125" s="7">
        <v>4</v>
      </c>
      <c r="D125" t="str">
        <f ca="1">WORLDCUP!AL25</f>
        <v>Haití</v>
      </c>
    </row>
    <row r="126" spans="1:4">
      <c r="A126" s="7">
        <v>1012</v>
      </c>
      <c r="B126" t="s">
        <v>1524</v>
      </c>
      <c r="C126" s="7">
        <v>1</v>
      </c>
      <c r="D126" t="str">
        <f ca="1">WORLDCUP!AL30</f>
        <v>Estados Unidos</v>
      </c>
    </row>
    <row r="127" spans="1:4">
      <c r="A127" s="7">
        <v>1013</v>
      </c>
      <c r="B127" t="s">
        <v>1524</v>
      </c>
      <c r="C127" s="7">
        <v>2</v>
      </c>
      <c r="D127" t="str">
        <f ca="1">WORLDCUP!AL31</f>
        <v>Australia</v>
      </c>
    </row>
    <row r="128" spans="1:4">
      <c r="A128" s="7">
        <v>1014</v>
      </c>
      <c r="B128" t="s">
        <v>1524</v>
      </c>
      <c r="C128" s="7">
        <v>3</v>
      </c>
      <c r="D128" t="str">
        <f ca="1">WORLDCUP!AL32</f>
        <v>Turquía</v>
      </c>
    </row>
    <row r="129" spans="1:4">
      <c r="A129" s="7">
        <v>1015</v>
      </c>
      <c r="B129" t="s">
        <v>1524</v>
      </c>
      <c r="C129" s="7">
        <v>4</v>
      </c>
      <c r="D129" t="str">
        <f ca="1">WORLDCUP!AL33</f>
        <v>Paraguay</v>
      </c>
    </row>
    <row r="130" spans="1:4">
      <c r="A130" s="7">
        <v>1016</v>
      </c>
      <c r="B130" t="s">
        <v>1525</v>
      </c>
      <c r="C130" s="7">
        <v>1</v>
      </c>
      <c r="D130" t="str">
        <f ca="1">WORLDCUP!AL38</f>
        <v>Alemania</v>
      </c>
    </row>
    <row r="131" spans="1:4">
      <c r="A131" s="7">
        <v>1017</v>
      </c>
      <c r="B131" t="s">
        <v>1525</v>
      </c>
      <c r="C131" s="7">
        <v>2</v>
      </c>
      <c r="D131" t="str">
        <f ca="1">WORLDCUP!AL39</f>
        <v>Costa de Marfil</v>
      </c>
    </row>
    <row r="132" spans="1:4">
      <c r="A132" s="7">
        <v>1018</v>
      </c>
      <c r="B132" t="s">
        <v>1525</v>
      </c>
      <c r="C132" s="7">
        <v>3</v>
      </c>
      <c r="D132" t="str">
        <f ca="1">WORLDCUP!AL40</f>
        <v>Ecuador</v>
      </c>
    </row>
    <row r="133" spans="1:4">
      <c r="A133" s="7">
        <v>1019</v>
      </c>
      <c r="B133" t="s">
        <v>1525</v>
      </c>
      <c r="C133" s="7">
        <v>4</v>
      </c>
      <c r="D133" t="str">
        <f ca="1">WORLDCUP!AL41</f>
        <v>Curazao</v>
      </c>
    </row>
    <row r="134" spans="1:4">
      <c r="A134" s="7">
        <v>1020</v>
      </c>
      <c r="B134" t="s">
        <v>1526</v>
      </c>
      <c r="C134" s="7">
        <v>1</v>
      </c>
      <c r="D134" t="str">
        <f ca="1">WORLDCUP!AL46</f>
        <v>Suecia</v>
      </c>
    </row>
    <row r="135" spans="1:4">
      <c r="A135" s="7">
        <v>1021</v>
      </c>
      <c r="B135" t="s">
        <v>1526</v>
      </c>
      <c r="C135" s="7">
        <v>2</v>
      </c>
      <c r="D135" t="str">
        <f ca="1">WORLDCUP!AL47</f>
        <v>Países Bajos</v>
      </c>
    </row>
    <row r="136" spans="1:4">
      <c r="A136" s="7">
        <v>1022</v>
      </c>
      <c r="B136" t="s">
        <v>1526</v>
      </c>
      <c r="C136" s="7">
        <v>3</v>
      </c>
      <c r="D136" t="str">
        <f ca="1">WORLDCUP!AL48</f>
        <v>Japón</v>
      </c>
    </row>
    <row r="137" spans="1:4">
      <c r="A137" s="7">
        <v>1023</v>
      </c>
      <c r="B137" t="s">
        <v>1526</v>
      </c>
      <c r="C137" s="7">
        <v>4</v>
      </c>
      <c r="D137" t="str">
        <f ca="1">WORLDCUP!AL49</f>
        <v>Túnez</v>
      </c>
    </row>
    <row r="138" spans="1:4">
      <c r="A138" s="7">
        <v>1024</v>
      </c>
      <c r="B138" t="s">
        <v>1527</v>
      </c>
      <c r="C138" s="7">
        <v>1</v>
      </c>
      <c r="D138" t="str">
        <f ca="1">WORLDCUP!AL54</f>
        <v>Irán</v>
      </c>
    </row>
    <row r="139" spans="1:4">
      <c r="A139" s="7">
        <v>1025</v>
      </c>
      <c r="B139" t="s">
        <v>1527</v>
      </c>
      <c r="C139" s="7">
        <v>2</v>
      </c>
      <c r="D139" t="str">
        <f ca="1">WORLDCUP!AL55</f>
        <v>Nueva Zelanda</v>
      </c>
    </row>
    <row r="140" spans="1:4">
      <c r="A140" s="7">
        <v>1026</v>
      </c>
      <c r="B140" t="s">
        <v>1527</v>
      </c>
      <c r="C140" s="7">
        <v>3</v>
      </c>
      <c r="D140" t="str">
        <f ca="1">WORLDCUP!AL56</f>
        <v>Bélgica</v>
      </c>
    </row>
    <row r="141" spans="1:4">
      <c r="A141" s="7">
        <v>1027</v>
      </c>
      <c r="B141" t="s">
        <v>1527</v>
      </c>
      <c r="C141" s="7">
        <v>4</v>
      </c>
      <c r="D141" t="str">
        <f ca="1">WORLDCUP!AL57</f>
        <v>Egipto</v>
      </c>
    </row>
    <row r="142" spans="1:4">
      <c r="A142" s="7">
        <v>1028</v>
      </c>
      <c r="B142" t="s">
        <v>1528</v>
      </c>
      <c r="C142" s="7">
        <v>1</v>
      </c>
      <c r="D142" t="str">
        <f ca="1">WORLDCUP!AL62</f>
        <v>Arabia Saudita</v>
      </c>
    </row>
    <row r="143" spans="1:4">
      <c r="A143" s="7">
        <v>1029</v>
      </c>
      <c r="B143" t="s">
        <v>1528</v>
      </c>
      <c r="C143" s="7">
        <v>2</v>
      </c>
      <c r="D143" t="str">
        <f ca="1">WORLDCUP!AL63</f>
        <v>Uruguay</v>
      </c>
    </row>
    <row r="144" spans="1:4">
      <c r="A144" s="7">
        <v>1030</v>
      </c>
      <c r="B144" t="s">
        <v>1528</v>
      </c>
      <c r="C144" s="7">
        <v>3</v>
      </c>
      <c r="D144" t="str">
        <f ca="1">WORLDCUP!AL64</f>
        <v>España</v>
      </c>
    </row>
    <row r="145" spans="1:4">
      <c r="A145" s="7">
        <v>1031</v>
      </c>
      <c r="B145" t="s">
        <v>1528</v>
      </c>
      <c r="C145" s="7">
        <v>4</v>
      </c>
      <c r="D145" t="str">
        <f ca="1">WORLDCUP!AL65</f>
        <v>Cabo Verde</v>
      </c>
    </row>
    <row r="146" spans="1:4">
      <c r="A146" s="7">
        <v>1032</v>
      </c>
      <c r="B146" t="s">
        <v>1529</v>
      </c>
      <c r="C146" s="7">
        <v>1</v>
      </c>
      <c r="D146" t="str">
        <f ca="1">WORLDCUP!AL70</f>
        <v>Noruega</v>
      </c>
    </row>
    <row r="147" spans="1:4">
      <c r="A147" s="7">
        <v>1033</v>
      </c>
      <c r="B147" t="s">
        <v>1529</v>
      </c>
      <c r="C147" s="7">
        <v>2</v>
      </c>
      <c r="D147" t="str">
        <f ca="1">WORLDCUP!AL71</f>
        <v>Francia</v>
      </c>
    </row>
    <row r="148" spans="1:4">
      <c r="A148" s="7">
        <v>1034</v>
      </c>
      <c r="B148" t="s">
        <v>1529</v>
      </c>
      <c r="C148" s="7">
        <v>3</v>
      </c>
      <c r="D148" t="str">
        <f ca="1">WORLDCUP!AL72</f>
        <v>Senegal</v>
      </c>
    </row>
    <row r="149" spans="1:4">
      <c r="A149" s="7">
        <v>1035</v>
      </c>
      <c r="B149" t="s">
        <v>1529</v>
      </c>
      <c r="C149" s="7">
        <v>4</v>
      </c>
      <c r="D149" t="str">
        <f ca="1">WORLDCUP!AL73</f>
        <v>Irak</v>
      </c>
    </row>
    <row r="150" spans="1:4">
      <c r="A150" s="7">
        <v>1036</v>
      </c>
      <c r="B150" t="s">
        <v>1530</v>
      </c>
      <c r="C150" s="7">
        <v>1</v>
      </c>
      <c r="D150" t="str">
        <f ca="1">WORLDCUP!AL78</f>
        <v>Argentina</v>
      </c>
    </row>
    <row r="151" spans="1:4">
      <c r="A151" s="7">
        <v>1037</v>
      </c>
      <c r="B151" t="s">
        <v>1530</v>
      </c>
      <c r="C151" s="7">
        <v>2</v>
      </c>
      <c r="D151" t="str">
        <f ca="1">WORLDCUP!AL79</f>
        <v>Austria</v>
      </c>
    </row>
    <row r="152" spans="1:4">
      <c r="A152" s="7">
        <v>1038</v>
      </c>
      <c r="B152" t="s">
        <v>1530</v>
      </c>
      <c r="C152" s="7">
        <v>3</v>
      </c>
      <c r="D152" t="str">
        <f ca="1">WORLDCUP!AL80</f>
        <v>Jordania</v>
      </c>
    </row>
    <row r="153" spans="1:4">
      <c r="A153" s="7">
        <v>1039</v>
      </c>
      <c r="B153" t="s">
        <v>1530</v>
      </c>
      <c r="C153" s="7">
        <v>4</v>
      </c>
      <c r="D153" t="str">
        <f ca="1">WORLDCUP!AL81</f>
        <v>Argelia</v>
      </c>
    </row>
    <row r="154" spans="1:4">
      <c r="A154" s="7">
        <v>1040</v>
      </c>
      <c r="B154" t="s">
        <v>1531</v>
      </c>
      <c r="C154" s="7">
        <v>1</v>
      </c>
      <c r="D154" t="str">
        <f ca="1">WORLDCUP!AL86</f>
        <v>Portugal</v>
      </c>
    </row>
    <row r="155" spans="1:4">
      <c r="A155" s="7">
        <v>1041</v>
      </c>
      <c r="B155" t="s">
        <v>1531</v>
      </c>
      <c r="C155" s="7">
        <v>2</v>
      </c>
      <c r="D155" t="str">
        <f ca="1">WORLDCUP!AL87</f>
        <v>RD Congo</v>
      </c>
    </row>
    <row r="156" spans="1:4">
      <c r="A156" s="7">
        <v>1042</v>
      </c>
      <c r="B156" t="s">
        <v>1531</v>
      </c>
      <c r="C156" s="7">
        <v>3</v>
      </c>
      <c r="D156" t="str">
        <f ca="1">WORLDCUP!AL88</f>
        <v>Uzbekistán</v>
      </c>
    </row>
    <row r="157" spans="1:4">
      <c r="A157" s="7">
        <v>1043</v>
      </c>
      <c r="B157" t="s">
        <v>1531</v>
      </c>
      <c r="C157" s="7">
        <v>4</v>
      </c>
      <c r="D157" t="str">
        <f ca="1">WORLDCUP!AL89</f>
        <v>Colombia</v>
      </c>
    </row>
    <row r="158" spans="1:4">
      <c r="A158" s="7">
        <v>1044</v>
      </c>
      <c r="B158" t="s">
        <v>1532</v>
      </c>
      <c r="C158" s="7">
        <v>1</v>
      </c>
      <c r="D158" t="str">
        <f ca="1">WORLDCUP!AL94</f>
        <v>Inglaterra</v>
      </c>
    </row>
    <row r="159" spans="1:4">
      <c r="A159" s="7">
        <v>1045</v>
      </c>
      <c r="B159" t="s">
        <v>1532</v>
      </c>
      <c r="C159" s="7">
        <v>2</v>
      </c>
      <c r="D159" t="str">
        <f ca="1">WORLDCUP!AL95</f>
        <v>Croacia</v>
      </c>
    </row>
    <row r="160" spans="1:4">
      <c r="A160" s="7">
        <v>1046</v>
      </c>
      <c r="B160" t="s">
        <v>1532</v>
      </c>
      <c r="C160" s="7">
        <v>3</v>
      </c>
      <c r="D160" t="str">
        <f ca="1">WORLDCUP!AL96</f>
        <v>Ghana</v>
      </c>
    </row>
    <row r="161" spans="1:4">
      <c r="A161" s="7">
        <v>1047</v>
      </c>
      <c r="B161" t="s">
        <v>1532</v>
      </c>
      <c r="C161" s="7">
        <v>4</v>
      </c>
      <c r="D161" t="str">
        <f ca="1">WORLDCUP!AL97</f>
        <v>Panamá</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2" t="str">
        <f>Idiomas!D106</f>
        <v>EL ADMINISTRADOR DE LA PORRA SEGUIRÁ LAS INSTRUCCIONES DE AQUÍ ABAJO</v>
      </c>
      <c r="F1" s="682"/>
      <c r="G1" s="682"/>
      <c r="H1" s="682"/>
      <c r="I1" s="682"/>
      <c r="J1" s="682"/>
      <c r="K1" s="682"/>
      <c r="L1" s="682"/>
      <c r="M1" s="682"/>
      <c r="N1" s="682"/>
    </row>
    <row r="2" spans="1:14" ht="20" customHeight="1" thickBot="1">
      <c r="A2" s="276"/>
      <c r="B2" s="277"/>
      <c r="C2" s="277"/>
      <c r="D2" s="354"/>
      <c r="E2" s="682"/>
      <c r="F2" s="682"/>
      <c r="G2" s="682"/>
      <c r="H2" s="682"/>
      <c r="I2" s="682"/>
      <c r="J2" s="682"/>
      <c r="K2" s="682"/>
      <c r="L2" s="682"/>
      <c r="M2" s="682"/>
      <c r="N2" s="682"/>
    </row>
    <row r="3" spans="1:14" ht="35" customHeight="1" thickBot="1">
      <c r="A3" s="276"/>
      <c r="B3" s="280" t="str">
        <f>HYPERLINK(Idiomas!D10,Idiomas!D9)</f>
        <v>▼ Descargar Excel Administrador Porra ▼</v>
      </c>
      <c r="C3" s="277"/>
      <c r="D3" s="354"/>
      <c r="E3" s="685" t="str">
        <f>Idiomas!D107</f>
        <v>·Si haceis todo el Mundial de golpe, incluido el predictor, copiar de la C5 a la C258 y pegar valores en la plantilla de Administrador.</v>
      </c>
      <c r="F3" s="685"/>
      <c r="G3" s="685"/>
      <c r="H3" s="685"/>
      <c r="I3" s="685"/>
      <c r="J3" s="685"/>
      <c r="K3" s="685"/>
      <c r="L3" s="685"/>
      <c r="M3" s="685"/>
      <c r="N3" s="686"/>
    </row>
    <row r="4" spans="1:14" ht="45" customHeight="1">
      <c r="A4" s="276"/>
      <c r="B4" s="277"/>
      <c r="C4" s="559" t="str">
        <f>Idiomas!D105</f>
        <v>¡No tocar nada, se rellena solo!</v>
      </c>
      <c r="D4" s="354"/>
      <c r="E4" s="68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4"/>
      <c r="G4" s="684"/>
      <c r="H4" s="684"/>
      <c r="I4" s="684"/>
      <c r="J4" s="684"/>
      <c r="K4" s="684"/>
      <c r="L4" s="684"/>
      <c r="M4" s="684"/>
      <c r="N4" s="363"/>
    </row>
    <row r="5" spans="1:14" ht="19" customHeight="1">
      <c r="A5" s="339"/>
      <c r="B5" s="340" t="str">
        <f>Idiomas!D125</f>
        <v>FASE DE GRUPOS</v>
      </c>
      <c r="C5" s="332" t="str">
        <f>Home!C10</f>
        <v>Nombre</v>
      </c>
      <c r="E5" s="687" t="str">
        <f>Idiomas!D109</f>
        <v>·Si haceis jornada a jornada seguir las instrucciones de cada jornada</v>
      </c>
      <c r="F5" s="687"/>
      <c r="G5" s="687"/>
      <c r="H5" s="687"/>
      <c r="I5" s="687"/>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8" t="str">
        <f>Idiomas!D122</f>
        <v>J1</v>
      </c>
      <c r="E6" s="683" t="str">
        <f>Idiomas!D110</f>
        <v>·Para la primera jornada copiar de la C5 a la C29 y pega valores en la plantilla de administrador. ¡OJO! COPIAR TAMBIÉN de la C253 a la C258.</v>
      </c>
      <c r="F6" s="683"/>
      <c r="G6" s="683"/>
      <c r="H6" s="683"/>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8"/>
      <c r="E7" s="667"/>
      <c r="F7" s="667"/>
      <c r="G7" s="667"/>
      <c r="H7" s="667"/>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8"/>
      <c r="E8" s="667"/>
      <c r="F8" s="667"/>
      <c r="G8" s="667"/>
      <c r="H8" s="667"/>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8"/>
      <c r="E9" s="667"/>
      <c r="F9" s="667"/>
      <c r="G9" s="667"/>
      <c r="H9" s="667"/>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8"/>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8"/>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8"/>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8"/>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8"/>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8"/>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8"/>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8"/>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8"/>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8"/>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8"/>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8"/>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8"/>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8"/>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8"/>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8"/>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8"/>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0|-</v>
      </c>
      <c r="D27" s="678"/>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0|-</v>
      </c>
      <c r="D28" s="678"/>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0|-</v>
      </c>
      <c r="D29" s="679"/>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0|-</v>
      </c>
      <c r="D30" s="680" t="str">
        <f>Idiomas!D123</f>
        <v>J2</v>
      </c>
      <c r="E30" s="683" t="str">
        <f>Idiomas!D111</f>
        <v>·Para la segunda jornada copiar de la C30 a la C53 y pega valores en la plantilla de administrador.</v>
      </c>
      <c r="F30" s="683"/>
      <c r="G30" s="683"/>
      <c r="H30" s="683"/>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0|-</v>
      </c>
      <c r="D31" s="680"/>
      <c r="E31" s="667"/>
      <c r="F31" s="667"/>
      <c r="G31" s="667"/>
      <c r="H31" s="667"/>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0|-</v>
      </c>
      <c r="D32" s="680"/>
      <c r="E32" s="667"/>
      <c r="F32" s="667"/>
      <c r="G32" s="667"/>
      <c r="H32" s="667"/>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0|-</v>
      </c>
      <c r="D33" s="680"/>
      <c r="E33" s="667"/>
      <c r="F33" s="667"/>
      <c r="G33" s="667"/>
      <c r="H33" s="667"/>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0|-</v>
      </c>
      <c r="D34" s="680"/>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0|-</v>
      </c>
      <c r="D35" s="680"/>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0|-</v>
      </c>
      <c r="D36" s="680"/>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0|-</v>
      </c>
      <c r="D37" s="680"/>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0|-</v>
      </c>
      <c r="D38" s="680"/>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0|-</v>
      </c>
      <c r="D39" s="680"/>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0|-</v>
      </c>
      <c r="D40" s="680"/>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0|-</v>
      </c>
      <c r="D41" s="680"/>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0|-</v>
      </c>
      <c r="D42" s="680"/>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0|-</v>
      </c>
      <c r="D43" s="680"/>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0|-</v>
      </c>
      <c r="D44" s="680"/>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0|-</v>
      </c>
      <c r="D45" s="680"/>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0|-</v>
      </c>
      <c r="D46" s="680"/>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0|-</v>
      </c>
      <c r="D47" s="680"/>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0|-</v>
      </c>
      <c r="D48" s="680"/>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0|-</v>
      </c>
      <c r="D49" s="680"/>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0|-</v>
      </c>
      <c r="D50" s="680"/>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0"/>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0"/>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1"/>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4" t="str">
        <f>Idiomas!D124</f>
        <v>J3</v>
      </c>
      <c r="E54" s="683" t="str">
        <f>Idiomas!D112</f>
        <v>·Para la tercera jornada copiar de la C54 a la C161 y pega valores en la plantilla de administrador.</v>
      </c>
      <c r="F54" s="683"/>
      <c r="G54" s="683"/>
      <c r="H54" s="683"/>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4"/>
      <c r="E55" s="667"/>
      <c r="F55" s="667"/>
      <c r="G55" s="667"/>
      <c r="H55" s="667"/>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4"/>
      <c r="E56" s="667"/>
      <c r="F56" s="667"/>
      <c r="G56" s="667"/>
      <c r="H56" s="667"/>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4"/>
      <c r="E57" s="667"/>
      <c r="F57" s="667"/>
      <c r="G57" s="667"/>
      <c r="H57" s="667"/>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4"/>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4"/>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4"/>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4"/>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4"/>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4"/>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4"/>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4"/>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4"/>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4"/>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4"/>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4"/>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4"/>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4"/>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4"/>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4"/>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4"/>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4"/>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4"/>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4"/>
      <c r="E77" s="356"/>
      <c r="F77" s="356"/>
      <c r="G77" s="356"/>
      <c r="H77" s="356"/>
      <c r="I77" s="367"/>
      <c r="J77" s="356"/>
      <c r="K77" s="356"/>
      <c r="L77" s="356"/>
      <c r="M77" s="365"/>
      <c r="N77" s="363"/>
    </row>
    <row r="78" spans="1:14" ht="15" customHeight="1">
      <c r="A78" s="339"/>
      <c r="B78" s="339"/>
      <c r="C78" s="336"/>
      <c r="D78" s="674"/>
      <c r="E78" s="356"/>
      <c r="F78" s="356"/>
      <c r="G78" s="356"/>
      <c r="H78" s="356"/>
      <c r="I78" s="367"/>
      <c r="J78" s="356"/>
      <c r="K78" s="356"/>
      <c r="L78" s="356"/>
      <c r="M78" s="365"/>
      <c r="N78" s="363"/>
    </row>
    <row r="79" spans="1:14" ht="19" customHeight="1">
      <c r="A79" s="339"/>
      <c r="B79" s="344" t="str">
        <f>Idiomas!D126</f>
        <v>POSICIÓN GRUPOS</v>
      </c>
      <c r="C79" s="336"/>
      <c r="D79" s="674"/>
      <c r="E79" s="356"/>
      <c r="F79" s="356"/>
      <c r="G79" s="356"/>
      <c r="H79" s="356"/>
      <c r="I79" s="367"/>
      <c r="J79" s="356"/>
      <c r="K79" s="356"/>
      <c r="L79" s="356"/>
      <c r="M79" s="365"/>
      <c r="N79" s="363"/>
    </row>
    <row r="80" spans="1:14" ht="15" customHeight="1">
      <c r="A80" s="677" t="s">
        <v>0</v>
      </c>
      <c r="B80" s="345" t="str">
        <f>Idiomas!D140</f>
        <v>1º GRUPO A</v>
      </c>
      <c r="C80" s="335" t="str">
        <f ca="1">IF(OR(SUM(WORLDCUP!$AN$6:$AN$9)=12,WORLDCUP!$AJ$99=144),WORLDCUP!AL6,B80)</f>
        <v>1º GRUPO A</v>
      </c>
      <c r="D80" s="674"/>
      <c r="E80" s="356"/>
      <c r="F80" s="356"/>
      <c r="G80" s="356"/>
      <c r="H80" s="356"/>
      <c r="I80" s="367"/>
      <c r="J80" s="356"/>
      <c r="K80" s="356"/>
      <c r="L80" s="356"/>
      <c r="M80" s="365"/>
      <c r="N80" s="363"/>
    </row>
    <row r="81" spans="1:14" ht="15" customHeight="1">
      <c r="A81" s="677"/>
      <c r="B81" s="345" t="str">
        <f>Idiomas!D141</f>
        <v>2º GRUPO A</v>
      </c>
      <c r="C81" s="335" t="str">
        <f ca="1">IF(OR(SUM(WORLDCUP!$AN$6:$AN$9)=12,WORLDCUP!$AJ$99=144),WORLDCUP!AL7,B81)</f>
        <v>2º GRUPO A</v>
      </c>
      <c r="D81" s="674"/>
      <c r="E81" s="356"/>
      <c r="F81" s="356"/>
      <c r="G81" s="356"/>
      <c r="H81" s="356"/>
      <c r="I81" s="367"/>
      <c r="J81" s="356"/>
      <c r="K81" s="356"/>
      <c r="L81" s="356"/>
      <c r="M81" s="365"/>
      <c r="N81" s="363"/>
    </row>
    <row r="82" spans="1:14" ht="15" customHeight="1">
      <c r="A82" s="677"/>
      <c r="B82" s="345" t="str">
        <f>Idiomas!D142</f>
        <v>3º GRUPO A</v>
      </c>
      <c r="C82" s="335" t="str">
        <f ca="1">IF(OR(SUM(WORLDCUP!$AN$6:$AN$9)=12,WORLDCUP!$AJ$99=144),WORLDCUP!AL8,B82)</f>
        <v>3º GRUPO A</v>
      </c>
      <c r="D82" s="674"/>
      <c r="E82" s="356"/>
      <c r="F82" s="356"/>
      <c r="G82" s="356"/>
      <c r="H82" s="356"/>
      <c r="I82" s="367"/>
      <c r="J82" s="356"/>
      <c r="K82" s="356"/>
      <c r="L82" s="356"/>
      <c r="M82" s="365"/>
      <c r="N82" s="363"/>
    </row>
    <row r="83" spans="1:14" ht="15" customHeight="1">
      <c r="A83" s="677"/>
      <c r="B83" s="345" t="str">
        <f>Idiomas!D143</f>
        <v>4º GRUPO A</v>
      </c>
      <c r="C83" s="335" t="str">
        <f ca="1">IF(OR(SUM(WORLDCUP!$AN$6:$AN$9)=12,WORLDCUP!$AJ$99=144),WORLDCUP!AL9,B83)</f>
        <v>4º GRUPO A</v>
      </c>
      <c r="D83" s="674"/>
      <c r="E83" s="356"/>
      <c r="F83" s="356"/>
      <c r="G83" s="356"/>
      <c r="H83" s="356"/>
      <c r="I83" s="367"/>
      <c r="J83" s="356"/>
      <c r="K83" s="356"/>
      <c r="L83" s="356"/>
      <c r="M83" s="365"/>
      <c r="N83" s="363"/>
    </row>
    <row r="84" spans="1:14" ht="15" customHeight="1">
      <c r="A84" s="676" t="s">
        <v>1</v>
      </c>
      <c r="B84" s="343" t="str">
        <f>Idiomas!D144</f>
        <v>1º GRUPO B</v>
      </c>
      <c r="C84" s="335" t="str">
        <f ca="1">IF(OR(SUM(WORLDCUP!$AN$14:$AN$17)=12,WORLDCUP!$AJ$99=144),WORLDCUP!AL14,B84)</f>
        <v>1º GRUPO B</v>
      </c>
      <c r="D84" s="674"/>
      <c r="E84" s="356"/>
      <c r="F84" s="356"/>
      <c r="G84" s="356"/>
      <c r="H84" s="356"/>
      <c r="I84" s="367"/>
      <c r="J84" s="356"/>
      <c r="K84" s="356"/>
      <c r="L84" s="356"/>
      <c r="M84" s="365"/>
      <c r="N84" s="363"/>
    </row>
    <row r="85" spans="1:14" ht="15" customHeight="1">
      <c r="A85" s="676"/>
      <c r="B85" s="343" t="str">
        <f>Idiomas!D145</f>
        <v>2º GRUPO B</v>
      </c>
      <c r="C85" s="335" t="str">
        <f ca="1">IF(OR(SUM(WORLDCUP!$AN$14:$AN$17)=12,WORLDCUP!$AJ$99=144),WORLDCUP!AL15,B85)</f>
        <v>2º GRUPO B</v>
      </c>
      <c r="D85" s="674"/>
      <c r="E85" s="356"/>
      <c r="F85" s="356"/>
      <c r="G85" s="356"/>
      <c r="H85" s="356"/>
      <c r="I85" s="367"/>
      <c r="J85" s="356"/>
      <c r="K85" s="356"/>
      <c r="L85" s="356"/>
      <c r="M85" s="365"/>
      <c r="N85" s="363"/>
    </row>
    <row r="86" spans="1:14" ht="15" customHeight="1">
      <c r="A86" s="676"/>
      <c r="B86" s="343" t="str">
        <f>Idiomas!D146</f>
        <v>3º GRUPO B</v>
      </c>
      <c r="C86" s="335" t="str">
        <f ca="1">IF(OR(SUM(WORLDCUP!$AN$14:$AN$17)=12,WORLDCUP!$AJ$99=144),WORLDCUP!AL16,B86)</f>
        <v>3º GRUPO B</v>
      </c>
      <c r="D86" s="674"/>
      <c r="E86" s="356"/>
      <c r="F86" s="356"/>
      <c r="G86" s="356"/>
      <c r="H86" s="356"/>
      <c r="I86" s="367"/>
      <c r="J86" s="356"/>
      <c r="K86" s="356"/>
      <c r="L86" s="356"/>
      <c r="M86" s="365"/>
      <c r="N86" s="363"/>
    </row>
    <row r="87" spans="1:14" ht="15" customHeight="1">
      <c r="A87" s="676"/>
      <c r="B87" s="343" t="str">
        <f>Idiomas!D147</f>
        <v>4º GRUPO B</v>
      </c>
      <c r="C87" s="335" t="str">
        <f ca="1">IF(OR(SUM(WORLDCUP!$AN$14:$AN$17)=12,WORLDCUP!$AJ$99=144),WORLDCUP!AL17,B87)</f>
        <v>4º GRUPO B</v>
      </c>
      <c r="D87" s="674"/>
      <c r="E87" s="356"/>
      <c r="F87" s="356"/>
      <c r="G87" s="356"/>
      <c r="H87" s="356"/>
      <c r="I87" s="367"/>
      <c r="J87" s="356"/>
      <c r="K87" s="356"/>
      <c r="L87" s="356"/>
      <c r="M87" s="365"/>
      <c r="N87" s="363"/>
    </row>
    <row r="88" spans="1:14" ht="15" customHeight="1">
      <c r="A88" s="677" t="s">
        <v>2</v>
      </c>
      <c r="B88" s="345" t="str">
        <f>Idiomas!D148</f>
        <v>1º GRUPO C</v>
      </c>
      <c r="C88" s="335" t="str">
        <f ca="1">IF(OR(SUM(WORLDCUP!$AN$22:$AN$25)=12,WORLDCUP!$AJ$99=144),WORLDCUP!AL22,B88)</f>
        <v>1º GRUPO C</v>
      </c>
      <c r="D88" s="674"/>
      <c r="E88" s="356"/>
      <c r="F88" s="356"/>
      <c r="G88" s="356"/>
      <c r="H88" s="356"/>
      <c r="I88" s="367"/>
      <c r="J88" s="356"/>
      <c r="K88" s="356"/>
      <c r="L88" s="356"/>
      <c r="M88" s="365"/>
      <c r="N88" s="363"/>
    </row>
    <row r="89" spans="1:14" ht="15" customHeight="1">
      <c r="A89" s="677"/>
      <c r="B89" s="345" t="str">
        <f>Idiomas!D149</f>
        <v>2º GRUPO C</v>
      </c>
      <c r="C89" s="335" t="str">
        <f ca="1">IF(OR(SUM(WORLDCUP!$AN$22:$AN$25)=12,WORLDCUP!$AJ$99=144),WORLDCUP!AL23,B89)</f>
        <v>2º GRUPO C</v>
      </c>
      <c r="D89" s="674"/>
      <c r="E89" s="356"/>
      <c r="F89" s="356"/>
      <c r="G89" s="356"/>
      <c r="H89" s="356"/>
      <c r="I89" s="367"/>
      <c r="J89" s="356"/>
      <c r="K89" s="356"/>
      <c r="L89" s="356"/>
      <c r="M89" s="365"/>
      <c r="N89" s="363"/>
    </row>
    <row r="90" spans="1:14" ht="15" customHeight="1">
      <c r="A90" s="677"/>
      <c r="B90" s="345" t="str">
        <f>Idiomas!D150</f>
        <v>3º GRUPO C</v>
      </c>
      <c r="C90" s="335" t="str">
        <f ca="1">IF(OR(SUM(WORLDCUP!$AN$22:$AN$25)=12,WORLDCUP!$AJ$99=144),WORLDCUP!AL24,B90)</f>
        <v>3º GRUPO C</v>
      </c>
      <c r="D90" s="674"/>
      <c r="E90" s="356"/>
      <c r="F90" s="356"/>
      <c r="G90" s="356"/>
      <c r="H90" s="356"/>
      <c r="I90" s="367"/>
      <c r="J90" s="356"/>
      <c r="K90" s="356"/>
      <c r="L90" s="356"/>
      <c r="M90" s="365"/>
      <c r="N90" s="363"/>
    </row>
    <row r="91" spans="1:14" ht="15" customHeight="1">
      <c r="A91" s="677"/>
      <c r="B91" s="345" t="str">
        <f>Idiomas!D151</f>
        <v>4º GRUPO C</v>
      </c>
      <c r="C91" s="335" t="str">
        <f ca="1">IF(OR(SUM(WORLDCUP!$AN$22:$AN$25)=12,WORLDCUP!$AJ$99=144),WORLDCUP!AL25,B91)</f>
        <v>4º GRUPO C</v>
      </c>
      <c r="D91" s="674"/>
      <c r="E91" s="356"/>
      <c r="F91" s="356"/>
      <c r="G91" s="356"/>
      <c r="H91" s="356"/>
      <c r="I91" s="367"/>
      <c r="J91" s="356"/>
      <c r="K91" s="356"/>
      <c r="L91" s="356"/>
      <c r="M91" s="365"/>
      <c r="N91" s="363"/>
    </row>
    <row r="92" spans="1:14" ht="15" customHeight="1">
      <c r="A92" s="676" t="s">
        <v>74</v>
      </c>
      <c r="B92" s="343" t="str">
        <f>Idiomas!D152</f>
        <v>1º GRUPO D</v>
      </c>
      <c r="C92" s="335" t="str">
        <f ca="1">IF(OR(SUM(WORLDCUP!$AN$30:$AN$33)=12,WORLDCUP!$AJ$99=144),WORLDCUP!AL30,B92)</f>
        <v>1º GRUPO D</v>
      </c>
      <c r="D92" s="674"/>
      <c r="E92" s="356"/>
      <c r="F92" s="356"/>
      <c r="G92" s="356"/>
      <c r="H92" s="356"/>
      <c r="I92" s="367"/>
      <c r="J92" s="356"/>
      <c r="K92" s="356"/>
      <c r="L92" s="356"/>
      <c r="M92" s="365"/>
      <c r="N92" s="363"/>
    </row>
    <row r="93" spans="1:14" ht="15" customHeight="1">
      <c r="A93" s="676"/>
      <c r="B93" s="343" t="str">
        <f>Idiomas!D153</f>
        <v>2º GRUPO D</v>
      </c>
      <c r="C93" s="335" t="str">
        <f ca="1">IF(OR(SUM(WORLDCUP!$AN$30:$AN$33)=12,WORLDCUP!$AJ$99=144),WORLDCUP!AL31,B93)</f>
        <v>2º GRUPO D</v>
      </c>
      <c r="D93" s="674"/>
      <c r="E93" s="356"/>
      <c r="F93" s="356"/>
      <c r="G93" s="356"/>
      <c r="H93" s="356"/>
      <c r="I93" s="367"/>
      <c r="J93" s="356"/>
      <c r="K93" s="356"/>
      <c r="L93" s="356"/>
      <c r="M93" s="365"/>
      <c r="N93" s="363"/>
    </row>
    <row r="94" spans="1:14" ht="15" customHeight="1">
      <c r="A94" s="676"/>
      <c r="B94" s="343" t="str">
        <f>Idiomas!D154</f>
        <v>3º GRUPO D</v>
      </c>
      <c r="C94" s="335" t="str">
        <f ca="1">IF(OR(SUM(WORLDCUP!$AN$30:$AN$33)=12,WORLDCUP!$AJ$99=144),WORLDCUP!AL32,B94)</f>
        <v>3º GRUPO D</v>
      </c>
      <c r="D94" s="674"/>
      <c r="E94" s="356"/>
      <c r="F94" s="356"/>
      <c r="G94" s="356"/>
      <c r="H94" s="356"/>
      <c r="I94" s="367"/>
      <c r="J94" s="356"/>
      <c r="K94" s="356"/>
      <c r="L94" s="356"/>
      <c r="M94" s="365"/>
      <c r="N94" s="363"/>
    </row>
    <row r="95" spans="1:14" ht="15" customHeight="1">
      <c r="A95" s="676"/>
      <c r="B95" s="343" t="str">
        <f>Idiomas!D155</f>
        <v>4º GRUPO D</v>
      </c>
      <c r="C95" s="335" t="str">
        <f ca="1">IF(OR(SUM(WORLDCUP!$AN$30:$AN$33)=12,WORLDCUP!$AJ$99=144),WORLDCUP!AL33,B95)</f>
        <v>4º GRUPO D</v>
      </c>
      <c r="D95" s="674"/>
      <c r="E95" s="356"/>
      <c r="F95" s="356"/>
      <c r="G95" s="356"/>
      <c r="H95" s="356"/>
      <c r="I95" s="367"/>
      <c r="J95" s="356"/>
      <c r="K95" s="356"/>
      <c r="L95" s="356"/>
      <c r="M95" s="365"/>
      <c r="N95" s="363"/>
    </row>
    <row r="96" spans="1:14" ht="15" customHeight="1">
      <c r="A96" s="677" t="s">
        <v>3</v>
      </c>
      <c r="B96" s="345" t="str">
        <f>Idiomas!D156</f>
        <v>1º GRUPO E</v>
      </c>
      <c r="C96" s="335" t="str">
        <f ca="1">IF(OR(SUM(WORLDCUP!$AN$38:$AN$41)=12,WORLDCUP!$AJ$99=144),WORLDCUP!AL38,B96)</f>
        <v>1º GRUPO E</v>
      </c>
      <c r="D96" s="674"/>
      <c r="E96" s="356"/>
      <c r="F96" s="356"/>
      <c r="G96" s="356"/>
      <c r="H96" s="356"/>
      <c r="I96" s="367"/>
      <c r="J96" s="356"/>
      <c r="K96" s="356"/>
      <c r="L96" s="356"/>
      <c r="M96" s="365"/>
      <c r="N96" s="363"/>
    </row>
    <row r="97" spans="1:14" ht="15" customHeight="1">
      <c r="A97" s="677"/>
      <c r="B97" s="345" t="str">
        <f>Idiomas!D157</f>
        <v>2º GRUPO E</v>
      </c>
      <c r="C97" s="335" t="str">
        <f ca="1">IF(OR(SUM(WORLDCUP!$AN$38:$AN$41)=12,WORLDCUP!$AJ$99=144),WORLDCUP!AL39,B97)</f>
        <v>2º GRUPO E</v>
      </c>
      <c r="D97" s="674"/>
      <c r="E97" s="356"/>
      <c r="F97" s="356"/>
      <c r="G97" s="356"/>
      <c r="H97" s="356"/>
      <c r="I97" s="367"/>
      <c r="J97" s="356"/>
      <c r="K97" s="356"/>
      <c r="L97" s="356"/>
      <c r="M97" s="365"/>
      <c r="N97" s="363"/>
    </row>
    <row r="98" spans="1:14" ht="15" customHeight="1">
      <c r="A98" s="677"/>
      <c r="B98" s="345" t="str">
        <f>Idiomas!D158</f>
        <v>3º GRUPO E</v>
      </c>
      <c r="C98" s="335" t="str">
        <f ca="1">IF(OR(SUM(WORLDCUP!$AN$38:$AN$41)=12,WORLDCUP!$AJ$99=144),WORLDCUP!AL40,B98)</f>
        <v>3º GRUPO E</v>
      </c>
      <c r="D98" s="674"/>
      <c r="E98" s="356"/>
      <c r="F98" s="356"/>
      <c r="G98" s="356"/>
      <c r="H98" s="356"/>
      <c r="I98" s="367"/>
      <c r="J98" s="356"/>
      <c r="K98" s="356"/>
      <c r="L98" s="356"/>
      <c r="M98" s="365"/>
      <c r="N98" s="363"/>
    </row>
    <row r="99" spans="1:14" ht="15" customHeight="1">
      <c r="A99" s="677"/>
      <c r="B99" s="345" t="str">
        <f>Idiomas!D159</f>
        <v>4º GRUPO E</v>
      </c>
      <c r="C99" s="335" t="str">
        <f ca="1">IF(OR(SUM(WORLDCUP!$AN$38:$AN$41)=12,WORLDCUP!$AJ$99=144),WORLDCUP!AL41,B99)</f>
        <v>4º GRUPO E</v>
      </c>
      <c r="D99" s="674"/>
      <c r="E99" s="356"/>
      <c r="F99" s="356"/>
      <c r="G99" s="356"/>
      <c r="H99" s="356"/>
      <c r="I99" s="367"/>
      <c r="J99" s="356"/>
      <c r="K99" s="356"/>
      <c r="L99" s="356"/>
      <c r="M99" s="365"/>
      <c r="N99" s="363"/>
    </row>
    <row r="100" spans="1:14" ht="15" customHeight="1">
      <c r="A100" s="676" t="s">
        <v>4</v>
      </c>
      <c r="B100" s="343" t="str">
        <f>Idiomas!D160</f>
        <v>1º GRUPO F</v>
      </c>
      <c r="C100" s="335" t="str">
        <f ca="1">IF(OR(SUM(WORLDCUP!$AN$46:$AN$49)=12,WORLDCUP!$AJ$99=144),WORLDCUP!AL46,B100)</f>
        <v>1º GRUPO F</v>
      </c>
      <c r="D100" s="674"/>
      <c r="E100" s="356"/>
      <c r="F100" s="356"/>
      <c r="G100" s="356"/>
      <c r="H100" s="356"/>
      <c r="I100" s="367"/>
      <c r="J100" s="356"/>
      <c r="K100" s="356"/>
      <c r="L100" s="356"/>
      <c r="M100" s="365"/>
      <c r="N100" s="363"/>
    </row>
    <row r="101" spans="1:14" ht="15" customHeight="1">
      <c r="A101" s="676"/>
      <c r="B101" s="343" t="str">
        <f>Idiomas!D161</f>
        <v>2º GRUPO F</v>
      </c>
      <c r="C101" s="335" t="str">
        <f ca="1">IF(OR(SUM(WORLDCUP!$AN$46:$AN$49)=12,WORLDCUP!$AJ$99=144),WORLDCUP!AL47,B101)</f>
        <v>2º GRUPO F</v>
      </c>
      <c r="D101" s="674"/>
      <c r="E101" s="356"/>
      <c r="F101" s="356"/>
      <c r="G101" s="356"/>
      <c r="H101" s="356"/>
      <c r="I101" s="367"/>
      <c r="J101" s="356"/>
      <c r="K101" s="356"/>
      <c r="L101" s="356"/>
      <c r="M101" s="365"/>
      <c r="N101" s="363"/>
    </row>
    <row r="102" spans="1:14" ht="15" customHeight="1">
      <c r="A102" s="676"/>
      <c r="B102" s="343" t="str">
        <f>Idiomas!D162</f>
        <v>3º GRUPO F</v>
      </c>
      <c r="C102" s="335" t="str">
        <f ca="1">IF(OR(SUM(WORLDCUP!$AN$46:$AN$49)=12,WORLDCUP!$AJ$99=144),WORLDCUP!AL48,B102)</f>
        <v>3º GRUPO F</v>
      </c>
      <c r="D102" s="674"/>
      <c r="E102" s="356"/>
      <c r="F102" s="356"/>
      <c r="G102" s="356"/>
      <c r="H102" s="356"/>
      <c r="I102" s="367"/>
      <c r="J102" s="356"/>
      <c r="K102" s="356"/>
      <c r="L102" s="356"/>
      <c r="M102" s="365"/>
      <c r="N102" s="363"/>
    </row>
    <row r="103" spans="1:14" ht="15" customHeight="1">
      <c r="A103" s="676"/>
      <c r="B103" s="343" t="str">
        <f>Idiomas!D163</f>
        <v>4º GRUPO F</v>
      </c>
      <c r="C103" s="335" t="str">
        <f ca="1">IF(OR(SUM(WORLDCUP!$AN$46:$AN$49)=12,WORLDCUP!$AJ$99=144),WORLDCUP!AL49,B103)</f>
        <v>4º GRUPO F</v>
      </c>
      <c r="D103" s="674"/>
      <c r="E103" s="356"/>
      <c r="F103" s="356"/>
      <c r="G103" s="356"/>
      <c r="H103" s="356"/>
      <c r="I103" s="367"/>
      <c r="J103" s="356"/>
      <c r="K103" s="356"/>
      <c r="L103" s="356"/>
      <c r="M103" s="365"/>
      <c r="N103" s="363"/>
    </row>
    <row r="104" spans="1:14" ht="15" customHeight="1">
      <c r="A104" s="677" t="s">
        <v>6</v>
      </c>
      <c r="B104" s="345" t="str">
        <f>Idiomas!D164</f>
        <v>1º GRUPO G</v>
      </c>
      <c r="C104" s="335" t="str">
        <f ca="1">IF(OR(SUM(WORLDCUP!$AN$54:$AN$57)=12,WORLDCUP!$AJ$99=144),WORLDCUP!AL54,B104)</f>
        <v>1º GRUPO G</v>
      </c>
      <c r="D104" s="674"/>
      <c r="E104" s="356"/>
      <c r="F104" s="356"/>
      <c r="G104" s="356"/>
      <c r="H104" s="356"/>
      <c r="I104" s="367"/>
      <c r="J104" s="356"/>
      <c r="K104" s="356"/>
      <c r="L104" s="356"/>
      <c r="M104" s="365"/>
      <c r="N104" s="363"/>
    </row>
    <row r="105" spans="1:14" ht="15" customHeight="1">
      <c r="A105" s="677"/>
      <c r="B105" s="345" t="str">
        <f>Idiomas!D165</f>
        <v>2º GRUPO G</v>
      </c>
      <c r="C105" s="335" t="str">
        <f ca="1">IF(OR(SUM(WORLDCUP!$AN$54:$AN$57)=12,WORLDCUP!$AJ$99=144),WORLDCUP!AL55,B105)</f>
        <v>2º GRUPO G</v>
      </c>
      <c r="D105" s="674"/>
      <c r="E105" s="356"/>
      <c r="F105" s="356"/>
      <c r="G105" s="356"/>
      <c r="H105" s="356"/>
      <c r="I105" s="367"/>
      <c r="J105" s="356"/>
      <c r="K105" s="356"/>
      <c r="L105" s="356"/>
      <c r="M105" s="365"/>
      <c r="N105" s="363"/>
    </row>
    <row r="106" spans="1:14" ht="15" customHeight="1">
      <c r="A106" s="677"/>
      <c r="B106" s="345" t="str">
        <f>Idiomas!D166</f>
        <v>3º GRUPO G</v>
      </c>
      <c r="C106" s="335" t="str">
        <f ca="1">IF(OR(SUM(WORLDCUP!$AN$54:$AN$57)=12,WORLDCUP!$AJ$99=144),WORLDCUP!AL56,B106)</f>
        <v>3º GRUPO G</v>
      </c>
      <c r="D106" s="674"/>
      <c r="E106" s="356"/>
      <c r="F106" s="356"/>
      <c r="G106" s="356"/>
      <c r="H106" s="356"/>
      <c r="I106" s="367"/>
      <c r="J106" s="356"/>
      <c r="K106" s="356"/>
      <c r="L106" s="356"/>
      <c r="M106" s="365"/>
      <c r="N106" s="363"/>
    </row>
    <row r="107" spans="1:14" ht="15" customHeight="1">
      <c r="A107" s="677"/>
      <c r="B107" s="345" t="str">
        <f>Idiomas!D167</f>
        <v>4º GRUPO G</v>
      </c>
      <c r="C107" s="335" t="str">
        <f ca="1">IF(OR(SUM(WORLDCUP!$AN$54:$AN$57)=12,WORLDCUP!$AJ$99=144),WORLDCUP!AL57,B107)</f>
        <v>4º GRUPO G</v>
      </c>
      <c r="D107" s="674"/>
      <c r="E107" s="356"/>
      <c r="F107" s="356"/>
      <c r="G107" s="356"/>
      <c r="H107" s="356"/>
      <c r="I107" s="367"/>
      <c r="J107" s="356"/>
      <c r="K107" s="356"/>
      <c r="L107" s="356"/>
      <c r="M107" s="365"/>
      <c r="N107" s="363"/>
    </row>
    <row r="108" spans="1:14" ht="15" customHeight="1">
      <c r="A108" s="676" t="s">
        <v>447</v>
      </c>
      <c r="B108" s="343" t="str">
        <f>Idiomas!D168</f>
        <v>1º GRUPO H</v>
      </c>
      <c r="C108" s="335" t="str">
        <f ca="1">IF(OR(SUM(WORLDCUP!$AN$62:$AN$65)=12,WORLDCUP!$AJ$99=144),WORLDCUP!AL62,B108)</f>
        <v>1º GRUPO H</v>
      </c>
      <c r="D108" s="674"/>
      <c r="E108" s="356"/>
      <c r="F108" s="356"/>
      <c r="G108" s="356"/>
      <c r="H108" s="356"/>
      <c r="I108" s="367"/>
      <c r="J108" s="356"/>
      <c r="K108" s="356"/>
      <c r="L108" s="356"/>
      <c r="M108" s="365"/>
      <c r="N108" s="363"/>
    </row>
    <row r="109" spans="1:14" ht="15" customHeight="1">
      <c r="A109" s="676"/>
      <c r="B109" s="343" t="str">
        <f>Idiomas!D169</f>
        <v>2º GRUPO H</v>
      </c>
      <c r="C109" s="335" t="str">
        <f ca="1">IF(OR(SUM(WORLDCUP!$AN$62:$AN$65)=12,WORLDCUP!$AJ$99=144),WORLDCUP!AL63,B109)</f>
        <v>2º GRUPO H</v>
      </c>
      <c r="D109" s="674"/>
      <c r="E109" s="356"/>
      <c r="F109" s="356"/>
      <c r="G109" s="356"/>
      <c r="H109" s="356"/>
      <c r="I109" s="367"/>
      <c r="J109" s="356"/>
      <c r="K109" s="356"/>
      <c r="L109" s="356"/>
      <c r="M109" s="365"/>
      <c r="N109" s="363"/>
    </row>
    <row r="110" spans="1:14" ht="15" customHeight="1">
      <c r="A110" s="676"/>
      <c r="B110" s="343" t="str">
        <f>Idiomas!D170</f>
        <v>3º GRUPO H</v>
      </c>
      <c r="C110" s="335" t="str">
        <f ca="1">IF(OR(SUM(WORLDCUP!$AN$62:$AN$65)=12,WORLDCUP!$AJ$99=144),WORLDCUP!AL64,B110)</f>
        <v>3º GRUPO H</v>
      </c>
      <c r="D110" s="674"/>
      <c r="E110" s="356"/>
      <c r="F110" s="356"/>
      <c r="G110" s="356"/>
      <c r="H110" s="356"/>
      <c r="I110" s="367"/>
      <c r="J110" s="356"/>
      <c r="K110" s="356"/>
      <c r="L110" s="356"/>
      <c r="M110" s="365"/>
      <c r="N110" s="363"/>
    </row>
    <row r="111" spans="1:14" ht="15" customHeight="1">
      <c r="A111" s="676"/>
      <c r="B111" s="343" t="str">
        <f>Idiomas!D171</f>
        <v>4º GRUPO H</v>
      </c>
      <c r="C111" s="335" t="str">
        <f ca="1">IF(OR(SUM(WORLDCUP!$AN$62:$AN$65)=12,WORLDCUP!$AJ$99=144),WORLDCUP!AL65,B111)</f>
        <v>4º GRUPO H</v>
      </c>
      <c r="D111" s="674"/>
      <c r="E111" s="356"/>
      <c r="F111" s="356"/>
      <c r="G111" s="356"/>
      <c r="H111" s="356"/>
      <c r="I111" s="367"/>
      <c r="J111" s="356"/>
      <c r="K111" s="356"/>
      <c r="L111" s="356"/>
      <c r="M111" s="365"/>
      <c r="N111" s="363"/>
    </row>
    <row r="112" spans="1:14" ht="15" customHeight="1">
      <c r="A112" s="677" t="s">
        <v>448</v>
      </c>
      <c r="B112" s="345" t="str">
        <f>Idiomas!D172</f>
        <v>1º GRUPO I</v>
      </c>
      <c r="C112" s="335" t="str">
        <f ca="1">IF(OR(SUM(WORLDCUP!$AN$70:$AN$73)=12,WORLDCUP!$AJ$99=144),WORLDCUP!AL70,B112)</f>
        <v>1º GRUPO I</v>
      </c>
      <c r="D112" s="674"/>
      <c r="E112" s="356"/>
      <c r="F112" s="356"/>
      <c r="G112" s="356"/>
      <c r="H112" s="356"/>
      <c r="I112" s="367"/>
      <c r="J112" s="356"/>
      <c r="K112" s="356"/>
      <c r="L112" s="356"/>
      <c r="M112" s="365"/>
      <c r="N112" s="363"/>
    </row>
    <row r="113" spans="1:14" ht="15" customHeight="1">
      <c r="A113" s="677"/>
      <c r="B113" s="345" t="str">
        <f>Idiomas!D173</f>
        <v>2º GRUPO I</v>
      </c>
      <c r="C113" s="335" t="str">
        <f ca="1">IF(OR(SUM(WORLDCUP!$AN$70:$AN$73)=12,WORLDCUP!$AJ$99=144),WORLDCUP!AL71,B113)</f>
        <v>2º GRUPO I</v>
      </c>
      <c r="D113" s="674"/>
      <c r="E113" s="356"/>
      <c r="F113" s="356"/>
      <c r="G113" s="356"/>
      <c r="H113" s="356"/>
      <c r="I113" s="367"/>
      <c r="J113" s="356"/>
      <c r="K113" s="356"/>
      <c r="L113" s="356"/>
      <c r="M113" s="365"/>
      <c r="N113" s="363"/>
    </row>
    <row r="114" spans="1:14" ht="15" customHeight="1">
      <c r="A114" s="677"/>
      <c r="B114" s="345" t="str">
        <f>Idiomas!D174</f>
        <v>3º GRUPO I</v>
      </c>
      <c r="C114" s="335" t="str">
        <f ca="1">IF(OR(SUM(WORLDCUP!$AN$70:$AN$73)=12,WORLDCUP!$AJ$99=144),WORLDCUP!AL72,B114)</f>
        <v>3º GRUPO I</v>
      </c>
      <c r="D114" s="674"/>
      <c r="E114" s="356"/>
      <c r="F114" s="356"/>
      <c r="G114" s="356"/>
      <c r="H114" s="356"/>
      <c r="I114" s="367"/>
      <c r="J114" s="356"/>
      <c r="K114" s="356"/>
      <c r="L114" s="356"/>
      <c r="M114" s="365"/>
      <c r="N114" s="363"/>
    </row>
    <row r="115" spans="1:14" ht="15" customHeight="1">
      <c r="A115" s="677"/>
      <c r="B115" s="345" t="str">
        <f>Idiomas!D175</f>
        <v>4º GRUPO I</v>
      </c>
      <c r="C115" s="335" t="str">
        <f ca="1">IF(OR(SUM(WORLDCUP!$AN$70:$AN$73)=12,WORLDCUP!$AJ$99=144),WORLDCUP!AL73,B115)</f>
        <v>4º GRUPO I</v>
      </c>
      <c r="D115" s="674"/>
      <c r="E115" s="356"/>
      <c r="F115" s="356"/>
      <c r="G115" s="356"/>
      <c r="H115" s="356"/>
      <c r="I115" s="367"/>
      <c r="J115" s="356"/>
      <c r="K115" s="356"/>
      <c r="L115" s="356"/>
      <c r="M115" s="365"/>
      <c r="N115" s="363"/>
    </row>
    <row r="116" spans="1:14" ht="15" customHeight="1">
      <c r="A116" s="676" t="s">
        <v>5</v>
      </c>
      <c r="B116" s="343" t="str">
        <f>Idiomas!D176</f>
        <v>1º GRUPO J</v>
      </c>
      <c r="C116" s="335" t="str">
        <f ca="1">IF(OR(SUM(WORLDCUP!$AN$78:$AN$81)=12,WORLDCUP!$AJ$99=144),WORLDCUP!AL78,B116)</f>
        <v>1º GRUPO J</v>
      </c>
      <c r="D116" s="674"/>
      <c r="E116" s="356"/>
      <c r="F116" s="356"/>
      <c r="G116" s="356"/>
      <c r="H116" s="356"/>
      <c r="I116" s="367"/>
      <c r="J116" s="356"/>
      <c r="K116" s="356"/>
      <c r="L116" s="356"/>
      <c r="M116" s="365"/>
      <c r="N116" s="363"/>
    </row>
    <row r="117" spans="1:14" ht="15" customHeight="1">
      <c r="A117" s="676"/>
      <c r="B117" s="343" t="str">
        <f>Idiomas!D177</f>
        <v>2º GRUPO J</v>
      </c>
      <c r="C117" s="335" t="str">
        <f ca="1">IF(OR(SUM(WORLDCUP!$AN$78:$AN$81)=12,WORLDCUP!$AJ$99=144),WORLDCUP!AL79,B117)</f>
        <v>2º GRUPO J</v>
      </c>
      <c r="D117" s="674"/>
      <c r="E117" s="356"/>
      <c r="F117" s="356"/>
      <c r="G117" s="356"/>
      <c r="H117" s="356"/>
      <c r="I117" s="367"/>
      <c r="J117" s="356"/>
      <c r="K117" s="356"/>
      <c r="L117" s="356"/>
      <c r="M117" s="365"/>
      <c r="N117" s="363"/>
    </row>
    <row r="118" spans="1:14" ht="15" customHeight="1">
      <c r="A118" s="676"/>
      <c r="B118" s="343" t="str">
        <f>Idiomas!D178</f>
        <v>3º GRUPO J</v>
      </c>
      <c r="C118" s="335" t="str">
        <f ca="1">IF(OR(SUM(WORLDCUP!$AN$78:$AN$81)=12,WORLDCUP!$AJ$99=144),WORLDCUP!AL80,B118)</f>
        <v>3º GRUPO J</v>
      </c>
      <c r="D118" s="674"/>
      <c r="E118" s="356"/>
      <c r="F118" s="356"/>
      <c r="G118" s="356"/>
      <c r="H118" s="356"/>
      <c r="I118" s="367"/>
      <c r="J118" s="356"/>
      <c r="K118" s="356"/>
      <c r="L118" s="356"/>
      <c r="M118" s="365"/>
      <c r="N118" s="363"/>
    </row>
    <row r="119" spans="1:14" ht="15" customHeight="1">
      <c r="A119" s="676"/>
      <c r="B119" s="343" t="str">
        <f>Idiomas!D179</f>
        <v>4º GRUPO J</v>
      </c>
      <c r="C119" s="335" t="str">
        <f ca="1">IF(OR(SUM(WORLDCUP!$AN$78:$AN$81)=12,WORLDCUP!$AJ$99=144),WORLDCUP!AL81,B119)</f>
        <v>4º GRUPO J</v>
      </c>
      <c r="D119" s="674"/>
      <c r="E119" s="356"/>
      <c r="F119" s="356"/>
      <c r="G119" s="356"/>
      <c r="H119" s="356"/>
      <c r="I119" s="367"/>
      <c r="J119" s="356"/>
      <c r="K119" s="356"/>
      <c r="L119" s="356"/>
      <c r="M119" s="365"/>
      <c r="N119" s="363"/>
    </row>
    <row r="120" spans="1:14" ht="15" customHeight="1">
      <c r="A120" s="677" t="s">
        <v>449</v>
      </c>
      <c r="B120" s="345" t="str">
        <f>Idiomas!D180</f>
        <v>1º GRUPO K</v>
      </c>
      <c r="C120" s="335" t="str">
        <f ca="1">IF(OR(SUM(WORLDCUP!$AN$86:$AN$89)=12,WORLDCUP!$AJ$99=144),WORLDCUP!AL86,B120)</f>
        <v>1º GRUPO K</v>
      </c>
      <c r="D120" s="674"/>
      <c r="E120" s="356"/>
      <c r="F120" s="356"/>
      <c r="G120" s="356"/>
      <c r="H120" s="356"/>
      <c r="I120" s="367"/>
      <c r="J120" s="356"/>
      <c r="K120" s="356"/>
      <c r="L120" s="356"/>
      <c r="M120" s="365"/>
      <c r="N120" s="363"/>
    </row>
    <row r="121" spans="1:14" ht="15" customHeight="1">
      <c r="A121" s="677"/>
      <c r="B121" s="345" t="str">
        <f>Idiomas!D181</f>
        <v>2º GRUPO K</v>
      </c>
      <c r="C121" s="335" t="str">
        <f ca="1">IF(OR(SUM(WORLDCUP!$AN$86:$AN$89)=12,WORLDCUP!$AJ$99=144),WORLDCUP!AL87,B121)</f>
        <v>2º GRUPO K</v>
      </c>
      <c r="D121" s="674"/>
      <c r="E121" s="356"/>
      <c r="F121" s="356"/>
      <c r="G121" s="356"/>
      <c r="H121" s="356"/>
      <c r="I121" s="367"/>
      <c r="J121" s="356"/>
      <c r="K121" s="356"/>
      <c r="L121" s="356"/>
      <c r="M121" s="365"/>
      <c r="N121" s="363"/>
    </row>
    <row r="122" spans="1:14" ht="15" customHeight="1">
      <c r="A122" s="677"/>
      <c r="B122" s="345" t="str">
        <f>Idiomas!D182</f>
        <v>3º GRUPO K</v>
      </c>
      <c r="C122" s="335" t="str">
        <f ca="1">IF(OR(SUM(WORLDCUP!$AN$86:$AN$89)=12,WORLDCUP!$AJ$99=144),WORLDCUP!AL88,B122)</f>
        <v>3º GRUPO K</v>
      </c>
      <c r="D122" s="674"/>
      <c r="E122" s="356"/>
      <c r="F122" s="356"/>
      <c r="G122" s="356"/>
      <c r="H122" s="356"/>
      <c r="I122" s="367"/>
      <c r="J122" s="356"/>
      <c r="K122" s="356"/>
      <c r="L122" s="356"/>
      <c r="M122" s="365"/>
      <c r="N122" s="363"/>
    </row>
    <row r="123" spans="1:14" ht="15" customHeight="1">
      <c r="A123" s="677"/>
      <c r="B123" s="345" t="str">
        <f>Idiomas!D183</f>
        <v>4º GRUPO K</v>
      </c>
      <c r="C123" s="335" t="str">
        <f ca="1">IF(OR(SUM(WORLDCUP!$AN$86:$AN$89)=12,WORLDCUP!$AJ$99=144),WORLDCUP!AL89,B123)</f>
        <v>4º GRUPO K</v>
      </c>
      <c r="D123" s="674"/>
      <c r="E123" s="356"/>
      <c r="F123" s="356"/>
      <c r="G123" s="356"/>
      <c r="H123" s="356"/>
      <c r="I123" s="367"/>
      <c r="J123" s="356"/>
      <c r="K123" s="356"/>
      <c r="L123" s="356"/>
      <c r="M123" s="365"/>
      <c r="N123" s="363"/>
    </row>
    <row r="124" spans="1:14" ht="15" customHeight="1">
      <c r="A124" s="676" t="s">
        <v>247</v>
      </c>
      <c r="B124" s="343" t="str">
        <f>Idiomas!D184</f>
        <v>1º GRUPO L</v>
      </c>
      <c r="C124" s="335" t="str">
        <f ca="1">IF(OR(SUM(WORLDCUP!$AN$94:$AN$97)=12,WORLDCUP!$AJ$99=144),WORLDCUP!AL94,B124)</f>
        <v>1º GRUPO L</v>
      </c>
      <c r="D124" s="674"/>
      <c r="E124" s="356"/>
      <c r="F124" s="356"/>
      <c r="G124" s="356"/>
      <c r="H124" s="356"/>
      <c r="I124" s="367"/>
      <c r="J124" s="356"/>
      <c r="K124" s="356"/>
      <c r="L124" s="356"/>
      <c r="M124" s="365"/>
      <c r="N124" s="363"/>
    </row>
    <row r="125" spans="1:14" ht="15" customHeight="1">
      <c r="A125" s="676"/>
      <c r="B125" s="343" t="str">
        <f>Idiomas!D185</f>
        <v>2º GRUPO L</v>
      </c>
      <c r="C125" s="335" t="str">
        <f ca="1">IF(OR(SUM(WORLDCUP!$AN$94:$AN$97)=12,WORLDCUP!$AJ$99=144),WORLDCUP!AL95,B125)</f>
        <v>2º GRUPO L</v>
      </c>
      <c r="D125" s="674"/>
      <c r="E125" s="356"/>
      <c r="F125" s="356"/>
      <c r="G125" s="356"/>
      <c r="H125" s="356"/>
      <c r="I125" s="367"/>
      <c r="J125" s="356"/>
      <c r="K125" s="356"/>
      <c r="L125" s="356"/>
      <c r="M125" s="365"/>
      <c r="N125" s="363"/>
    </row>
    <row r="126" spans="1:14" ht="15" customHeight="1">
      <c r="A126" s="676"/>
      <c r="B126" s="343" t="str">
        <f>Idiomas!D186</f>
        <v>3º GRUPO L</v>
      </c>
      <c r="C126" s="335" t="str">
        <f ca="1">IF(OR(SUM(WORLDCUP!$AN$94:$AN$97)=12,WORLDCUP!$AJ$99=144),WORLDCUP!AL96,B126)</f>
        <v>3º GRUPO L</v>
      </c>
      <c r="D126" s="674"/>
      <c r="E126" s="356"/>
      <c r="F126" s="356"/>
      <c r="G126" s="356"/>
      <c r="H126" s="356"/>
      <c r="I126" s="367"/>
      <c r="J126" s="356"/>
      <c r="K126" s="356"/>
      <c r="L126" s="356"/>
      <c r="M126" s="365"/>
      <c r="N126" s="363"/>
    </row>
    <row r="127" spans="1:14" ht="15" customHeight="1">
      <c r="A127" s="676"/>
      <c r="B127" s="343" t="str">
        <f>Idiomas!D187</f>
        <v>4º GRUPO L</v>
      </c>
      <c r="C127" s="335" t="str">
        <f ca="1">IF(OR(SUM(WORLDCUP!$AN$94:$AN$97)=12,WORLDCUP!$AJ$99=144),WORLDCUP!AL97,B127)</f>
        <v>4º GRUPO L</v>
      </c>
      <c r="D127" s="674"/>
      <c r="E127" s="356"/>
      <c r="F127" s="356"/>
      <c r="G127" s="356"/>
      <c r="H127" s="356"/>
      <c r="I127" s="367"/>
      <c r="J127" s="356"/>
      <c r="K127" s="356"/>
      <c r="L127" s="356"/>
      <c r="M127" s="365"/>
      <c r="N127" s="363"/>
    </row>
    <row r="128" spans="1:14" ht="15" customHeight="1">
      <c r="A128" s="339"/>
      <c r="B128" s="339"/>
      <c r="C128" s="336"/>
      <c r="D128" s="674"/>
      <c r="E128" s="356"/>
      <c r="F128" s="356"/>
      <c r="G128" s="356"/>
      <c r="H128" s="356"/>
      <c r="I128" s="367"/>
      <c r="J128" s="356"/>
      <c r="K128" s="356"/>
      <c r="L128" s="356"/>
      <c r="M128" s="365"/>
      <c r="N128" s="363"/>
    </row>
    <row r="129" spans="1:14" ht="19" customHeight="1">
      <c r="A129" s="339"/>
      <c r="B129" s="344" t="str">
        <f>Idiomas!D127</f>
        <v>CLASIFICADOS PARA DIECISEISAVOS</v>
      </c>
      <c r="C129" s="336"/>
      <c r="D129" s="674"/>
      <c r="E129" s="356"/>
      <c r="F129" s="356"/>
      <c r="G129" s="356"/>
      <c r="H129" s="356"/>
      <c r="I129" s="367"/>
      <c r="J129" s="356"/>
      <c r="K129" s="356"/>
      <c r="L129" s="356"/>
      <c r="M129" s="365"/>
      <c r="N129" s="363"/>
    </row>
    <row r="130" spans="1:14" ht="15" customHeight="1">
      <c r="A130" s="671" t="s">
        <v>493</v>
      </c>
      <c r="B130" s="346" t="str">
        <f>Idiomas!$D$188</f>
        <v>Dieciseisavofinalista</v>
      </c>
      <c r="C130" s="335" t="str">
        <f ca="1">WORLDCUP!AA101</f>
        <v>2A</v>
      </c>
      <c r="D130" s="674"/>
      <c r="E130" s="356"/>
      <c r="F130" s="356"/>
      <c r="G130" s="356"/>
      <c r="H130" s="356"/>
      <c r="I130" s="367"/>
      <c r="J130" s="356"/>
      <c r="K130" s="356"/>
      <c r="L130" s="356"/>
      <c r="M130" s="365"/>
      <c r="N130" s="363"/>
    </row>
    <row r="131" spans="1:14" ht="15" customHeight="1">
      <c r="A131" s="671"/>
      <c r="B131" s="346" t="str">
        <f>B130</f>
        <v>Dieciseisavofinalista</v>
      </c>
      <c r="C131" s="335" t="str">
        <f ca="1">WORLDCUP!AA102</f>
        <v>1C</v>
      </c>
      <c r="D131" s="674"/>
      <c r="E131" s="356"/>
      <c r="F131" s="356"/>
      <c r="G131" s="356"/>
      <c r="H131" s="356"/>
      <c r="I131" s="367"/>
      <c r="J131" s="356"/>
      <c r="K131" s="356"/>
      <c r="L131" s="356"/>
      <c r="M131" s="365"/>
      <c r="N131" s="363"/>
    </row>
    <row r="132" spans="1:14" ht="15" customHeight="1">
      <c r="A132" s="671"/>
      <c r="B132" s="346" t="str">
        <f t="shared" ref="B132:B145" si="0">B131</f>
        <v>Dieciseisavofinalista</v>
      </c>
      <c r="C132" s="335" t="str">
        <f ca="1">WORLDCUP!AA103</f>
        <v>1E</v>
      </c>
      <c r="D132" s="674"/>
      <c r="E132" s="356"/>
      <c r="F132" s="356"/>
      <c r="G132" s="356"/>
      <c r="H132" s="356"/>
      <c r="I132" s="367"/>
      <c r="J132" s="356"/>
      <c r="K132" s="356"/>
      <c r="L132" s="356"/>
      <c r="M132" s="365"/>
      <c r="N132" s="363"/>
    </row>
    <row r="133" spans="1:14" ht="15" customHeight="1">
      <c r="A133" s="671"/>
      <c r="B133" s="346" t="str">
        <f t="shared" si="0"/>
        <v>Dieciseisavofinalista</v>
      </c>
      <c r="C133" s="335" t="str">
        <f ca="1">WORLDCUP!AA104</f>
        <v>1F</v>
      </c>
      <c r="D133" s="674"/>
      <c r="E133" s="356"/>
      <c r="F133" s="356"/>
      <c r="G133" s="356"/>
      <c r="H133" s="356"/>
      <c r="I133" s="367"/>
      <c r="J133" s="356"/>
      <c r="K133" s="356"/>
      <c r="L133" s="356"/>
      <c r="M133" s="365"/>
      <c r="N133" s="363"/>
    </row>
    <row r="134" spans="1:14" ht="15" customHeight="1">
      <c r="A134" s="671"/>
      <c r="B134" s="346" t="str">
        <f t="shared" si="0"/>
        <v>Dieciseisavofinalista</v>
      </c>
      <c r="C134" s="335" t="str">
        <f ca="1">WORLDCUP!AA105</f>
        <v>2E</v>
      </c>
      <c r="D134" s="674"/>
      <c r="E134" s="356"/>
      <c r="F134" s="356"/>
      <c r="G134" s="356"/>
      <c r="H134" s="356"/>
      <c r="I134" s="367"/>
      <c r="J134" s="356"/>
      <c r="K134" s="356"/>
      <c r="L134" s="356"/>
      <c r="M134" s="365"/>
      <c r="N134" s="363"/>
    </row>
    <row r="135" spans="1:14" ht="15" customHeight="1">
      <c r="A135" s="671"/>
      <c r="B135" s="346" t="str">
        <f t="shared" si="0"/>
        <v>Dieciseisavofinalista</v>
      </c>
      <c r="C135" s="335" t="str">
        <f ca="1">WORLDCUP!AA106</f>
        <v>1I</v>
      </c>
      <c r="D135" s="674"/>
      <c r="E135" s="356"/>
      <c r="F135" s="356"/>
      <c r="G135" s="356"/>
      <c r="H135" s="356"/>
      <c r="I135" s="367"/>
      <c r="J135" s="356"/>
      <c r="K135" s="356"/>
      <c r="L135" s="356"/>
      <c r="M135" s="365"/>
      <c r="N135" s="363"/>
    </row>
    <row r="136" spans="1:14" ht="15" customHeight="1">
      <c r="A136" s="671"/>
      <c r="B136" s="346" t="str">
        <f t="shared" si="0"/>
        <v>Dieciseisavofinalista</v>
      </c>
      <c r="C136" s="335" t="str">
        <f ca="1">WORLDCUP!AA107</f>
        <v>1A</v>
      </c>
      <c r="D136" s="674"/>
      <c r="E136" s="356"/>
      <c r="F136" s="356"/>
      <c r="G136" s="356"/>
      <c r="H136" s="356"/>
      <c r="I136" s="367"/>
      <c r="J136" s="356"/>
      <c r="K136" s="356"/>
      <c r="L136" s="356"/>
      <c r="M136" s="365"/>
      <c r="N136" s="363"/>
    </row>
    <row r="137" spans="1:14" ht="15" customHeight="1">
      <c r="A137" s="671"/>
      <c r="B137" s="346" t="str">
        <f t="shared" si="0"/>
        <v>Dieciseisavofinalista</v>
      </c>
      <c r="C137" s="335" t="str">
        <f ca="1">WORLDCUP!AA108</f>
        <v>1L</v>
      </c>
      <c r="D137" s="674"/>
      <c r="E137" s="356"/>
      <c r="F137" s="356"/>
      <c r="G137" s="356"/>
      <c r="H137" s="356"/>
      <c r="I137" s="367"/>
      <c r="J137" s="356"/>
      <c r="K137" s="356"/>
      <c r="L137" s="356"/>
      <c r="M137" s="365"/>
      <c r="N137" s="363"/>
    </row>
    <row r="138" spans="1:14" ht="15" customHeight="1">
      <c r="A138" s="671"/>
      <c r="B138" s="346" t="str">
        <f t="shared" si="0"/>
        <v>Dieciseisavofinalista</v>
      </c>
      <c r="C138" s="335" t="str">
        <f ca="1">WORLDCUP!AA109</f>
        <v>1G</v>
      </c>
      <c r="D138" s="674"/>
      <c r="E138" s="356"/>
      <c r="F138" s="356"/>
      <c r="G138" s="356"/>
      <c r="H138" s="356"/>
      <c r="I138" s="367"/>
      <c r="J138" s="356"/>
      <c r="K138" s="356"/>
      <c r="L138" s="356"/>
      <c r="M138" s="365"/>
      <c r="N138" s="363"/>
    </row>
    <row r="139" spans="1:14" ht="15" customHeight="1">
      <c r="A139" s="671"/>
      <c r="B139" s="346" t="str">
        <f t="shared" si="0"/>
        <v>Dieciseisavofinalista</v>
      </c>
      <c r="C139" s="335" t="str">
        <f ca="1">WORLDCUP!AA110</f>
        <v>1D</v>
      </c>
      <c r="D139" s="674"/>
      <c r="E139" s="356"/>
      <c r="F139" s="356"/>
      <c r="G139" s="356"/>
      <c r="H139" s="356"/>
      <c r="I139" s="367"/>
      <c r="J139" s="356"/>
      <c r="K139" s="356"/>
      <c r="L139" s="356"/>
      <c r="M139" s="365"/>
      <c r="N139" s="363"/>
    </row>
    <row r="140" spans="1:14" ht="15" customHeight="1">
      <c r="A140" s="671"/>
      <c r="B140" s="346" t="str">
        <f t="shared" si="0"/>
        <v>Dieciseisavofinalista</v>
      </c>
      <c r="C140" s="335" t="str">
        <f ca="1">WORLDCUP!AA111</f>
        <v>1H</v>
      </c>
      <c r="D140" s="674"/>
      <c r="E140" s="356"/>
      <c r="F140" s="356"/>
      <c r="G140" s="356"/>
      <c r="H140" s="356"/>
      <c r="I140" s="367"/>
      <c r="J140" s="356"/>
      <c r="K140" s="356"/>
      <c r="L140" s="356"/>
      <c r="M140" s="365"/>
      <c r="N140" s="363"/>
    </row>
    <row r="141" spans="1:14" ht="15" customHeight="1">
      <c r="A141" s="671"/>
      <c r="B141" s="346" t="str">
        <f t="shared" si="0"/>
        <v>Dieciseisavofinalista</v>
      </c>
      <c r="C141" s="335" t="str">
        <f ca="1">WORLDCUP!AA112</f>
        <v>2K</v>
      </c>
      <c r="D141" s="674"/>
      <c r="E141" s="356"/>
      <c r="F141" s="356"/>
      <c r="G141" s="356"/>
      <c r="H141" s="356"/>
      <c r="I141" s="367"/>
      <c r="J141" s="356"/>
      <c r="K141" s="356"/>
      <c r="L141" s="356"/>
      <c r="M141" s="365"/>
      <c r="N141" s="363"/>
    </row>
    <row r="142" spans="1:14" ht="15" customHeight="1">
      <c r="A142" s="671"/>
      <c r="B142" s="346" t="str">
        <f t="shared" si="0"/>
        <v>Dieciseisavofinalista</v>
      </c>
      <c r="C142" s="335" t="str">
        <f ca="1">WORLDCUP!AA113</f>
        <v>1B</v>
      </c>
      <c r="D142" s="674"/>
      <c r="E142" s="356"/>
      <c r="F142" s="356"/>
      <c r="G142" s="356"/>
      <c r="H142" s="356"/>
      <c r="I142" s="367"/>
      <c r="J142" s="356"/>
      <c r="K142" s="356"/>
      <c r="L142" s="356"/>
      <c r="M142" s="365"/>
      <c r="N142" s="363"/>
    </row>
    <row r="143" spans="1:14" ht="15" customHeight="1">
      <c r="A143" s="671"/>
      <c r="B143" s="346" t="str">
        <f t="shared" si="0"/>
        <v>Dieciseisavofinalista</v>
      </c>
      <c r="C143" s="335" t="str">
        <f ca="1">WORLDCUP!AA114</f>
        <v>2D</v>
      </c>
      <c r="D143" s="674"/>
      <c r="E143" s="356"/>
      <c r="F143" s="356"/>
      <c r="G143" s="356"/>
      <c r="H143" s="356"/>
      <c r="I143" s="367"/>
      <c r="J143" s="356"/>
      <c r="K143" s="356"/>
      <c r="L143" s="356"/>
      <c r="M143" s="365"/>
      <c r="N143" s="363"/>
    </row>
    <row r="144" spans="1:14" ht="15" customHeight="1">
      <c r="A144" s="671"/>
      <c r="B144" s="346" t="str">
        <f t="shared" si="0"/>
        <v>Dieciseisavofinalista</v>
      </c>
      <c r="C144" s="335" t="str">
        <f ca="1">WORLDCUP!AA115</f>
        <v>1J</v>
      </c>
      <c r="D144" s="674"/>
      <c r="E144" s="356"/>
      <c r="F144" s="356"/>
      <c r="G144" s="356"/>
      <c r="H144" s="356"/>
      <c r="I144" s="367"/>
      <c r="J144" s="356"/>
      <c r="K144" s="356"/>
      <c r="L144" s="356"/>
      <c r="M144" s="365"/>
      <c r="N144" s="363"/>
    </row>
    <row r="145" spans="1:14" ht="15" customHeight="1">
      <c r="A145" s="671"/>
      <c r="B145" s="346" t="str">
        <f t="shared" si="0"/>
        <v>Dieciseisavofinalista</v>
      </c>
      <c r="C145" s="335" t="str">
        <f ca="1">WORLDCUP!AA116</f>
        <v>1K</v>
      </c>
      <c r="D145" s="674"/>
      <c r="E145" s="356"/>
      <c r="F145" s="356"/>
      <c r="G145" s="356"/>
      <c r="H145" s="356"/>
      <c r="I145" s="367"/>
      <c r="J145" s="356"/>
      <c r="K145" s="356"/>
      <c r="L145" s="356"/>
      <c r="M145" s="365"/>
      <c r="N145" s="363"/>
    </row>
    <row r="146" spans="1:14" ht="15" customHeight="1">
      <c r="A146" s="671"/>
      <c r="B146" s="346" t="str">
        <f>Idiomas!$D$188</f>
        <v>Dieciseisavofinalista</v>
      </c>
      <c r="C146" s="335" t="str">
        <f ca="1">WORLDCUP!AF101</f>
        <v>2B</v>
      </c>
      <c r="D146" s="674"/>
      <c r="E146" s="356"/>
      <c r="F146" s="356"/>
      <c r="G146" s="356"/>
      <c r="H146" s="356"/>
      <c r="I146" s="367"/>
      <c r="J146" s="356"/>
      <c r="K146" s="356"/>
      <c r="L146" s="356"/>
      <c r="M146" s="365"/>
      <c r="N146" s="363"/>
    </row>
    <row r="147" spans="1:14" ht="15" customHeight="1">
      <c r="A147" s="671"/>
      <c r="B147" s="346" t="str">
        <f>B146</f>
        <v>Dieciseisavofinalista</v>
      </c>
      <c r="C147" s="335" t="str">
        <f ca="1">WORLDCUP!AF102</f>
        <v>2F</v>
      </c>
      <c r="D147" s="674"/>
      <c r="E147" s="356"/>
      <c r="F147" s="356"/>
      <c r="G147" s="356"/>
      <c r="H147" s="356"/>
      <c r="I147" s="367"/>
      <c r="J147" s="356"/>
      <c r="K147" s="356"/>
      <c r="L147" s="356"/>
      <c r="M147" s="365"/>
      <c r="N147" s="363"/>
    </row>
    <row r="148" spans="1:14" ht="15" customHeight="1">
      <c r="A148" s="671"/>
      <c r="B148" s="346" t="str">
        <f t="shared" ref="B148:B161" si="1">B147</f>
        <v>Dieciseisavofinalista</v>
      </c>
      <c r="C148" s="335" t="str">
        <f ca="1">WORLDCUP!AF103</f>
        <v>3ABCDF</v>
      </c>
      <c r="D148" s="674"/>
      <c r="E148" s="356"/>
      <c r="F148" s="356"/>
      <c r="G148" s="356"/>
      <c r="H148" s="356"/>
      <c r="I148" s="367"/>
      <c r="J148" s="356"/>
      <c r="K148" s="356"/>
      <c r="L148" s="356"/>
      <c r="M148" s="365"/>
      <c r="N148" s="363"/>
    </row>
    <row r="149" spans="1:14" ht="15" customHeight="1">
      <c r="A149" s="671"/>
      <c r="B149" s="346" t="str">
        <f t="shared" si="1"/>
        <v>Dieciseisavofinalista</v>
      </c>
      <c r="C149" s="335" t="str">
        <f ca="1">WORLDCUP!AF104</f>
        <v>2C</v>
      </c>
      <c r="D149" s="674"/>
      <c r="E149" s="356"/>
      <c r="F149" s="356"/>
      <c r="G149" s="356"/>
      <c r="H149" s="356"/>
      <c r="I149" s="367"/>
      <c r="J149" s="356"/>
      <c r="K149" s="356"/>
      <c r="L149" s="356"/>
      <c r="M149" s="365"/>
      <c r="N149" s="363"/>
    </row>
    <row r="150" spans="1:14" ht="15" customHeight="1">
      <c r="A150" s="671"/>
      <c r="B150" s="346" t="str">
        <f t="shared" si="1"/>
        <v>Dieciseisavofinalista</v>
      </c>
      <c r="C150" s="335" t="str">
        <f ca="1">WORLDCUP!AF105</f>
        <v>2I</v>
      </c>
      <c r="D150" s="674"/>
      <c r="E150" s="356"/>
      <c r="F150" s="356"/>
      <c r="G150" s="356"/>
      <c r="H150" s="356"/>
      <c r="I150" s="367"/>
      <c r="J150" s="356"/>
      <c r="K150" s="356"/>
      <c r="L150" s="356"/>
      <c r="M150" s="365"/>
      <c r="N150" s="363"/>
    </row>
    <row r="151" spans="1:14" ht="15" customHeight="1">
      <c r="A151" s="671"/>
      <c r="B151" s="346" t="str">
        <f t="shared" si="1"/>
        <v>Dieciseisavofinalista</v>
      </c>
      <c r="C151" s="335" t="str">
        <f ca="1">WORLDCUP!AF106</f>
        <v>3CDFGH</v>
      </c>
      <c r="D151" s="674"/>
      <c r="E151" s="356"/>
      <c r="F151" s="356"/>
      <c r="G151" s="356"/>
      <c r="H151" s="356"/>
      <c r="I151" s="367"/>
      <c r="J151" s="356"/>
      <c r="K151" s="356"/>
      <c r="L151" s="356"/>
      <c r="M151" s="365"/>
      <c r="N151" s="363"/>
    </row>
    <row r="152" spans="1:14" ht="15" customHeight="1">
      <c r="A152" s="671"/>
      <c r="B152" s="346" t="str">
        <f t="shared" si="1"/>
        <v>Dieciseisavofinalista</v>
      </c>
      <c r="C152" s="335" t="str">
        <f ca="1">WORLDCUP!AF107</f>
        <v>3CEFHI</v>
      </c>
      <c r="D152" s="674"/>
      <c r="E152" s="356"/>
      <c r="F152" s="356"/>
      <c r="G152" s="356"/>
      <c r="H152" s="356"/>
      <c r="I152" s="367"/>
      <c r="J152" s="356"/>
      <c r="K152" s="356"/>
      <c r="L152" s="356"/>
      <c r="M152" s="365"/>
      <c r="N152" s="363"/>
    </row>
    <row r="153" spans="1:14" ht="15" customHeight="1">
      <c r="A153" s="671"/>
      <c r="B153" s="346" t="str">
        <f t="shared" si="1"/>
        <v>Dieciseisavofinalista</v>
      </c>
      <c r="C153" s="335" t="str">
        <f ca="1">WORLDCUP!AF108</f>
        <v>3EHIJK</v>
      </c>
      <c r="D153" s="674"/>
      <c r="E153" s="356"/>
      <c r="F153" s="356"/>
      <c r="G153" s="356"/>
      <c r="H153" s="356"/>
      <c r="I153" s="367"/>
      <c r="J153" s="356"/>
      <c r="K153" s="356"/>
      <c r="L153" s="356"/>
      <c r="M153" s="365"/>
      <c r="N153" s="363"/>
    </row>
    <row r="154" spans="1:14" ht="15" customHeight="1">
      <c r="A154" s="671"/>
      <c r="B154" s="346" t="str">
        <f t="shared" si="1"/>
        <v>Dieciseisavofinalista</v>
      </c>
      <c r="C154" s="335" t="str">
        <f ca="1">WORLDCUP!AF109</f>
        <v>3AEHIJ</v>
      </c>
      <c r="D154" s="674"/>
      <c r="E154" s="356"/>
      <c r="F154" s="356"/>
      <c r="G154" s="356"/>
      <c r="H154" s="356"/>
      <c r="I154" s="367"/>
      <c r="J154" s="356"/>
      <c r="K154" s="356"/>
      <c r="L154" s="356"/>
      <c r="M154" s="365"/>
      <c r="N154" s="363"/>
    </row>
    <row r="155" spans="1:14" ht="15" customHeight="1">
      <c r="A155" s="671"/>
      <c r="B155" s="346" t="str">
        <f t="shared" si="1"/>
        <v>Dieciseisavofinalista</v>
      </c>
      <c r="C155" s="335" t="str">
        <f ca="1">WORLDCUP!AF110</f>
        <v>3BEFIJ</v>
      </c>
      <c r="D155" s="674"/>
      <c r="E155" s="356"/>
      <c r="F155" s="356"/>
      <c r="G155" s="356"/>
      <c r="H155" s="356"/>
      <c r="I155" s="367"/>
      <c r="J155" s="356"/>
      <c r="K155" s="356"/>
      <c r="L155" s="356"/>
      <c r="M155" s="365"/>
      <c r="N155" s="363"/>
    </row>
    <row r="156" spans="1:14" ht="15" customHeight="1">
      <c r="A156" s="671"/>
      <c r="B156" s="346" t="str">
        <f t="shared" si="1"/>
        <v>Dieciseisavofinalista</v>
      </c>
      <c r="C156" s="335" t="str">
        <f ca="1">WORLDCUP!AF111</f>
        <v>2J</v>
      </c>
      <c r="D156" s="674"/>
      <c r="E156" s="356"/>
      <c r="F156" s="356"/>
      <c r="G156" s="356"/>
      <c r="H156" s="356"/>
      <c r="I156" s="367"/>
      <c r="J156" s="356"/>
      <c r="K156" s="356"/>
      <c r="L156" s="356"/>
      <c r="M156" s="365"/>
      <c r="N156" s="363"/>
    </row>
    <row r="157" spans="1:14" ht="15" customHeight="1">
      <c r="A157" s="671"/>
      <c r="B157" s="346" t="str">
        <f t="shared" si="1"/>
        <v>Dieciseisavofinalista</v>
      </c>
      <c r="C157" s="335" t="str">
        <f ca="1">WORLDCUP!AF112</f>
        <v>2L</v>
      </c>
      <c r="D157" s="674"/>
      <c r="E157" s="356"/>
      <c r="F157" s="356"/>
      <c r="G157" s="356"/>
      <c r="H157" s="356"/>
      <c r="I157" s="367"/>
      <c r="J157" s="356"/>
      <c r="K157" s="356"/>
      <c r="L157" s="356"/>
      <c r="M157" s="365"/>
      <c r="N157" s="363"/>
    </row>
    <row r="158" spans="1:14" ht="15" customHeight="1">
      <c r="A158" s="671"/>
      <c r="B158" s="346" t="str">
        <f t="shared" si="1"/>
        <v>Dieciseisavofinalista</v>
      </c>
      <c r="C158" s="335" t="str">
        <f ca="1">WORLDCUP!AF113</f>
        <v>3EFGIJ</v>
      </c>
      <c r="D158" s="674"/>
      <c r="E158" s="356"/>
      <c r="F158" s="356"/>
      <c r="G158" s="356"/>
      <c r="H158" s="356"/>
      <c r="I158" s="367"/>
      <c r="J158" s="356"/>
      <c r="K158" s="356"/>
      <c r="L158" s="356"/>
      <c r="M158" s="365"/>
      <c r="N158" s="363"/>
    </row>
    <row r="159" spans="1:14" ht="15" customHeight="1">
      <c r="A159" s="671"/>
      <c r="B159" s="346" t="str">
        <f t="shared" si="1"/>
        <v>Dieciseisavofinalista</v>
      </c>
      <c r="C159" s="335" t="str">
        <f ca="1">WORLDCUP!AF114</f>
        <v>2G</v>
      </c>
      <c r="D159" s="674"/>
      <c r="E159" s="356"/>
      <c r="F159" s="356"/>
      <c r="G159" s="356"/>
      <c r="H159" s="356"/>
      <c r="I159" s="367"/>
      <c r="J159" s="356"/>
      <c r="K159" s="356"/>
      <c r="L159" s="356"/>
      <c r="M159" s="365"/>
      <c r="N159" s="363"/>
    </row>
    <row r="160" spans="1:14" ht="15" customHeight="1">
      <c r="A160" s="671"/>
      <c r="B160" s="346" t="str">
        <f t="shared" si="1"/>
        <v>Dieciseisavofinalista</v>
      </c>
      <c r="C160" s="335" t="str">
        <f ca="1">WORLDCUP!AF115</f>
        <v>2H</v>
      </c>
      <c r="D160" s="674"/>
      <c r="E160" s="356"/>
      <c r="F160" s="356"/>
      <c r="G160" s="356"/>
      <c r="H160" s="356"/>
      <c r="I160" s="367"/>
      <c r="J160" s="356"/>
      <c r="K160" s="356"/>
      <c r="L160" s="356"/>
      <c r="M160" s="365"/>
      <c r="N160" s="363"/>
    </row>
    <row r="161" spans="1:14" ht="15" customHeight="1">
      <c r="A161" s="671"/>
      <c r="B161" s="346" t="str">
        <f t="shared" si="1"/>
        <v>Dieciseisavofinalista</v>
      </c>
      <c r="C161" s="335" t="str">
        <f ca="1">WORLDCUP!AF116</f>
        <v>3DEIJL</v>
      </c>
      <c r="D161" s="675"/>
      <c r="E161" s="358"/>
      <c r="F161" s="358"/>
      <c r="G161" s="358"/>
      <c r="H161" s="358"/>
      <c r="I161" s="368"/>
      <c r="J161" s="369"/>
      <c r="K161" s="358"/>
      <c r="L161" s="358"/>
      <c r="M161" s="370"/>
      <c r="N161" s="363"/>
    </row>
    <row r="162" spans="1:14" ht="20" customHeight="1">
      <c r="A162" s="339"/>
      <c r="B162" s="339"/>
      <c r="C162" s="336"/>
      <c r="D162" s="356"/>
      <c r="E162" s="688" t="str">
        <f>Idiomas!D113</f>
        <v>·Si haceis todas las eliminatorias de golpe, copiar de la C164 a la C252 y pegar valores en la plantilla de Administrador.</v>
      </c>
      <c r="F162" s="688"/>
      <c r="G162" s="688"/>
      <c r="H162" s="688"/>
      <c r="I162" s="688"/>
      <c r="J162" s="688"/>
      <c r="K162" s="688"/>
      <c r="L162" s="689"/>
      <c r="M162" s="371"/>
      <c r="N162" s="363"/>
    </row>
    <row r="163" spans="1:14" ht="23" customHeight="1">
      <c r="A163" s="339"/>
      <c r="B163" s="344" t="str">
        <f>Idiomas!D128</f>
        <v>ENFRENTAMIENTOS DIECISEISAVOS</v>
      </c>
      <c r="C163" s="336"/>
      <c r="D163" s="356"/>
      <c r="E163" s="687" t="str">
        <f>Idiomas!D114</f>
        <v>·Si haceis eliminatoria a eliminatoria seguir las instrucciones de cada eliminatoria.</v>
      </c>
      <c r="F163" s="687"/>
      <c r="G163" s="687"/>
      <c r="H163" s="687"/>
      <c r="I163" s="687"/>
      <c r="J163" s="687"/>
      <c r="K163" s="687"/>
      <c r="L163" s="690"/>
      <c r="M163" s="372"/>
      <c r="N163" s="363"/>
    </row>
    <row r="164" spans="1:14" ht="15" customHeight="1">
      <c r="A164" s="671"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3" t="s">
        <v>493</v>
      </c>
      <c r="E164" s="691" t="str">
        <f>Idiomas!D115</f>
        <v>·Para los dieciseisavos copiar de la C164 a la C197 y pega valores en la plantilla de administrador.</v>
      </c>
      <c r="F164" s="691"/>
      <c r="G164" s="691"/>
      <c r="H164" s="691"/>
      <c r="I164" s="338"/>
      <c r="J164" s="356"/>
      <c r="K164" s="356"/>
      <c r="L164" s="356"/>
      <c r="M164" s="372"/>
      <c r="N164" s="363"/>
    </row>
    <row r="165" spans="1:14" ht="15" customHeight="1">
      <c r="A165" s="671"/>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3"/>
      <c r="E165" s="692"/>
      <c r="F165" s="692"/>
      <c r="G165" s="692"/>
      <c r="H165" s="692"/>
      <c r="I165" s="338"/>
      <c r="J165" s="356"/>
      <c r="K165" s="356"/>
      <c r="L165" s="356"/>
      <c r="M165" s="372"/>
      <c r="N165" s="363"/>
    </row>
    <row r="166" spans="1:14" ht="15" customHeight="1">
      <c r="A166" s="671"/>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3"/>
      <c r="E166" s="692"/>
      <c r="F166" s="692"/>
      <c r="G166" s="692"/>
      <c r="H166" s="692"/>
      <c r="I166" s="338"/>
      <c r="J166" s="356"/>
      <c r="K166" s="356"/>
      <c r="L166" s="356"/>
      <c r="M166" s="372"/>
      <c r="N166" s="363"/>
    </row>
    <row r="167" spans="1:14" ht="15" customHeight="1">
      <c r="A167" s="671"/>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3"/>
      <c r="E167" s="692"/>
      <c r="F167" s="692"/>
      <c r="G167" s="692"/>
      <c r="H167" s="692"/>
      <c r="I167" s="338"/>
      <c r="J167" s="356"/>
      <c r="K167" s="356"/>
      <c r="L167" s="356"/>
      <c r="M167" s="372"/>
      <c r="N167" s="363"/>
    </row>
    <row r="168" spans="1:14" ht="15" customHeight="1">
      <c r="A168" s="671"/>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3"/>
      <c r="E168" s="356"/>
      <c r="F168" s="356"/>
      <c r="G168" s="356"/>
      <c r="H168" s="356"/>
      <c r="I168" s="338"/>
      <c r="J168" s="356"/>
      <c r="K168" s="356"/>
      <c r="L168" s="356"/>
      <c r="M168" s="372"/>
      <c r="N168" s="363"/>
    </row>
    <row r="169" spans="1:14" ht="15" customHeight="1">
      <c r="A169" s="671"/>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3"/>
      <c r="E169" s="356"/>
      <c r="F169" s="356"/>
      <c r="G169" s="356"/>
      <c r="H169" s="356"/>
      <c r="I169" s="338"/>
      <c r="J169" s="356"/>
      <c r="K169" s="356"/>
      <c r="L169" s="356"/>
      <c r="M169" s="372"/>
      <c r="N169" s="363"/>
    </row>
    <row r="170" spans="1:14" ht="15" customHeight="1">
      <c r="A170" s="671"/>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3"/>
      <c r="E170" s="356"/>
      <c r="F170" s="356"/>
      <c r="G170" s="356"/>
      <c r="H170" s="356"/>
      <c r="I170" s="338"/>
      <c r="J170" s="356"/>
      <c r="K170" s="356"/>
      <c r="L170" s="356"/>
      <c r="M170" s="372"/>
      <c r="N170" s="363"/>
    </row>
    <row r="171" spans="1:14" ht="15" customHeight="1">
      <c r="A171" s="671"/>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3"/>
      <c r="E171" s="356"/>
      <c r="F171" s="356"/>
      <c r="G171" s="356"/>
      <c r="H171" s="356"/>
      <c r="I171" s="338"/>
      <c r="J171" s="356"/>
      <c r="K171" s="356"/>
      <c r="L171" s="356"/>
      <c r="M171" s="372"/>
      <c r="N171" s="363"/>
    </row>
    <row r="172" spans="1:14" ht="15" customHeight="1">
      <c r="A172" s="671"/>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3"/>
      <c r="E172" s="356"/>
      <c r="F172" s="356"/>
      <c r="G172" s="356"/>
      <c r="H172" s="356"/>
      <c r="I172" s="338"/>
      <c r="J172" s="356"/>
      <c r="K172" s="356"/>
      <c r="L172" s="356"/>
      <c r="M172" s="372"/>
      <c r="N172" s="363"/>
    </row>
    <row r="173" spans="1:14" ht="15" customHeight="1">
      <c r="A173" s="671"/>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3"/>
      <c r="E173" s="356"/>
      <c r="F173" s="356"/>
      <c r="G173" s="356"/>
      <c r="H173" s="356"/>
      <c r="I173" s="338"/>
      <c r="J173" s="356"/>
      <c r="K173" s="356"/>
      <c r="L173" s="356"/>
      <c r="M173" s="372"/>
      <c r="N173" s="363"/>
    </row>
    <row r="174" spans="1:14" ht="15" customHeight="1">
      <c r="A174" s="671"/>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3"/>
      <c r="E174" s="356"/>
      <c r="F174" s="356"/>
      <c r="G174" s="356"/>
      <c r="H174" s="356"/>
      <c r="I174" s="338"/>
      <c r="J174" s="356"/>
      <c r="K174" s="356"/>
      <c r="L174" s="356"/>
      <c r="M174" s="372"/>
      <c r="N174" s="363"/>
    </row>
    <row r="175" spans="1:14" ht="15" customHeight="1">
      <c r="A175" s="671"/>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3"/>
      <c r="E175" s="356"/>
      <c r="F175" s="356"/>
      <c r="G175" s="356"/>
      <c r="H175" s="356"/>
      <c r="I175" s="338"/>
      <c r="J175" s="356"/>
      <c r="K175" s="356"/>
      <c r="L175" s="356"/>
      <c r="M175" s="372"/>
      <c r="N175" s="363"/>
    </row>
    <row r="176" spans="1:14" ht="15" customHeight="1">
      <c r="A176" s="671"/>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3"/>
      <c r="E176" s="356"/>
      <c r="F176" s="356"/>
      <c r="G176" s="356"/>
      <c r="H176" s="356"/>
      <c r="I176" s="338"/>
      <c r="J176" s="356"/>
      <c r="K176" s="356"/>
      <c r="L176" s="356"/>
      <c r="M176" s="372"/>
      <c r="N176" s="363"/>
    </row>
    <row r="177" spans="1:14" ht="15" customHeight="1">
      <c r="A177" s="671"/>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3"/>
      <c r="E177" s="356"/>
      <c r="F177" s="356"/>
      <c r="G177" s="356"/>
      <c r="H177" s="356"/>
      <c r="I177" s="338"/>
      <c r="J177" s="356"/>
      <c r="K177" s="356"/>
      <c r="L177" s="356"/>
      <c r="M177" s="372"/>
      <c r="N177" s="363"/>
    </row>
    <row r="178" spans="1:14" ht="15" customHeight="1">
      <c r="A178" s="671"/>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3"/>
      <c r="E178" s="356"/>
      <c r="F178" s="356"/>
      <c r="G178" s="356"/>
      <c r="H178" s="356"/>
      <c r="I178" s="338"/>
      <c r="J178" s="356"/>
      <c r="K178" s="356"/>
      <c r="L178" s="356"/>
      <c r="M178" s="372"/>
      <c r="N178" s="363"/>
    </row>
    <row r="179" spans="1:14" ht="15" customHeight="1">
      <c r="A179" s="671"/>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3"/>
      <c r="E179" s="356"/>
      <c r="F179" s="356"/>
      <c r="G179" s="356"/>
      <c r="H179" s="356"/>
      <c r="I179" s="338"/>
      <c r="J179" s="356"/>
      <c r="K179" s="356"/>
      <c r="L179" s="356"/>
      <c r="M179" s="372"/>
      <c r="N179" s="363"/>
    </row>
    <row r="180" spans="1:14" ht="15" customHeight="1">
      <c r="A180" s="339"/>
      <c r="B180" s="339"/>
      <c r="C180" s="336"/>
      <c r="D180" s="673"/>
      <c r="E180" s="356"/>
      <c r="F180" s="356"/>
      <c r="G180" s="356"/>
      <c r="H180" s="356"/>
      <c r="I180" s="338"/>
      <c r="J180" s="356"/>
      <c r="K180" s="356"/>
      <c r="L180" s="356"/>
      <c r="M180" s="372"/>
      <c r="N180" s="363"/>
    </row>
    <row r="181" spans="1:14" ht="19" customHeight="1">
      <c r="A181" s="339"/>
      <c r="B181" s="344" t="str">
        <f>Idiomas!D129</f>
        <v>CLASIFICADOS PARA OCTAVOS</v>
      </c>
      <c r="C181" s="336"/>
      <c r="D181" s="673"/>
      <c r="E181" s="356"/>
      <c r="F181" s="356"/>
      <c r="G181" s="356"/>
      <c r="H181" s="356"/>
      <c r="I181" s="338"/>
      <c r="J181" s="356"/>
      <c r="K181" s="356"/>
      <c r="L181" s="356"/>
      <c r="M181" s="372"/>
      <c r="N181" s="363"/>
    </row>
    <row r="182" spans="1:14" ht="15" customHeight="1">
      <c r="A182" s="671" t="s">
        <v>89</v>
      </c>
      <c r="B182" s="346" t="str">
        <f>Idiomas!$D$189</f>
        <v>Octavofinalista</v>
      </c>
      <c r="C182" s="335" t="str">
        <f>WORLDCUP!AA120</f>
        <v>W73</v>
      </c>
      <c r="D182" s="673"/>
      <c r="E182" s="356"/>
      <c r="F182" s="356"/>
      <c r="G182" s="356"/>
      <c r="H182" s="356"/>
      <c r="I182" s="338"/>
      <c r="J182" s="356"/>
      <c r="K182" s="356"/>
      <c r="L182" s="356"/>
      <c r="M182" s="372"/>
      <c r="N182" s="363"/>
    </row>
    <row r="183" spans="1:14" ht="15" customHeight="1">
      <c r="A183" s="671"/>
      <c r="B183" s="346" t="str">
        <f>B182</f>
        <v>Octavofinalista</v>
      </c>
      <c r="C183" s="335" t="str">
        <f>WORLDCUP!AA121</f>
        <v>W74</v>
      </c>
      <c r="D183" s="673"/>
      <c r="E183" s="356"/>
      <c r="F183" s="356"/>
      <c r="G183" s="356"/>
      <c r="H183" s="356"/>
      <c r="I183" s="338"/>
      <c r="J183" s="356"/>
      <c r="K183" s="356"/>
      <c r="L183" s="356"/>
      <c r="M183" s="372"/>
      <c r="N183" s="363"/>
    </row>
    <row r="184" spans="1:14" ht="15" customHeight="1">
      <c r="A184" s="671"/>
      <c r="B184" s="346" t="str">
        <f t="shared" ref="B184:B197" si="2">B183</f>
        <v>Octavofinalista</v>
      </c>
      <c r="C184" s="335" t="str">
        <f>WORLDCUP!AA122</f>
        <v>W76</v>
      </c>
      <c r="D184" s="673"/>
      <c r="E184" s="356"/>
      <c r="F184" s="356"/>
      <c r="G184" s="356"/>
      <c r="H184" s="356"/>
      <c r="I184" s="338"/>
      <c r="J184" s="356"/>
      <c r="K184" s="356"/>
      <c r="L184" s="356"/>
      <c r="M184" s="372"/>
      <c r="N184" s="363"/>
    </row>
    <row r="185" spans="1:14" ht="15" customHeight="1">
      <c r="A185" s="671"/>
      <c r="B185" s="346" t="str">
        <f t="shared" si="2"/>
        <v>Octavofinalista</v>
      </c>
      <c r="C185" s="335" t="str">
        <f>WORLDCUP!AA123</f>
        <v>W79</v>
      </c>
      <c r="D185" s="673"/>
      <c r="E185" s="356"/>
      <c r="F185" s="356"/>
      <c r="G185" s="356"/>
      <c r="H185" s="356"/>
      <c r="I185" s="338"/>
      <c r="J185" s="356"/>
      <c r="K185" s="356"/>
      <c r="L185" s="356"/>
      <c r="M185" s="372"/>
      <c r="N185" s="363"/>
    </row>
    <row r="186" spans="1:14" ht="15" customHeight="1">
      <c r="A186" s="671"/>
      <c r="B186" s="346" t="str">
        <f t="shared" si="2"/>
        <v>Octavofinalista</v>
      </c>
      <c r="C186" s="335" t="str">
        <f>WORLDCUP!AA124</f>
        <v>W83</v>
      </c>
      <c r="D186" s="673"/>
      <c r="E186" s="356"/>
      <c r="F186" s="356"/>
      <c r="G186" s="356"/>
      <c r="H186" s="356"/>
      <c r="I186" s="338"/>
      <c r="J186" s="356"/>
      <c r="K186" s="356"/>
      <c r="L186" s="356"/>
      <c r="M186" s="372"/>
      <c r="N186" s="363"/>
    </row>
    <row r="187" spans="1:14" ht="15" customHeight="1">
      <c r="A187" s="671"/>
      <c r="B187" s="346" t="str">
        <f t="shared" si="2"/>
        <v>Octavofinalista</v>
      </c>
      <c r="C187" s="335" t="str">
        <f>WORLDCUP!AA125</f>
        <v>W81</v>
      </c>
      <c r="D187" s="673"/>
      <c r="E187" s="356"/>
      <c r="F187" s="356"/>
      <c r="G187" s="356"/>
      <c r="H187" s="356"/>
      <c r="I187" s="338"/>
      <c r="J187" s="356"/>
      <c r="K187" s="356"/>
      <c r="L187" s="356"/>
      <c r="M187" s="372"/>
      <c r="N187" s="363"/>
    </row>
    <row r="188" spans="1:14" ht="15" customHeight="1">
      <c r="A188" s="671"/>
      <c r="B188" s="346" t="str">
        <f t="shared" si="2"/>
        <v>Octavofinalista</v>
      </c>
      <c r="C188" s="335" t="str">
        <f>WORLDCUP!AA126</f>
        <v>W86</v>
      </c>
      <c r="D188" s="673"/>
      <c r="E188" s="356"/>
      <c r="F188" s="356"/>
      <c r="G188" s="356"/>
      <c r="H188" s="356"/>
      <c r="I188" s="338"/>
      <c r="J188" s="356"/>
      <c r="K188" s="356"/>
      <c r="L188" s="356"/>
      <c r="M188" s="372"/>
      <c r="N188" s="363"/>
    </row>
    <row r="189" spans="1:14" ht="15" customHeight="1">
      <c r="A189" s="671"/>
      <c r="B189" s="346" t="str">
        <f t="shared" si="2"/>
        <v>Octavofinalista</v>
      </c>
      <c r="C189" s="335" t="str">
        <f>WORLDCUP!AA127</f>
        <v>W85</v>
      </c>
      <c r="D189" s="673"/>
      <c r="E189" s="356"/>
      <c r="F189" s="356"/>
      <c r="G189" s="356"/>
      <c r="H189" s="356"/>
      <c r="I189" s="338"/>
      <c r="J189" s="356"/>
      <c r="K189" s="356"/>
      <c r="L189" s="356"/>
      <c r="M189" s="372"/>
      <c r="N189" s="363"/>
    </row>
    <row r="190" spans="1:14" ht="15" customHeight="1">
      <c r="A190" s="671"/>
      <c r="B190" s="346" t="str">
        <f t="shared" si="2"/>
        <v>Octavofinalista</v>
      </c>
      <c r="C190" s="335" t="str">
        <f>WORLDCUP!AF120</f>
        <v>W75</v>
      </c>
      <c r="D190" s="673"/>
      <c r="E190" s="356"/>
      <c r="F190" s="356"/>
      <c r="G190" s="356"/>
      <c r="H190" s="356"/>
      <c r="I190" s="338"/>
      <c r="J190" s="356"/>
      <c r="K190" s="356"/>
      <c r="L190" s="356"/>
      <c r="M190" s="372"/>
      <c r="N190" s="363"/>
    </row>
    <row r="191" spans="1:14" ht="15" customHeight="1">
      <c r="A191" s="671"/>
      <c r="B191" s="346" t="str">
        <f t="shared" si="2"/>
        <v>Octavofinalista</v>
      </c>
      <c r="C191" s="335" t="str">
        <f>WORLDCUP!AF121</f>
        <v>W77</v>
      </c>
      <c r="D191" s="673"/>
      <c r="E191" s="356"/>
      <c r="F191" s="356"/>
      <c r="G191" s="356"/>
      <c r="H191" s="356"/>
      <c r="I191" s="338"/>
      <c r="J191" s="356"/>
      <c r="K191" s="356"/>
      <c r="L191" s="356"/>
      <c r="M191" s="372"/>
      <c r="N191" s="363"/>
    </row>
    <row r="192" spans="1:14" ht="15" customHeight="1">
      <c r="A192" s="671"/>
      <c r="B192" s="346" t="str">
        <f t="shared" si="2"/>
        <v>Octavofinalista</v>
      </c>
      <c r="C192" s="335" t="str">
        <f>WORLDCUP!AF122</f>
        <v>W78</v>
      </c>
      <c r="D192" s="673"/>
      <c r="E192" s="356"/>
      <c r="F192" s="356"/>
      <c r="G192" s="356"/>
      <c r="H192" s="356"/>
      <c r="I192" s="338"/>
      <c r="J192" s="356"/>
      <c r="K192" s="356"/>
      <c r="L192" s="356"/>
      <c r="M192" s="372"/>
      <c r="N192" s="363"/>
    </row>
    <row r="193" spans="1:14" ht="15" customHeight="1">
      <c r="A193" s="671"/>
      <c r="B193" s="346" t="str">
        <f t="shared" si="2"/>
        <v>Octavofinalista</v>
      </c>
      <c r="C193" s="335" t="str">
        <f>WORLDCUP!AF123</f>
        <v>W80</v>
      </c>
      <c r="D193" s="673"/>
      <c r="E193" s="356"/>
      <c r="F193" s="356"/>
      <c r="G193" s="356"/>
      <c r="H193" s="356"/>
      <c r="I193" s="338"/>
      <c r="J193" s="356"/>
      <c r="K193" s="356"/>
      <c r="L193" s="356"/>
      <c r="M193" s="372"/>
      <c r="N193" s="363"/>
    </row>
    <row r="194" spans="1:14" ht="15" customHeight="1">
      <c r="A194" s="671"/>
      <c r="B194" s="346" t="str">
        <f t="shared" si="2"/>
        <v>Octavofinalista</v>
      </c>
      <c r="C194" s="335" t="str">
        <f>WORLDCUP!AF124</f>
        <v>W84</v>
      </c>
      <c r="D194" s="673"/>
      <c r="E194" s="356"/>
      <c r="F194" s="356"/>
      <c r="G194" s="356"/>
      <c r="H194" s="356"/>
      <c r="I194" s="338"/>
      <c r="J194" s="356"/>
      <c r="K194" s="356"/>
      <c r="L194" s="356"/>
      <c r="M194" s="372"/>
      <c r="N194" s="363"/>
    </row>
    <row r="195" spans="1:14" ht="15" customHeight="1">
      <c r="A195" s="671"/>
      <c r="B195" s="346" t="str">
        <f t="shared" si="2"/>
        <v>Octavofinalista</v>
      </c>
      <c r="C195" s="335" t="str">
        <f>WORLDCUP!AF125</f>
        <v>W82</v>
      </c>
      <c r="D195" s="673"/>
      <c r="E195" s="356"/>
      <c r="F195" s="356"/>
      <c r="G195" s="356"/>
      <c r="H195" s="356"/>
      <c r="I195" s="338"/>
      <c r="J195" s="356"/>
      <c r="K195" s="356"/>
      <c r="L195" s="356"/>
      <c r="M195" s="372"/>
      <c r="N195" s="363"/>
    </row>
    <row r="196" spans="1:14" ht="15" customHeight="1">
      <c r="A196" s="671"/>
      <c r="B196" s="346" t="str">
        <f t="shared" si="2"/>
        <v>Octavofinalista</v>
      </c>
      <c r="C196" s="335" t="str">
        <f>WORLDCUP!AF126</f>
        <v>W88</v>
      </c>
      <c r="D196" s="673"/>
      <c r="E196" s="356"/>
      <c r="F196" s="356"/>
      <c r="G196" s="356"/>
      <c r="H196" s="356"/>
      <c r="I196" s="338"/>
      <c r="J196" s="356"/>
      <c r="K196" s="356"/>
      <c r="L196" s="356"/>
      <c r="M196" s="372"/>
      <c r="N196" s="363"/>
    </row>
    <row r="197" spans="1:14" ht="15" customHeight="1">
      <c r="A197" s="671"/>
      <c r="B197" s="346" t="str">
        <f t="shared" si="2"/>
        <v>Octavofinalista</v>
      </c>
      <c r="C197" s="335" t="str">
        <f>WORLDCUP!AF127</f>
        <v>W87</v>
      </c>
      <c r="D197" s="673"/>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1"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2" t="s">
        <v>89</v>
      </c>
      <c r="E200" s="667" t="str">
        <f>Idiomas!D116</f>
        <v>·Para los octavos de final copiar de la C200 a la C217 y pega valores en la plantilla de administrador.</v>
      </c>
      <c r="F200" s="667"/>
      <c r="G200" s="667"/>
      <c r="H200" s="667"/>
      <c r="I200" s="338"/>
      <c r="J200" s="356"/>
      <c r="K200" s="356"/>
      <c r="L200" s="356"/>
      <c r="M200" s="372"/>
      <c r="N200" s="363"/>
    </row>
    <row r="201" spans="1:14" ht="15" customHeight="1">
      <c r="A201" s="671"/>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2"/>
      <c r="E201" s="667"/>
      <c r="F201" s="667"/>
      <c r="G201" s="667"/>
      <c r="H201" s="667"/>
      <c r="I201" s="338"/>
      <c r="J201" s="356"/>
      <c r="K201" s="356"/>
      <c r="L201" s="356"/>
      <c r="M201" s="372"/>
      <c r="N201" s="363"/>
    </row>
    <row r="202" spans="1:14" ht="15" customHeight="1">
      <c r="A202" s="671"/>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2"/>
      <c r="E202" s="667"/>
      <c r="F202" s="667"/>
      <c r="G202" s="667"/>
      <c r="H202" s="667"/>
      <c r="I202" s="338"/>
      <c r="J202" s="356"/>
      <c r="K202" s="356"/>
      <c r="L202" s="356"/>
      <c r="M202" s="372"/>
      <c r="N202" s="363"/>
    </row>
    <row r="203" spans="1:14" ht="15" customHeight="1">
      <c r="A203" s="671"/>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2"/>
      <c r="E203" s="667"/>
      <c r="F203" s="667"/>
      <c r="G203" s="667"/>
      <c r="H203" s="667"/>
      <c r="I203" s="338"/>
      <c r="J203" s="356"/>
      <c r="K203" s="356"/>
      <c r="L203" s="356"/>
      <c r="M203" s="372"/>
      <c r="N203" s="363"/>
    </row>
    <row r="204" spans="1:14" ht="15" customHeight="1">
      <c r="A204" s="671"/>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2"/>
      <c r="E204" s="338"/>
      <c r="F204" s="338"/>
      <c r="G204" s="338"/>
      <c r="H204" s="338"/>
      <c r="I204" s="338"/>
      <c r="J204" s="356"/>
      <c r="K204" s="356"/>
      <c r="L204" s="356"/>
      <c r="M204" s="372"/>
      <c r="N204" s="363"/>
    </row>
    <row r="205" spans="1:14" ht="15" customHeight="1">
      <c r="A205" s="671"/>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2"/>
      <c r="E205" s="338"/>
      <c r="F205" s="338"/>
      <c r="G205" s="338"/>
      <c r="H205" s="338"/>
      <c r="I205" s="338"/>
      <c r="J205" s="356"/>
      <c r="K205" s="356"/>
      <c r="L205" s="356"/>
      <c r="M205" s="372"/>
      <c r="N205" s="363"/>
    </row>
    <row r="206" spans="1:14" ht="15" customHeight="1">
      <c r="A206" s="671"/>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2"/>
      <c r="E206" s="338"/>
      <c r="F206" s="338"/>
      <c r="G206" s="338"/>
      <c r="H206" s="338"/>
      <c r="I206" s="338"/>
      <c r="J206" s="356"/>
      <c r="K206" s="356"/>
      <c r="L206" s="356"/>
      <c r="M206" s="372"/>
      <c r="N206" s="363"/>
    </row>
    <row r="207" spans="1:14" ht="15" customHeight="1">
      <c r="A207" s="671"/>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2"/>
      <c r="E207" s="338"/>
      <c r="F207" s="338"/>
      <c r="G207" s="338"/>
      <c r="H207" s="338"/>
      <c r="I207" s="338"/>
      <c r="J207" s="356"/>
      <c r="K207" s="356"/>
      <c r="L207" s="356"/>
      <c r="M207" s="372"/>
      <c r="N207" s="363"/>
    </row>
    <row r="208" spans="1:14" ht="15" customHeight="1">
      <c r="A208" s="339"/>
      <c r="B208" s="339"/>
      <c r="C208" s="336"/>
      <c r="D208" s="672"/>
      <c r="E208" s="356"/>
      <c r="F208" s="356"/>
      <c r="G208" s="356"/>
      <c r="H208" s="356"/>
      <c r="I208" s="338"/>
      <c r="J208" s="356"/>
      <c r="K208" s="356"/>
      <c r="L208" s="356"/>
      <c r="M208" s="372"/>
      <c r="N208" s="363"/>
    </row>
    <row r="209" spans="1:14" ht="19" customHeight="1">
      <c r="A209" s="339"/>
      <c r="B209" s="344" t="str">
        <f>Idiomas!D131</f>
        <v>CLASIFICADOS PARA CUARTOS</v>
      </c>
      <c r="C209" s="336"/>
      <c r="D209" s="672"/>
      <c r="E209" s="356"/>
      <c r="F209" s="356"/>
      <c r="G209" s="356"/>
      <c r="H209" s="356"/>
      <c r="I209" s="338"/>
      <c r="J209" s="356"/>
      <c r="K209" s="356"/>
      <c r="L209" s="356"/>
      <c r="M209" s="372"/>
      <c r="N209" s="363"/>
    </row>
    <row r="210" spans="1:14" ht="15" customHeight="1">
      <c r="A210" s="671" t="s">
        <v>36</v>
      </c>
      <c r="B210" s="346" t="str">
        <f>Idiomas!$D$190</f>
        <v>Cuartofinalista</v>
      </c>
      <c r="C210" s="335" t="str">
        <f>WORLDCUP!AA131</f>
        <v>W89</v>
      </c>
      <c r="D210" s="672"/>
      <c r="E210" s="356"/>
      <c r="F210" s="356"/>
      <c r="G210" s="356"/>
      <c r="H210" s="356"/>
      <c r="I210" s="338"/>
      <c r="J210" s="356"/>
      <c r="K210" s="356"/>
      <c r="L210" s="356"/>
      <c r="M210" s="372"/>
      <c r="N210" s="363"/>
    </row>
    <row r="211" spans="1:14" ht="15" customHeight="1">
      <c r="A211" s="671"/>
      <c r="B211" s="346" t="str">
        <f>B210</f>
        <v>Cuartofinalista</v>
      </c>
      <c r="C211" s="335" t="str">
        <f>WORLDCUP!AA132</f>
        <v>W93</v>
      </c>
      <c r="D211" s="672"/>
      <c r="E211" s="356"/>
      <c r="F211" s="356"/>
      <c r="G211" s="356"/>
      <c r="H211" s="356"/>
      <c r="I211" s="338"/>
      <c r="J211" s="356"/>
      <c r="K211" s="356"/>
      <c r="L211" s="356"/>
      <c r="M211" s="372"/>
      <c r="N211" s="363"/>
    </row>
    <row r="212" spans="1:14" ht="15" customHeight="1">
      <c r="A212" s="671"/>
      <c r="B212" s="346" t="str">
        <f t="shared" ref="B212:B217" si="3">B211</f>
        <v>Cuartofinalista</v>
      </c>
      <c r="C212" s="335" t="str">
        <f>WORLDCUP!AA133</f>
        <v>W91</v>
      </c>
      <c r="D212" s="672"/>
      <c r="E212" s="356"/>
      <c r="F212" s="356"/>
      <c r="G212" s="356"/>
      <c r="H212" s="356"/>
      <c r="I212" s="338"/>
      <c r="J212" s="356"/>
      <c r="K212" s="356"/>
      <c r="L212" s="356"/>
      <c r="M212" s="372"/>
      <c r="N212" s="363"/>
    </row>
    <row r="213" spans="1:14" ht="15" customHeight="1">
      <c r="A213" s="671"/>
      <c r="B213" s="346" t="str">
        <f t="shared" si="3"/>
        <v>Cuartofinalista</v>
      </c>
      <c r="C213" s="335" t="str">
        <f>WORLDCUP!AA134</f>
        <v>W95</v>
      </c>
      <c r="D213" s="672"/>
      <c r="E213" s="356"/>
      <c r="F213" s="356"/>
      <c r="G213" s="356"/>
      <c r="H213" s="356"/>
      <c r="I213" s="338"/>
      <c r="J213" s="356"/>
      <c r="K213" s="356"/>
      <c r="L213" s="356"/>
      <c r="M213" s="372"/>
      <c r="N213" s="363"/>
    </row>
    <row r="214" spans="1:14" ht="15" customHeight="1">
      <c r="A214" s="671"/>
      <c r="B214" s="346" t="str">
        <f t="shared" si="3"/>
        <v>Cuartofinalista</v>
      </c>
      <c r="C214" s="335" t="str">
        <f>WORLDCUP!AF131</f>
        <v>W90</v>
      </c>
      <c r="D214" s="672"/>
      <c r="E214" s="356"/>
      <c r="F214" s="356"/>
      <c r="G214" s="356"/>
      <c r="H214" s="356"/>
      <c r="I214" s="338"/>
      <c r="J214" s="356"/>
      <c r="K214" s="356"/>
      <c r="L214" s="356"/>
      <c r="M214" s="372"/>
      <c r="N214" s="363"/>
    </row>
    <row r="215" spans="1:14" ht="15" customHeight="1">
      <c r="A215" s="671"/>
      <c r="B215" s="346" t="str">
        <f t="shared" si="3"/>
        <v>Cuartofinalista</v>
      </c>
      <c r="C215" s="335" t="str">
        <f>WORLDCUP!AF132</f>
        <v>W94</v>
      </c>
      <c r="D215" s="672"/>
      <c r="E215" s="356"/>
      <c r="F215" s="356"/>
      <c r="G215" s="356"/>
      <c r="H215" s="356"/>
      <c r="I215" s="338"/>
      <c r="J215" s="356"/>
      <c r="K215" s="356"/>
      <c r="L215" s="356"/>
      <c r="M215" s="372"/>
      <c r="N215" s="363"/>
    </row>
    <row r="216" spans="1:14" ht="15" customHeight="1">
      <c r="A216" s="671"/>
      <c r="B216" s="346" t="str">
        <f t="shared" si="3"/>
        <v>Cuartofinalista</v>
      </c>
      <c r="C216" s="335" t="str">
        <f>WORLDCUP!AF133</f>
        <v>W92</v>
      </c>
      <c r="D216" s="672"/>
      <c r="E216" s="356"/>
      <c r="F216" s="356"/>
      <c r="G216" s="356"/>
      <c r="H216" s="356"/>
      <c r="I216" s="338"/>
      <c r="J216" s="356"/>
      <c r="K216" s="356"/>
      <c r="L216" s="356"/>
      <c r="M216" s="372"/>
      <c r="N216" s="363"/>
    </row>
    <row r="217" spans="1:14" ht="15" customHeight="1">
      <c r="A217" s="671"/>
      <c r="B217" s="346" t="str">
        <f t="shared" si="3"/>
        <v>Cuartofinalista</v>
      </c>
      <c r="C217" s="335" t="str">
        <f>WORLDCUP!AF134</f>
        <v>W96</v>
      </c>
      <c r="D217" s="672"/>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1"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3" t="s">
        <v>36</v>
      </c>
      <c r="E220" s="667" t="str">
        <f>Idiomas!D117</f>
        <v>·Para los cuartos de final copiar de la C220 a la C229 y pega valores en la plantilla de administrador.</v>
      </c>
      <c r="F220" s="667"/>
      <c r="G220" s="667"/>
      <c r="H220" s="667"/>
      <c r="I220" s="338"/>
      <c r="J220" s="356"/>
      <c r="K220" s="356"/>
      <c r="L220" s="356"/>
      <c r="M220" s="372"/>
      <c r="N220" s="363"/>
    </row>
    <row r="221" spans="1:14" ht="15" customHeight="1">
      <c r="A221" s="671"/>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3"/>
      <c r="E221" s="667"/>
      <c r="F221" s="667"/>
      <c r="G221" s="667"/>
      <c r="H221" s="667"/>
      <c r="I221" s="338"/>
      <c r="J221" s="356"/>
      <c r="K221" s="356"/>
      <c r="L221" s="356"/>
      <c r="M221" s="372"/>
      <c r="N221" s="363"/>
    </row>
    <row r="222" spans="1:14" ht="15" customHeight="1">
      <c r="A222" s="671"/>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3"/>
      <c r="E222" s="667"/>
      <c r="F222" s="667"/>
      <c r="G222" s="667"/>
      <c r="H222" s="667"/>
      <c r="I222" s="338"/>
      <c r="J222" s="356"/>
      <c r="K222" s="356"/>
      <c r="L222" s="356"/>
      <c r="M222" s="372"/>
      <c r="N222" s="363"/>
    </row>
    <row r="223" spans="1:14" ht="15" customHeight="1">
      <c r="A223" s="671"/>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3"/>
      <c r="E223" s="667"/>
      <c r="F223" s="667"/>
      <c r="G223" s="667"/>
      <c r="H223" s="667"/>
      <c r="I223" s="338"/>
      <c r="J223" s="356"/>
      <c r="K223" s="356"/>
      <c r="L223" s="356"/>
      <c r="M223" s="372"/>
      <c r="N223" s="363"/>
    </row>
    <row r="224" spans="1:14">
      <c r="A224" s="339"/>
      <c r="B224" s="339"/>
      <c r="C224" s="336"/>
      <c r="D224" s="673"/>
      <c r="E224" s="338"/>
      <c r="F224" s="338"/>
      <c r="G224" s="338"/>
      <c r="H224" s="338"/>
      <c r="I224" s="338"/>
      <c r="J224" s="356"/>
      <c r="K224" s="356"/>
      <c r="L224" s="356"/>
      <c r="M224" s="372"/>
      <c r="N224" s="363"/>
    </row>
    <row r="225" spans="1:14" ht="18.5">
      <c r="A225" s="339"/>
      <c r="B225" s="344" t="str">
        <f>Idiomas!D133</f>
        <v>CLASIFICADOS PARA SEMIFINALES</v>
      </c>
      <c r="C225" s="336"/>
      <c r="D225" s="673"/>
      <c r="E225" s="356"/>
      <c r="F225" s="356"/>
      <c r="G225" s="356"/>
      <c r="H225" s="356"/>
      <c r="I225" s="338"/>
      <c r="J225" s="356"/>
      <c r="K225" s="356"/>
      <c r="L225" s="356"/>
      <c r="M225" s="372"/>
      <c r="N225" s="363"/>
    </row>
    <row r="226" spans="1:14" ht="15" customHeight="1">
      <c r="A226" s="671" t="s">
        <v>37</v>
      </c>
      <c r="B226" s="346" t="str">
        <f>Idiomas!$D$191</f>
        <v>Semifinalista</v>
      </c>
      <c r="C226" s="335" t="str">
        <f>WORLDCUP!AA138</f>
        <v>W97</v>
      </c>
      <c r="D226" s="673"/>
      <c r="E226" s="356"/>
      <c r="F226" s="356"/>
      <c r="G226" s="356"/>
      <c r="H226" s="356"/>
      <c r="I226" s="338"/>
      <c r="J226" s="356"/>
      <c r="K226" s="356"/>
      <c r="L226" s="356"/>
      <c r="M226" s="372"/>
      <c r="N226" s="363"/>
    </row>
    <row r="227" spans="1:14" ht="15" customHeight="1">
      <c r="A227" s="671"/>
      <c r="B227" s="346" t="str">
        <f>Idiomas!$D$191</f>
        <v>Semifinalista</v>
      </c>
      <c r="C227" s="335" t="str">
        <f>WORLDCUP!AA139</f>
        <v>W99</v>
      </c>
      <c r="D227" s="673"/>
      <c r="E227" s="356"/>
      <c r="F227" s="356"/>
      <c r="G227" s="356"/>
      <c r="H227" s="356"/>
      <c r="I227" s="338"/>
      <c r="J227" s="356"/>
      <c r="K227" s="356"/>
      <c r="L227" s="356"/>
      <c r="M227" s="372"/>
      <c r="N227" s="363"/>
    </row>
    <row r="228" spans="1:14" ht="15" customHeight="1">
      <c r="A228" s="671"/>
      <c r="B228" s="346" t="str">
        <f>Idiomas!$D$191</f>
        <v>Semifinalista</v>
      </c>
      <c r="C228" s="335" t="str">
        <f>WORLDCUP!AF138</f>
        <v>W98</v>
      </c>
      <c r="D228" s="673"/>
      <c r="E228" s="356"/>
      <c r="F228" s="356"/>
      <c r="G228" s="356"/>
      <c r="H228" s="356"/>
      <c r="I228" s="338"/>
      <c r="J228" s="356"/>
      <c r="K228" s="356"/>
      <c r="L228" s="356"/>
      <c r="M228" s="372"/>
      <c r="N228" s="363"/>
    </row>
    <row r="229" spans="1:14" ht="15" customHeight="1">
      <c r="A229" s="671"/>
      <c r="B229" s="346" t="str">
        <f>Idiomas!$D$191</f>
        <v>Semifinalista</v>
      </c>
      <c r="C229" s="335" t="str">
        <f>WORLDCUP!AF139</f>
        <v>W100</v>
      </c>
      <c r="D229" s="673"/>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69"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2" t="s">
        <v>37</v>
      </c>
      <c r="E232" s="667" t="str">
        <f>Idiomas!D118</f>
        <v>·Para las semifinales copiar de la C232 a la C241 y pega valores en la plantilla de administrador.</v>
      </c>
      <c r="F232" s="667"/>
      <c r="G232" s="667"/>
      <c r="H232" s="667"/>
      <c r="I232" s="338"/>
      <c r="J232" s="356"/>
      <c r="K232" s="356"/>
      <c r="L232" s="356"/>
      <c r="M232" s="372"/>
      <c r="N232" s="363"/>
    </row>
    <row r="233" spans="1:14" ht="15" customHeight="1">
      <c r="A233" s="669"/>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2"/>
      <c r="E233" s="667"/>
      <c r="F233" s="667"/>
      <c r="G233" s="667"/>
      <c r="H233" s="667"/>
      <c r="I233" s="338"/>
      <c r="J233" s="356"/>
      <c r="K233" s="356"/>
      <c r="L233" s="356"/>
      <c r="M233" s="372"/>
      <c r="N233" s="363"/>
    </row>
    <row r="234" spans="1:14" ht="15" customHeight="1">
      <c r="A234" s="339"/>
      <c r="B234" s="339"/>
      <c r="C234" s="336"/>
      <c r="D234" s="672"/>
      <c r="E234" s="667"/>
      <c r="F234" s="667"/>
      <c r="G234" s="667"/>
      <c r="H234" s="667"/>
      <c r="I234" s="338"/>
      <c r="J234" s="356"/>
      <c r="K234" s="356"/>
      <c r="L234" s="356"/>
      <c r="M234" s="372"/>
      <c r="N234" s="363"/>
    </row>
    <row r="235" spans="1:14" ht="18.5">
      <c r="A235" s="339"/>
      <c r="B235" s="344" t="str">
        <f>Idiomas!D135</f>
        <v>CLASIFICADOS PARA EL 3º y 4º PUESTO</v>
      </c>
      <c r="C235" s="336"/>
      <c r="D235" s="672"/>
      <c r="E235" s="667"/>
      <c r="F235" s="667"/>
      <c r="G235" s="667"/>
      <c r="H235" s="667"/>
      <c r="I235" s="338"/>
      <c r="J235" s="356"/>
      <c r="K235" s="356"/>
      <c r="L235" s="356"/>
      <c r="M235" s="372"/>
      <c r="N235" s="363"/>
    </row>
    <row r="236" spans="1:14" ht="15" customHeight="1">
      <c r="A236" s="669" t="s">
        <v>503</v>
      </c>
      <c r="B236" s="346" t="str">
        <f>Idiomas!D192</f>
        <v>3º y 4º puesto</v>
      </c>
      <c r="C236" s="335" t="str">
        <f>WORLDCUP!AA143</f>
        <v>L101</v>
      </c>
      <c r="D236" s="672"/>
      <c r="E236" s="360"/>
      <c r="F236" s="360"/>
      <c r="G236" s="360"/>
      <c r="H236" s="360"/>
      <c r="I236" s="338"/>
      <c r="J236" s="356"/>
      <c r="K236" s="356"/>
      <c r="L236" s="356"/>
      <c r="M236" s="372"/>
      <c r="N236" s="363"/>
    </row>
    <row r="237" spans="1:14" ht="15" customHeight="1">
      <c r="A237" s="669"/>
      <c r="B237" s="346" t="str">
        <f>Idiomas!D192</f>
        <v>3º y 4º puesto</v>
      </c>
      <c r="C237" s="335" t="str">
        <f>WORLDCUP!AF143</f>
        <v>L102</v>
      </c>
      <c r="D237" s="672"/>
      <c r="E237" s="360"/>
      <c r="F237" s="360"/>
      <c r="G237" s="360"/>
      <c r="H237" s="360"/>
      <c r="I237" s="338"/>
      <c r="J237" s="356"/>
      <c r="K237" s="356"/>
      <c r="L237" s="356"/>
      <c r="M237" s="372"/>
      <c r="N237" s="363"/>
    </row>
    <row r="238" spans="1:14" ht="15" customHeight="1">
      <c r="A238" s="339"/>
      <c r="B238" s="339"/>
      <c r="C238" s="336"/>
      <c r="D238" s="672"/>
      <c r="E238" s="360"/>
      <c r="F238" s="360"/>
      <c r="G238" s="360"/>
      <c r="H238" s="360"/>
      <c r="I238" s="338"/>
      <c r="J238" s="356"/>
      <c r="K238" s="356"/>
      <c r="L238" s="356"/>
      <c r="M238" s="372"/>
      <c r="N238" s="363"/>
    </row>
    <row r="239" spans="1:14" ht="19" customHeight="1">
      <c r="A239" s="339"/>
      <c r="B239" s="344" t="str">
        <f>Idiomas!D136</f>
        <v>CLASIFICADOS PARA LA FINAL</v>
      </c>
      <c r="C239" s="336"/>
      <c r="D239" s="672"/>
      <c r="E239" s="360"/>
      <c r="F239" s="360"/>
      <c r="G239" s="360"/>
      <c r="H239" s="360"/>
      <c r="I239" s="338"/>
      <c r="J239" s="356"/>
      <c r="K239" s="356"/>
      <c r="L239" s="356"/>
      <c r="M239" s="372"/>
      <c r="N239" s="363"/>
    </row>
    <row r="240" spans="1:14" ht="15" customHeight="1">
      <c r="A240" s="669" t="s">
        <v>4</v>
      </c>
      <c r="B240" s="346" t="str">
        <f>Idiomas!D193</f>
        <v>Finalista</v>
      </c>
      <c r="C240" s="335" t="str">
        <f>WORLDCUP!AA147</f>
        <v>W101</v>
      </c>
      <c r="D240" s="672"/>
      <c r="E240" s="356"/>
      <c r="F240" s="356"/>
      <c r="G240" s="356"/>
      <c r="H240" s="356"/>
      <c r="I240" s="338"/>
      <c r="J240" s="356"/>
      <c r="K240" s="356"/>
      <c r="L240" s="356"/>
      <c r="M240" s="372"/>
      <c r="N240" s="363"/>
    </row>
    <row r="241" spans="1:14" ht="15" customHeight="1">
      <c r="A241" s="669"/>
      <c r="B241" s="346" t="str">
        <f>B240</f>
        <v>Finalista</v>
      </c>
      <c r="C241" s="335" t="str">
        <f>WORLDCUP!AF147</f>
        <v>W102</v>
      </c>
      <c r="D241" s="672"/>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0" t="s">
        <v>583</v>
      </c>
      <c r="E244" s="668" t="str">
        <f>Idiomas!D119</f>
        <v>·Para el 3º y 4º puesto y la Final copiar de la C244 a la C252 y pega valores en la plantilla de administrador.</v>
      </c>
      <c r="F244" s="668"/>
      <c r="G244" s="668"/>
      <c r="H244" s="668"/>
      <c r="I244" s="367"/>
      <c r="J244" s="356"/>
      <c r="K244" s="356"/>
      <c r="L244" s="356"/>
      <c r="M244" s="372"/>
      <c r="N244" s="363"/>
    </row>
    <row r="245" spans="1:14" ht="15" customHeight="1">
      <c r="A245" s="339"/>
      <c r="B245" s="339"/>
      <c r="C245" s="336"/>
      <c r="D245" s="670"/>
      <c r="E245" s="668"/>
      <c r="F245" s="668"/>
      <c r="G245" s="668"/>
      <c r="H245" s="668"/>
      <c r="I245" s="367"/>
      <c r="J245" s="356"/>
      <c r="K245" s="356"/>
      <c r="L245" s="356"/>
      <c r="M245" s="372"/>
      <c r="N245" s="363"/>
    </row>
    <row r="246" spans="1:14" ht="21" customHeight="1">
      <c r="A246" s="339"/>
      <c r="B246" s="344" t="str">
        <f>Idiomas!D138</f>
        <v>ENFRENTAMIENTO FINAL</v>
      </c>
      <c r="C246" s="336"/>
      <c r="D246" s="670"/>
      <c r="E246" s="668"/>
      <c r="F246" s="668"/>
      <c r="G246" s="668"/>
      <c r="H246" s="668"/>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0"/>
      <c r="E247" s="362"/>
      <c r="F247" s="362"/>
      <c r="G247" s="362"/>
      <c r="H247" s="362"/>
      <c r="I247" s="367"/>
      <c r="J247" s="356"/>
      <c r="K247" s="356"/>
      <c r="L247" s="356"/>
      <c r="M247" s="372"/>
      <c r="N247" s="363"/>
    </row>
    <row r="248" spans="1:14" ht="15" customHeight="1">
      <c r="A248" s="339"/>
      <c r="B248" s="339"/>
      <c r="C248" s="336"/>
      <c r="D248" s="670"/>
      <c r="E248" s="360"/>
      <c r="F248" s="360"/>
      <c r="G248" s="360"/>
      <c r="H248" s="360"/>
      <c r="I248" s="367"/>
      <c r="J248" s="356"/>
      <c r="K248" s="356"/>
      <c r="L248" s="356"/>
      <c r="M248" s="372"/>
      <c r="N248" s="363"/>
    </row>
    <row r="249" spans="1:14" ht="19" customHeight="1">
      <c r="A249" s="339"/>
      <c r="B249" s="344" t="str">
        <f>Idiomas!D139</f>
        <v>CUADRO DE HONOR</v>
      </c>
      <c r="C249" s="336"/>
      <c r="D249" s="670"/>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0"/>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0"/>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0"/>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6" t="str">
        <f>Idiomas!D120</f>
        <v>·Al inicio de la competición si se hace por fases copiar de la C253 a la C258 y pegarla al final del jugador en el archivo de administrador.</v>
      </c>
      <c r="F253" s="666"/>
      <c r="G253" s="666"/>
      <c r="H253" s="666"/>
      <c r="I253" s="378"/>
      <c r="J253" s="378"/>
      <c r="K253" s="378"/>
      <c r="L253" s="379"/>
      <c r="M253" s="379"/>
      <c r="N253" s="363"/>
    </row>
    <row r="254" spans="1:14" ht="15" customHeight="1">
      <c r="A254" s="352"/>
      <c r="B254" s="346" t="e">
        <f>WORLDCUP!#REF!</f>
        <v>#REF!</v>
      </c>
      <c r="C254" s="335" t="e">
        <f>WORLDCUP!#REF!</f>
        <v>#REF!</v>
      </c>
      <c r="D254" s="357"/>
      <c r="E254" s="666"/>
      <c r="F254" s="666"/>
      <c r="G254" s="666"/>
      <c r="H254" s="666"/>
      <c r="I254" s="378"/>
      <c r="J254" s="378"/>
      <c r="K254" s="378"/>
      <c r="L254" s="379"/>
      <c r="M254" s="379"/>
      <c r="N254" s="363"/>
    </row>
    <row r="255" spans="1:14" ht="15" customHeight="1">
      <c r="A255" s="352"/>
      <c r="B255" s="346" t="e">
        <f>WORLDCUP!#REF!</f>
        <v>#REF!</v>
      </c>
      <c r="C255" s="335" t="e">
        <f>WORLDCUP!#REF!</f>
        <v>#REF!</v>
      </c>
      <c r="D255" s="357"/>
      <c r="E255" s="666"/>
      <c r="F255" s="666"/>
      <c r="G255" s="666"/>
      <c r="H255" s="666"/>
      <c r="I255" s="378"/>
      <c r="J255" s="378"/>
      <c r="K255" s="378"/>
      <c r="L255" s="379"/>
      <c r="M255" s="379"/>
      <c r="N255" s="363"/>
    </row>
    <row r="256" spans="1:14" ht="15" customHeight="1">
      <c r="A256" s="349"/>
      <c r="B256" s="346" t="str">
        <f>WORLDCUP!W156</f>
        <v>Balón de Oro  (mejor jugador)</v>
      </c>
      <c r="C256" s="335">
        <f>WORLDCUP!AA156</f>
        <v>0</v>
      </c>
      <c r="D256" s="357"/>
      <c r="E256" s="666"/>
      <c r="F256" s="666"/>
      <c r="G256" s="666"/>
      <c r="H256" s="666"/>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3</v>
      </c>
      <c r="J4" s="429">
        <f ca="1">+INDEX(WORLDCUP!$AT$6:$AT$97,MATCH(L4,WORLDCUP!$AI$6:$AI$97,0))</f>
        <v>2</v>
      </c>
      <c r="K4" s="430" t="str">
        <f ca="1">+INDEX(WORLDCUP!$AR$6:$AR$97,MATCH(L4,WORLDCUP!$AI$6:$AI$97,0))&amp;"-"&amp;INDEX(WORLDCUP!$AS$6:$AS$97,MATCH(L4,WORLDCUP!$AI$6:$AI$97,0))</f>
        <v>2-0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Irá</v>
      </c>
      <c r="U4" s="428">
        <f ca="1">+INDEX(WORLDCUP!$AM$6:$AM$97,MATCH(X4,WORLDCUP!$AI$6:$AI$97,0))</f>
        <v>1</v>
      </c>
      <c r="V4" s="429">
        <f ca="1">+INDEX(WORLDCUP!$AT$6:$AT$97,MATCH(X4,WORLDCUP!$AI$6:$AI$97,0))</f>
        <v>0</v>
      </c>
      <c r="W4" s="430" t="str">
        <f ca="1">+INDEX(WORLDCUP!$AR$6:$AR$97,MATCH(X4,WORLDCUP!$AI$6:$AI$97,0))&amp;"-"&amp;INDEX(WORLDCUP!$AS$6:$AS$97,MATCH(X4,WORLDCUP!$AI$6:$AI$97,0))</f>
        <v>2-2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t="str">
        <f>IF(ISBLANK(INDEX(WORLDCUP!$AC$4:$AC$147,MATCH(A5,WORLDCUP!$AH$4:$AH$147,0))),"",INDEX(WORLDCUP!$AC$4:$AC$147,MATCH(A5,WORLDCUP!$AH$4:$AH$147,0)))</f>
        <v/>
      </c>
      <c r="E5" s="424" t="str">
        <f>IF(ISBLANK(INDEX(WORLDCUP!$AD$4:$AD$147,MATCH(A5,WORLDCUP!$AH$4:$AH$147,0))),"",INDEX(WORLDCUP!$AD$4:$AD$147,MATCH(A5,WORLDCUP!$AH$4:$AH$147,0)))</f>
        <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73" t="s">
        <v>658</v>
      </c>
      <c r="M5" s="173">
        <v>39</v>
      </c>
      <c r="N5" s="431"/>
      <c r="O5" s="423" t="str">
        <f ca="1">+MID(INDEX(WORLDCUP!$AA$4:$AA$147,MATCH(M5,WORLDCUP!$AH$4:$AH$147,0)),1,3)</f>
        <v>Bél</v>
      </c>
      <c r="P5" s="424" t="str">
        <f>IF(ISBLANK(INDEX(WORLDCUP!$AC$4:$AC$147,MATCH(M5,WORLDCUP!$AH$4:$AH$147,0))),"",INDEX(WORLDCUP!$AC$4:$AC$147,MATCH(M5,WORLDCUP!$AH$4:$AH$147,0)))</f>
        <v/>
      </c>
      <c r="Q5" s="424" t="str">
        <f>IF(ISBLANK(INDEX(WORLDCUP!$AD$4:$AD$147,MATCH(M5,WORLDCUP!$AH$4:$AH$147,0))),"",INDEX(WORLDCUP!$AD$4:$AD$147,MATCH(M5,WORLDCUP!$AH$4:$AH$147,0)))</f>
        <v/>
      </c>
      <c r="R5" s="425" t="str">
        <f ca="1">+MID(INDEX(WORLDCUP!$AF$4:$AF$147,MATCH(M5,WORLDCUP!$AH$4:$AH$147,0)),1,3)</f>
        <v>Irá</v>
      </c>
      <c r="S5" s="446">
        <v>2</v>
      </c>
      <c r="T5" s="447"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t="str">
        <f>IF(ISBLANK(INDEX(WORLDCUP!$AC$4:$AC$147,MATCH(A6,WORLDCUP!$AH$4:$AH$147,0))),"",INDEX(WORLDCUP!$AC$4:$AC$147,MATCH(A6,WORLDCUP!$AH$4:$AH$147,0)))</f>
        <v/>
      </c>
      <c r="E6" s="424" t="str">
        <f>IF(ISBLANK(INDEX(WORLDCUP!$AD$4:$AD$147,MATCH(A6,WORLDCUP!$AH$4:$AH$147,0))),"",INDEX(WORLDCUP!$AD$4:$AD$147,MATCH(A6,WORLDCUP!$AH$4:$AH$147,0)))</f>
        <v/>
      </c>
      <c r="F6" s="425" t="str">
        <f ca="1">+MID(INDEX(WORLDCUP!$AF$4:$AF$147,MATCH(A6,WORLDCUP!$AH$4:$AH$147,0)),1,3)</f>
        <v>Cor</v>
      </c>
      <c r="G6" s="446">
        <v>3</v>
      </c>
      <c r="H6" s="447"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73" t="s">
        <v>90</v>
      </c>
      <c r="M6" s="173">
        <v>40</v>
      </c>
      <c r="N6" s="431"/>
      <c r="O6" s="423" t="str">
        <f ca="1">+MID(INDEX(WORLDCUP!$AA$4:$AA$147,MATCH(M6,WORLDCUP!$AH$4:$AH$147,0)),1,3)</f>
        <v>Nue</v>
      </c>
      <c r="P6" s="424" t="str">
        <f>IF(ISBLANK(INDEX(WORLDCUP!$AC$4:$AC$147,MATCH(M6,WORLDCUP!$AH$4:$AH$147,0))),"",INDEX(WORLDCUP!$AC$4:$AC$147,MATCH(M6,WORLDCUP!$AH$4:$AH$147,0)))</f>
        <v/>
      </c>
      <c r="Q6" s="424" t="str">
        <f>IF(ISBLANK(INDEX(WORLDCUP!$AD$4:$AD$147,MATCH(M6,WORLDCUP!$AH$4:$AH$147,0))),"",INDEX(WORLDCUP!$AD$4:$AD$147,MATCH(M6,WORLDCUP!$AH$4:$AH$147,0)))</f>
        <v/>
      </c>
      <c r="R6" s="425" t="str">
        <f ca="1">+MID(INDEX(WORLDCUP!$AF$4:$AF$147,MATCH(M6,WORLDCUP!$AH$4:$AH$147,0)),1,3)</f>
        <v>Egi</v>
      </c>
      <c r="S6" s="446">
        <v>3</v>
      </c>
      <c r="T6" s="447"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0</v>
      </c>
      <c r="J7" s="457">
        <f ca="1">+INDEX(WORLDCUP!$AT$6:$AT$97,MATCH(L7,WORLDCUP!$AI$6:$AI$97,0))</f>
        <v>-2</v>
      </c>
      <c r="K7" s="458" t="str">
        <f ca="1">+INDEX(WORLDCUP!$AR$6:$AR$97,MATCH(L7,WORLDCUP!$AI$6:$AI$97,0))&amp;"-"&amp;INDEX(WORLDCUP!$AS$6:$AS$97,MATCH(L7,WORLDCUP!$AI$6:$AI$97,0))</f>
        <v>0-2</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Egi</v>
      </c>
      <c r="U7" s="456">
        <f ca="1">+INDEX(WORLDCUP!$AM$6:$AM$97,MATCH(X7,WORLDCUP!$AI$6:$AI$97,0))</f>
        <v>1</v>
      </c>
      <c r="V7" s="457">
        <f ca="1">+INDEX(WORLDCUP!$AT$6:$AT$97,MATCH(X7,WORLDCUP!$AI$6:$AI$97,0))</f>
        <v>0</v>
      </c>
      <c r="W7" s="458" t="str">
        <f ca="1">+INDEX(WORLDCUP!$AR$6:$AR$97,MATCH(X7,WORLDCUP!$AI$6:$AI$97,0))&amp;"-"&amp;INDEX(WORLDCUP!$AS$6:$AS$97,MATCH(X7,WORLDCUP!$AI$6:$AI$97,0))</f>
        <v>1-1</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1</v>
      </c>
      <c r="J12" s="429">
        <f ca="1">+INDEX(WORLDCUP!$AT$6:$AT$97,MATCH(L12,WORLDCUP!$AI$6:$AI$97,0))</f>
        <v>0</v>
      </c>
      <c r="K12" s="430" t="str">
        <f ca="1">+INDEX(WORLDCUP!$AR$6:$AR$97,MATCH(L12,WORLDCUP!$AI$6:$AI$97,0))&amp;"-"&amp;INDEX(WORLDCUP!$AS$6:$AS$97,MATCH(L12,WORLDCUP!$AI$6:$AI$97,0))</f>
        <v>1-1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Ara</v>
      </c>
      <c r="U12" s="428">
        <f ca="1">+INDEX(WORLDCUP!$AM$6:$AM$97,MATCH(X12,WORLDCUP!$AI$6:$AI$97,0))</f>
        <v>1</v>
      </c>
      <c r="V12" s="429">
        <f ca="1">+INDEX(WORLDCUP!$AT$6:$AT$97,MATCH(X12,WORLDCUP!$AI$6:$AI$97,0))</f>
        <v>0</v>
      </c>
      <c r="W12" s="430" t="str">
        <f ca="1">+INDEX(WORLDCUP!$AR$6:$AR$97,MATCH(X12,WORLDCUP!$AI$6:$AI$97,0))&amp;"-"&amp;INDEX(WORLDCUP!$AS$6:$AS$97,MATCH(X12,WORLDCUP!$AI$6:$AI$97,0))</f>
        <v>1-1</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t="str">
        <f>IF(ISBLANK(INDEX(WORLDCUP!$AC$4:$AC$147,MATCH(A13,WORLDCUP!$AH$4:$AH$147,0))),"",INDEX(WORLDCUP!$AC$4:$AC$147,MATCH(A13,WORLDCUP!$AH$4:$AH$147,0)))</f>
        <v/>
      </c>
      <c r="E13" s="424" t="str">
        <f>IF(ISBLANK(INDEX(WORLDCUP!$AD$4:$AD$147,MATCH(A13,WORLDCUP!$AH$4:$AH$147,0))),"",INDEX(WORLDCUP!$AD$4:$AD$147,MATCH(A13,WORLDCUP!$AH$4:$AH$147,0)))</f>
        <v/>
      </c>
      <c r="F13" s="425" t="str">
        <f ca="1">+MID(INDEX(WORLDCUP!$AF$4:$AF$147,MATCH(A13,WORLDCUP!$AH$4:$AH$147,0)),1,3)</f>
        <v>Bos</v>
      </c>
      <c r="G13" s="446">
        <v>2</v>
      </c>
      <c r="H13" s="447"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73" t="s">
        <v>661</v>
      </c>
      <c r="M13" s="173">
        <v>38</v>
      </c>
      <c r="N13" s="484"/>
      <c r="O13" s="423" t="str">
        <f ca="1">+MID(INDEX(WORLDCUP!$AA$4:$AA$147,MATCH(M13,WORLDCUP!$AH$4:$AH$147,0)),1,3)</f>
        <v>Esp</v>
      </c>
      <c r="P13" s="424" t="str">
        <f>IF(ISBLANK(INDEX(WORLDCUP!$AC$4:$AC$147,MATCH(M13,WORLDCUP!$AH$4:$AH$147,0))),"",INDEX(WORLDCUP!$AC$4:$AC$147,MATCH(M13,WORLDCUP!$AH$4:$AH$147,0)))</f>
        <v/>
      </c>
      <c r="Q13" s="424" t="str">
        <f>IF(ISBLANK(INDEX(WORLDCUP!$AD$4:$AD$147,MATCH(M13,WORLDCUP!$AH$4:$AH$147,0))),"",INDEX(WORLDCUP!$AD$4:$AD$147,MATCH(M13,WORLDCUP!$AH$4:$AH$147,0)))</f>
        <v/>
      </c>
      <c r="R13" s="425" t="str">
        <f ca="1">+MID(INDEX(WORLDCUP!$AF$4:$AF$147,MATCH(M13,WORLDCUP!$AH$4:$AH$147,0)),1,3)</f>
        <v>Ara</v>
      </c>
      <c r="S13" s="446">
        <v>2</v>
      </c>
      <c r="T13" s="447"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t="str">
        <f>IF(ISBLANK(INDEX(WORLDCUP!$AC$4:$AC$147,MATCH(A14,WORLDCUP!$AH$4:$AH$147,0))),"",INDEX(WORLDCUP!$AC$4:$AC$147,MATCH(A14,WORLDCUP!$AH$4:$AH$147,0)))</f>
        <v/>
      </c>
      <c r="E14" s="424" t="str">
        <f>IF(ISBLANK(INDEX(WORLDCUP!$AD$4:$AD$147,MATCH(A14,WORLDCUP!$AH$4:$AH$147,0))),"",INDEX(WORLDCUP!$AD$4:$AD$147,MATCH(A14,WORLDCUP!$AH$4:$AH$147,0)))</f>
        <v/>
      </c>
      <c r="F14" s="425" t="str">
        <f ca="1">+MID(INDEX(WORLDCUP!$AF$4:$AF$147,MATCH(A14,WORLDCUP!$AH$4:$AH$147,0)),1,3)</f>
        <v>Cat</v>
      </c>
      <c r="G14" s="446">
        <v>3</v>
      </c>
      <c r="H14" s="447"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73" t="s">
        <v>91</v>
      </c>
      <c r="M14" s="173">
        <v>37</v>
      </c>
      <c r="N14" s="484"/>
      <c r="O14" s="423" t="str">
        <f ca="1">+MID(INDEX(WORLDCUP!$AA$4:$AA$147,MATCH(M14,WORLDCUP!$AH$4:$AH$147,0)),1,3)</f>
        <v>Uru</v>
      </c>
      <c r="P14" s="424" t="str">
        <f>IF(ISBLANK(INDEX(WORLDCUP!$AC$4:$AC$147,MATCH(M14,WORLDCUP!$AH$4:$AH$147,0))),"",INDEX(WORLDCUP!$AC$4:$AC$147,MATCH(M14,WORLDCUP!$AH$4:$AH$147,0)))</f>
        <v/>
      </c>
      <c r="Q14" s="424" t="str">
        <f>IF(ISBLANK(INDEX(WORLDCUP!$AD$4:$AD$147,MATCH(M14,WORLDCUP!$AH$4:$AH$147,0))),"",INDEX(WORLDCUP!$AD$4:$AD$147,MATCH(M14,WORLDCUP!$AH$4:$AH$147,0)))</f>
        <v/>
      </c>
      <c r="R14" s="425" t="str">
        <f ca="1">+MID(INDEX(WORLDCUP!$AF$4:$AF$147,MATCH(M14,WORLDCUP!$AH$4:$AH$147,0)),1,3)</f>
        <v>Cab</v>
      </c>
      <c r="S14" s="446">
        <v>3</v>
      </c>
      <c r="T14" s="447"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Sui</v>
      </c>
      <c r="I15" s="456">
        <f ca="1">+INDEX(WORLDCUP!$AM$6:$AM$97,MATCH(L15,WORLDCUP!$AI$6:$AI$97,0))</f>
        <v>1</v>
      </c>
      <c r="J15" s="457">
        <f ca="1">+INDEX(WORLDCUP!$AT$6:$AT$97,MATCH(L15,WORLDCUP!$AI$6:$AI$97,0))</f>
        <v>0</v>
      </c>
      <c r="K15" s="458" t="str">
        <f ca="1">+INDEX(WORLDCUP!$AR$6:$AR$97,MATCH(L15,WORLDCUP!$AI$6:$AI$97,0))&amp;"-"&amp;INDEX(WORLDCUP!$AS$6:$AS$97,MATCH(L15,WORLDCUP!$AI$6:$AI$97,0))</f>
        <v>1-1</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Cab</v>
      </c>
      <c r="U15" s="456">
        <f ca="1">+INDEX(WORLDCUP!$AM$6:$AM$97,MATCH(X15,WORLDCUP!$AI$6:$AI$97,0))</f>
        <v>1</v>
      </c>
      <c r="V15" s="457">
        <f ca="1">+INDEX(WORLDCUP!$AT$6:$AT$97,MATCH(X15,WORLDCUP!$AI$6:$AI$97,0))</f>
        <v>0</v>
      </c>
      <c r="W15" s="458" t="str">
        <f ca="1">+INDEX(WORLDCUP!$AR$6:$AR$97,MATCH(X15,WORLDCUP!$AI$6:$AI$97,0))&amp;"-"&amp;INDEX(WORLDCUP!$AS$6:$AS$97,MATCH(X15,WORLDCUP!$AI$6:$AI$97,0))</f>
        <v>0-0</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Esc</v>
      </c>
      <c r="I20" s="428">
        <f ca="1">+INDEX(WORLDCUP!$AM$6:$AM$97,MATCH(L20,WORLDCUP!$AI$6:$AI$97,0))</f>
        <v>3</v>
      </c>
      <c r="J20" s="429">
        <f ca="1">+INDEX(WORLDCUP!$AT$6:$AT$97,MATCH(L20,WORLDCUP!$AI$6:$AI$97,0))</f>
        <v>1</v>
      </c>
      <c r="K20" s="430" t="str">
        <f ca="1">+INDEX(WORLDCUP!$AR$6:$AR$97,MATCH(L20,WORLDCUP!$AI$6:$AI$97,0))&amp;"-"&amp;INDEX(WORLDCUP!$AS$6:$AS$97,MATCH(L20,WORLDCUP!$AI$6:$AI$97,0))</f>
        <v>1-0</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Nor</v>
      </c>
      <c r="U20" s="428">
        <f ca="1">+INDEX(WORLDCUP!$AM$6:$AM$97,MATCH(X20,WORLDCUP!$AI$6:$AI$97,0))</f>
        <v>3</v>
      </c>
      <c r="V20" s="429">
        <f ca="1">+INDEX(WORLDCUP!$AT$6:$AT$97,MATCH(X20,WORLDCUP!$AI$6:$AI$97,0))</f>
        <v>3</v>
      </c>
      <c r="W20" s="430" t="str">
        <f ca="1">+INDEX(WORLDCUP!$AR$6:$AR$97,MATCH(X20,WORLDCUP!$AI$6:$AI$97,0))&amp;"-"&amp;INDEX(WORLDCUP!$AS$6:$AS$97,MATCH(X20,WORLDCUP!$AI$6:$AI$97,0))</f>
        <v>4-1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t="str">
        <f>IF(ISBLANK(INDEX(WORLDCUP!$AC$4:$AC$147,MATCH(A21,WORLDCUP!$AH$4:$AH$147,0))),"",INDEX(WORLDCUP!$AC$4:$AC$147,MATCH(A21,WORLDCUP!$AH$4:$AH$147,0)))</f>
        <v/>
      </c>
      <c r="E21" s="424" t="str">
        <f>IF(ISBLANK(INDEX(WORLDCUP!$AD$4:$AD$147,MATCH(A21,WORLDCUP!$AH$4:$AH$147,0))),"",INDEX(WORLDCUP!$AD$4:$AD$147,MATCH(A21,WORLDCUP!$AH$4:$AH$147,0)))</f>
        <v/>
      </c>
      <c r="F21" s="425" t="str">
        <f ca="1">+MID(INDEX(WORLDCUP!$AF$4:$AF$147,MATCH(A21,WORLDCUP!$AH$4:$AH$147,0)),1,3)</f>
        <v>Mar</v>
      </c>
      <c r="G21" s="446">
        <v>2</v>
      </c>
      <c r="H21" s="447"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73" t="s">
        <v>668</v>
      </c>
      <c r="M21" s="173">
        <v>42</v>
      </c>
      <c r="N21" s="501"/>
      <c r="O21" s="423" t="str">
        <f ca="1">+MID(INDEX(WORLDCUP!$AA$4:$AA$147,MATCH(M21,WORLDCUP!$AH$4:$AH$147,0)),1,3)</f>
        <v>Fra</v>
      </c>
      <c r="P21" s="424" t="str">
        <f>IF(ISBLANK(INDEX(WORLDCUP!$AC$4:$AC$147,MATCH(M21,WORLDCUP!$AH$4:$AH$147,0))),"",INDEX(WORLDCUP!$AC$4:$AC$147,MATCH(M21,WORLDCUP!$AH$4:$AH$147,0)))</f>
        <v/>
      </c>
      <c r="Q21" s="424" t="str">
        <f>IF(ISBLANK(INDEX(WORLDCUP!$AD$4:$AD$147,MATCH(M21,WORLDCUP!$AH$4:$AH$147,0))),"",INDEX(WORLDCUP!$AD$4:$AD$147,MATCH(M21,WORLDCUP!$AH$4:$AH$147,0)))</f>
        <v/>
      </c>
      <c r="R21" s="425" t="str">
        <f ca="1">+MID(INDEX(WORLDCUP!$AF$4:$AF$147,MATCH(M21,WORLDCUP!$AH$4:$AH$147,0)),1,3)</f>
        <v>Ira</v>
      </c>
      <c r="S21" s="446">
        <v>2</v>
      </c>
      <c r="T21" s="447"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t="str">
        <f>IF(ISBLANK(INDEX(WORLDCUP!$AC$4:$AC$147,MATCH(A22,WORLDCUP!$AH$4:$AH$147,0))),"",INDEX(WORLDCUP!$AC$4:$AC$147,MATCH(A22,WORLDCUP!$AH$4:$AH$147,0)))</f>
        <v/>
      </c>
      <c r="E22" s="424" t="str">
        <f>IF(ISBLANK(INDEX(WORLDCUP!$AD$4:$AD$147,MATCH(A22,WORLDCUP!$AH$4:$AH$147,0))),"",INDEX(WORLDCUP!$AD$4:$AD$147,MATCH(A22,WORLDCUP!$AH$4:$AH$147,0)))</f>
        <v/>
      </c>
      <c r="F22" s="425" t="str">
        <f ca="1">+MID(INDEX(WORLDCUP!$AF$4:$AF$147,MATCH(A22,WORLDCUP!$AH$4:$AH$147,0)),1,3)</f>
        <v>Hai</v>
      </c>
      <c r="G22" s="446">
        <v>3</v>
      </c>
      <c r="H22" s="447"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t="str">
        <f>IF(ISBLANK(INDEX(WORLDCUP!$AC$4:$AC$147,MATCH(M22,WORLDCUP!$AH$4:$AH$147,0))),"",INDEX(WORLDCUP!$AC$4:$AC$147,MATCH(M22,WORLDCUP!$AH$4:$AH$147,0)))</f>
        <v/>
      </c>
      <c r="Q22" s="424" t="str">
        <f>IF(ISBLANK(INDEX(WORLDCUP!$AD$4:$AD$147,MATCH(M22,WORLDCUP!$AH$4:$AH$147,0))),"",INDEX(WORLDCUP!$AD$4:$AD$147,MATCH(M22,WORLDCUP!$AH$4:$AH$147,0)))</f>
        <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-1</v>
      </c>
      <c r="K23" s="458" t="str">
        <f ca="1">+INDEX(WORLDCUP!$AR$6:$AR$97,MATCH(L23,WORLDCUP!$AI$6:$AI$97,0))&amp;"-"&amp;INDEX(WORLDCUP!$AS$6:$AS$97,MATCH(L23,WORLDCUP!$AI$6:$AI$97,0))</f>
        <v>0-1</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-3</v>
      </c>
      <c r="W23" s="458" t="str">
        <f ca="1">+INDEX(WORLDCUP!$AR$6:$AR$97,MATCH(X23,WORLDCUP!$AI$6:$AI$97,0))&amp;"-"&amp;INDEX(WORLDCUP!$AS$6:$AS$97,MATCH(X23,WORLDCUP!$AI$6:$AI$97,0))</f>
        <v>1-4</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3</v>
      </c>
      <c r="J28" s="429">
        <f ca="1">+INDEX(WORLDCUP!$AT$6:$AT$97,MATCH(L28,WORLDCUP!$AI$6:$AI$97,0))</f>
        <v>3</v>
      </c>
      <c r="K28" s="430" t="str">
        <f ca="1">+INDEX(WORLDCUP!$AR$6:$AR$97,MATCH(L28,WORLDCUP!$AI$6:$AI$97,0))&amp;"-"&amp;INDEX(WORLDCUP!$AS$6:$AS$97,MATCH(L28,WORLDCUP!$AI$6:$AI$97,0))</f>
        <v>4-1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3</v>
      </c>
      <c r="V28" s="429">
        <f ca="1">+INDEX(WORLDCUP!$AT$6:$AT$97,MATCH(X28,WORLDCUP!$AI$6:$AI$97,0))</f>
        <v>3</v>
      </c>
      <c r="W28" s="430" t="str">
        <f ca="1">+INDEX(WORLDCUP!$AR$6:$AR$97,MATCH(X28,WORLDCUP!$AI$6:$AI$97,0))&amp;"-"&amp;INDEX(WORLDCUP!$AS$6:$AS$97,MATCH(X28,WORLDCUP!$AI$6:$AI$97,0))</f>
        <v>3-0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t="str">
        <f>IF(ISBLANK(INDEX(WORLDCUP!$AC$4:$AC$147,MATCH(A29,WORLDCUP!$AH$4:$AH$147,0))),"",INDEX(WORLDCUP!$AC$4:$AC$147,MATCH(A29,WORLDCUP!$AH$4:$AH$147,0)))</f>
        <v/>
      </c>
      <c r="E29" s="424" t="str">
        <f>IF(ISBLANK(INDEX(WORLDCUP!$AD$4:$AD$147,MATCH(A29,WORLDCUP!$AH$4:$AH$147,0))),"",INDEX(WORLDCUP!$AD$4:$AD$147,MATCH(A29,WORLDCUP!$AH$4:$AH$147,0)))</f>
        <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73" t="s">
        <v>671</v>
      </c>
      <c r="M29" s="173">
        <v>43</v>
      </c>
      <c r="N29" s="524"/>
      <c r="O29" s="423" t="str">
        <f ca="1">+MID(INDEX(WORLDCUP!$AA$4:$AA$147,MATCH(M29,WORLDCUP!$AH$4:$AH$147,0)),1,3)</f>
        <v>Arg</v>
      </c>
      <c r="P29" s="424" t="str">
        <f>IF(ISBLANK(INDEX(WORLDCUP!$AC$4:$AC$147,MATCH(M29,WORLDCUP!$AH$4:$AH$147,0))),"",INDEX(WORLDCUP!$AC$4:$AC$147,MATCH(M29,WORLDCUP!$AH$4:$AH$147,0)))</f>
        <v/>
      </c>
      <c r="Q29" s="424" t="str">
        <f>IF(ISBLANK(INDEX(WORLDCUP!$AD$4:$AD$147,MATCH(M29,WORLDCUP!$AH$4:$AH$147,0))),"",INDEX(WORLDCUP!$AD$4:$AD$147,MATCH(M29,WORLDCUP!$AH$4:$AH$147,0)))</f>
        <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t="str">
        <f>IF(ISBLANK(INDEX(WORLDCUP!$AC$4:$AC$147,MATCH(A30,WORLDCUP!$AH$4:$AH$147,0))),"",INDEX(WORLDCUP!$AC$4:$AC$147,MATCH(A30,WORLDCUP!$AH$4:$AH$147,0)))</f>
        <v/>
      </c>
      <c r="E30" s="424" t="str">
        <f>IF(ISBLANK(INDEX(WORLDCUP!$AD$4:$AD$147,MATCH(A30,WORLDCUP!$AH$4:$AH$147,0))),"",INDEX(WORLDCUP!$AD$4:$AD$147,MATCH(A30,WORLDCUP!$AH$4:$AH$147,0)))</f>
        <v/>
      </c>
      <c r="F30" s="425" t="str">
        <f ca="1">+MID(INDEX(WORLDCUP!$AF$4:$AF$147,MATCH(A30,WORLDCUP!$AH$4:$AH$147,0)),1,3)</f>
        <v>Par</v>
      </c>
      <c r="G30" s="446">
        <v>3</v>
      </c>
      <c r="H30" s="447"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73" t="s">
        <v>93</v>
      </c>
      <c r="M30" s="173">
        <v>44</v>
      </c>
      <c r="N30" s="524"/>
      <c r="O30" s="423" t="str">
        <f ca="1">+MID(INDEX(WORLDCUP!$AA$4:$AA$147,MATCH(M30,WORLDCUP!$AH$4:$AH$147,0)),1,3)</f>
        <v>Jor</v>
      </c>
      <c r="P30" s="424" t="str">
        <f>IF(ISBLANK(INDEX(WORLDCUP!$AC$4:$AC$147,MATCH(M30,WORLDCUP!$AH$4:$AH$147,0))),"",INDEX(WORLDCUP!$AC$4:$AC$147,MATCH(M30,WORLDCUP!$AH$4:$AH$147,0)))</f>
        <v/>
      </c>
      <c r="Q30" s="424" t="str">
        <f>IF(ISBLANK(INDEX(WORLDCUP!$AD$4:$AD$147,MATCH(M30,WORLDCUP!$AH$4:$AH$147,0))),"",INDEX(WORLDCUP!$AD$4:$AD$147,MATCH(M30,WORLDCUP!$AH$4:$AH$147,0)))</f>
        <v/>
      </c>
      <c r="R30" s="425" t="str">
        <f ca="1">+MID(INDEX(WORLDCUP!$AF$4:$AF$147,MATCH(M30,WORLDCUP!$AH$4:$AH$147,0)),1,3)</f>
        <v>Arg</v>
      </c>
      <c r="S30" s="446">
        <v>3</v>
      </c>
      <c r="T30" s="447"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Par</v>
      </c>
      <c r="I31" s="456">
        <f ca="1">+INDEX(WORLDCUP!$AM$6:$AM$97,MATCH(L31,WORLDCUP!$AI$6:$AI$97,0))</f>
        <v>0</v>
      </c>
      <c r="J31" s="457">
        <f ca="1">+INDEX(WORLDCUP!$AT$6:$AT$97,MATCH(L31,WORLDCUP!$AI$6:$AI$97,0))</f>
        <v>-3</v>
      </c>
      <c r="K31" s="458" t="str">
        <f ca="1">+INDEX(WORLDCUP!$AR$6:$AR$97,MATCH(L31,WORLDCUP!$AI$6:$AI$97,0))&amp;"-"&amp;INDEX(WORLDCUP!$AS$6:$AS$97,MATCH(L31,WORLDCUP!$AI$6:$AI$97,0))</f>
        <v>1-4</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Arg</v>
      </c>
      <c r="U31" s="456">
        <f ca="1">+INDEX(WORLDCUP!$AM$6:$AM$97,MATCH(X31,WORLDCUP!$AI$6:$AI$97,0))</f>
        <v>0</v>
      </c>
      <c r="V31" s="457">
        <f ca="1">+INDEX(WORLDCUP!$AT$6:$AT$97,MATCH(X31,WORLDCUP!$AI$6:$AI$97,0))</f>
        <v>-3</v>
      </c>
      <c r="W31" s="458" t="str">
        <f ca="1">+INDEX(WORLDCUP!$AR$6:$AR$97,MATCH(X31,WORLDCUP!$AI$6:$AI$97,0))&amp;"-"&amp;INDEX(WORLDCUP!$AS$6:$AS$97,MATCH(X31,WORLDCUP!$AI$6:$AI$97,0))</f>
        <v>0-3</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3</v>
      </c>
      <c r="J36" s="429">
        <f ca="1">+INDEX(WORLDCUP!$AT$6:$AT$97,MATCH(L36,WORLDCUP!$AI$6:$AI$97,0))</f>
        <v>6</v>
      </c>
      <c r="K36" s="430" t="str">
        <f ca="1">+INDEX(WORLDCUP!$AR$6:$AR$97,MATCH(L36,WORLDCUP!$AI$6:$AI$97,0))&amp;"-"&amp;INDEX(WORLDCUP!$AS$6:$AS$97,MATCH(L36,WORLDCUP!$AI$6:$AI$97,0))</f>
        <v>7-1</v>
      </c>
      <c r="L36" s="173" t="s">
        <v>673</v>
      </c>
      <c r="M36" s="173">
        <v>24</v>
      </c>
      <c r="N36" s="540"/>
      <c r="O36" s="423" t="str">
        <f ca="1">+MID(INDEX(WORLDCUP!$AA$4:$AA$147,MATCH(M36,WORLDCUP!$AH$4:$AH$147,0)),1,3)</f>
        <v>Uzb</v>
      </c>
      <c r="P36" s="424" t="str">
        <f>IF(ISBLANK(INDEX(WORLDCUP!$AC$4:$AC$147,MATCH(M36,WORLDCUP!$AH$4:$AH$147,0))),"",INDEX(WORLDCUP!$AC$4:$AC$147,MATCH(M36,WORLDCUP!$AH$4:$AH$147,0)))</f>
        <v/>
      </c>
      <c r="Q36" s="424" t="str">
        <f>IF(ISBLANK(INDEX(WORLDCUP!$AD$4:$AD$147,MATCH(M36,WORLDCUP!$AH$4:$AH$147,0))),"",INDEX(WORLDCUP!$AD$4:$AD$147,MATCH(M36,WORLDCUP!$AH$4:$AH$147,0)))</f>
        <v/>
      </c>
      <c r="R36" s="425" t="str">
        <f ca="1">+MID(INDEX(WORLDCUP!$AF$4:$AF$147,MATCH(M36,WORLDCUP!$AH$4:$AH$147,0)),1,3)</f>
        <v>Col</v>
      </c>
      <c r="S36" s="426">
        <v>1</v>
      </c>
      <c r="T36" s="427" t="str">
        <f ca="1">+MID(INDEX(WORLDCUP!$AL$6:$AL$97,MATCH(X36,WORLDCUP!$AI$6:$AI$97,0)),1,3)</f>
        <v>Por</v>
      </c>
      <c r="U36" s="428">
        <f ca="1">+INDEX(WORLDCUP!$AM$6:$AM$97,MATCH(X36,WORLDCUP!$AI$6:$AI$97,0))</f>
        <v>1</v>
      </c>
      <c r="V36" s="429">
        <f ca="1">+INDEX(WORLDCUP!$AT$6:$AT$97,MATCH(X36,WORLDCUP!$AI$6:$AI$97,0))</f>
        <v>0</v>
      </c>
      <c r="W36" s="430" t="str">
        <f ca="1">+INDEX(WORLDCUP!$AR$6:$AR$97,MATCH(X36,WORLDCUP!$AI$6:$AI$97,0))&amp;"-"&amp;INDEX(WORLDCUP!$AS$6:$AS$97,MATCH(X36,WORLDCUP!$AI$6:$AI$97,0))</f>
        <v>1-1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t="str">
        <f>IF(ISBLANK(INDEX(WORLDCUP!$AC$4:$AC$147,MATCH(A37,WORLDCUP!$AH$4:$AH$147,0))),"",INDEX(WORLDCUP!$AC$4:$AC$147,MATCH(A37,WORLDCUP!$AH$4:$AH$147,0)))</f>
        <v/>
      </c>
      <c r="E37" s="424" t="str">
        <f>IF(ISBLANK(INDEX(WORLDCUP!$AD$4:$AD$147,MATCH(A37,WORLDCUP!$AH$4:$AH$147,0))),"",INDEX(WORLDCUP!$AD$4:$AD$147,MATCH(A37,WORLDCUP!$AH$4:$AH$147,0)))</f>
        <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73" t="s">
        <v>674</v>
      </c>
      <c r="M37" s="173">
        <v>47</v>
      </c>
      <c r="N37" s="540"/>
      <c r="O37" s="423" t="str">
        <f ca="1">+MID(INDEX(WORLDCUP!$AA$4:$AA$147,MATCH(M37,WORLDCUP!$AH$4:$AH$147,0)),1,3)</f>
        <v>Por</v>
      </c>
      <c r="P37" s="424" t="str">
        <f>IF(ISBLANK(INDEX(WORLDCUP!$AC$4:$AC$147,MATCH(M37,WORLDCUP!$AH$4:$AH$147,0))),"",INDEX(WORLDCUP!$AC$4:$AC$147,MATCH(M37,WORLDCUP!$AH$4:$AH$147,0)))</f>
        <v/>
      </c>
      <c r="Q37" s="424" t="str">
        <f>IF(ISBLANK(INDEX(WORLDCUP!$AD$4:$AD$147,MATCH(M37,WORLDCUP!$AH$4:$AH$147,0))),"",INDEX(WORLDCUP!$AD$4:$AD$147,MATCH(M37,WORLDCUP!$AH$4:$AH$147,0)))</f>
        <v/>
      </c>
      <c r="R37" s="425" t="str">
        <f ca="1">+MID(INDEX(WORLDCUP!$AF$4:$AF$147,MATCH(M37,WORLDCUP!$AH$4:$AH$147,0)),1,3)</f>
        <v>Uzb</v>
      </c>
      <c r="S37" s="446">
        <v>2</v>
      </c>
      <c r="T37" s="447" t="str">
        <f ca="1">+MID(INDEX(WORLDCUP!$AL$6:$AL$97,MATCH(X37,WORLDCUP!$AI$6:$AI$97,0)),1,3)</f>
        <v xml:space="preserve">RD </v>
      </c>
      <c r="U37" s="38">
        <f ca="1">+INDEX(WORLDCUP!$AM$6:$AM$97,MATCH(X37,WORLDCUP!$AI$6:$AI$97,0))</f>
        <v>1</v>
      </c>
      <c r="V37" s="39">
        <f ca="1">+INDEX(WORLDCUP!$AT$6:$AT$97,MATCH(X37,WORLDCUP!$AI$6:$AI$97,0))</f>
        <v>0</v>
      </c>
      <c r="W37" s="43" t="str">
        <f ca="1">+INDEX(WORLDCUP!$AR$6:$AR$97,MATCH(X37,WORLDCUP!$AI$6:$AI$97,0))&amp;"-"&amp;INDEX(WORLDCUP!$AS$6:$AS$97,MATCH(X37,WORLDCUP!$AI$6:$AI$97,0))</f>
        <v>1-1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t="str">
        <f>IF(ISBLANK(INDEX(WORLDCUP!$AC$4:$AC$147,MATCH(A38,WORLDCUP!$AH$4:$AH$147,0))),"",INDEX(WORLDCUP!$AC$4:$AC$147,MATCH(A38,WORLDCUP!$AH$4:$AH$147,0)))</f>
        <v/>
      </c>
      <c r="E38" s="424" t="str">
        <f>IF(ISBLANK(INDEX(WORLDCUP!$AD$4:$AD$147,MATCH(A38,WORLDCUP!$AH$4:$AH$147,0))),"",INDEX(WORLDCUP!$AD$4:$AD$147,MATCH(A38,WORLDCUP!$AH$4:$AH$147,0)))</f>
        <v/>
      </c>
      <c r="F38" s="425" t="str">
        <f ca="1">+MID(INDEX(WORLDCUP!$AF$4:$AF$147,MATCH(A38,WORLDCUP!$AH$4:$AH$147,0)),1,3)</f>
        <v>Cur</v>
      </c>
      <c r="G38" s="446">
        <v>3</v>
      </c>
      <c r="H38" s="447"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0</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Col</v>
      </c>
      <c r="U39" s="456">
        <f ca="1">+INDEX(WORLDCUP!$AM$6:$AM$97,MATCH(X39,WORLDCUP!$AI$6:$AI$97,0))</f>
        <v>0</v>
      </c>
      <c r="V39" s="457">
        <f ca="1">+INDEX(WORLDCUP!$AT$6:$AT$97,MATCH(X39,WORLDCUP!$AI$6:$AI$97,0))</f>
        <v>0</v>
      </c>
      <c r="W39" s="458" t="str">
        <f ca="1">+INDEX(WORLDCUP!$AR$6:$AR$97,MATCH(X39,WORLDCUP!$AI$6:$AI$97,0))&amp;"-"&amp;INDEX(WORLDCUP!$AS$6:$AS$97,MATCH(X39,WORLDCUP!$AI$6:$AI$97,0))</f>
        <v>0-0</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t="str">
        <f>IF(ISBLANK(INDEX(WORLDCUP!$AC$4:$AC$147,MATCH(M43,WORLDCUP!$AH$4:$AH$147,0))),"",INDEX(WORLDCUP!$AC$4:$AC$147,MATCH(M43,WORLDCUP!$AH$4:$AH$147,0)))</f>
        <v/>
      </c>
      <c r="Q43" s="397" t="str">
        <f>IF(ISBLANK(INDEX(WORLDCUP!$AD$4:$AD$147,MATCH(M43,WORLDCUP!$AH$4:$AH$147,0))),"",INDEX(WORLDCUP!$AD$4:$AD$147,MATCH(M43,WORLDCUP!$AH$4:$AH$147,0)))</f>
        <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Sue</v>
      </c>
      <c r="I44" s="428">
        <f ca="1">+INDEX(WORLDCUP!$AM$6:$AM$97,MATCH(L44,WORLDCUP!$AI$6:$AI$97,0))</f>
        <v>3</v>
      </c>
      <c r="J44" s="429">
        <f ca="1">+INDEX(WORLDCUP!$AT$6:$AT$97,MATCH(L44,WORLDCUP!$AI$6:$AI$97,0))</f>
        <v>4</v>
      </c>
      <c r="K44" s="430" t="str">
        <f ca="1">+INDEX(WORLDCUP!$AR$6:$AR$97,MATCH(L44,WORLDCUP!$AI$6:$AI$97,0))&amp;"-"&amp;INDEX(WORLDCUP!$AS$6:$AS$97,MATCH(L44,WORLDCUP!$AI$6:$AI$97,0))</f>
        <v>5-1</v>
      </c>
      <c r="L44" s="173" t="s">
        <v>676</v>
      </c>
      <c r="M44" s="173">
        <v>21</v>
      </c>
      <c r="N44" s="547"/>
      <c r="O44" s="423" t="str">
        <f ca="1">+MID(INDEX(WORLDCUP!$AA$4:$AA$147,MATCH(M44,WORLDCUP!$AH$4:$AH$147,0)),1,3)</f>
        <v>Gha</v>
      </c>
      <c r="P44" s="424" t="str">
        <f>IF(ISBLANK(INDEX(WORLDCUP!$AC$4:$AC$147,MATCH(M44,WORLDCUP!$AH$4:$AH$147,0))),"",INDEX(WORLDCUP!$AC$4:$AC$147,MATCH(M44,WORLDCUP!$AH$4:$AH$147,0)))</f>
        <v/>
      </c>
      <c r="Q44" s="424" t="str">
        <f>IF(ISBLANK(INDEX(WORLDCUP!$AD$4:$AD$147,MATCH(M44,WORLDCUP!$AH$4:$AH$147,0))),"",INDEX(WORLDCUP!$AD$4:$AD$147,MATCH(M44,WORLDCUP!$AH$4:$AH$147,0)))</f>
        <v/>
      </c>
      <c r="R44" s="425" t="str">
        <f ca="1">+MID(INDEX(WORLDCUP!$AF$4:$AF$147,MATCH(M44,WORLDCUP!$AH$4:$AH$147,0)),1,3)</f>
        <v>Pan</v>
      </c>
      <c r="S44" s="426">
        <v>1</v>
      </c>
      <c r="T44" s="427" t="str">
        <f ca="1">+MID(INDEX(WORLDCUP!$AL$6:$AL$97,MATCH(X44,WORLDCUP!$AI$6:$AI$97,0)),1,3)</f>
        <v>Ing</v>
      </c>
      <c r="U44" s="428">
        <f ca="1">+INDEX(WORLDCUP!$AM$6:$AM$97,MATCH(X44,WORLDCUP!$AI$6:$AI$97,0))</f>
        <v>0</v>
      </c>
      <c r="V44" s="429">
        <f ca="1">+INDEX(WORLDCUP!$AT$6:$AT$97,MATCH(X44,WORLDCUP!$AI$6:$AI$97,0))</f>
        <v>0</v>
      </c>
      <c r="W44" s="430" t="str">
        <f ca="1">+INDEX(WORLDCUP!$AR$6:$AR$97,MATCH(X44,WORLDCUP!$AI$6:$AI$97,0))&amp;"-"&amp;INDEX(WORLDCUP!$AS$6:$AS$97,MATCH(X44,WORLDCUP!$AI$6:$AI$97,0))</f>
        <v>0-0</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t="str">
        <f>IF(ISBLANK(INDEX(WORLDCUP!$AC$4:$AC$147,MATCH(A45,WORLDCUP!$AH$4:$AH$147,0))),"",INDEX(WORLDCUP!$AC$4:$AC$147,MATCH(A45,WORLDCUP!$AH$4:$AH$147,0)))</f>
        <v/>
      </c>
      <c r="E45" s="424" t="str">
        <f>IF(ISBLANK(INDEX(WORLDCUP!$AD$4:$AD$147,MATCH(A45,WORLDCUP!$AH$4:$AH$147,0))),"",INDEX(WORLDCUP!$AD$4:$AD$147,MATCH(A45,WORLDCUP!$AH$4:$AH$147,0)))</f>
        <v/>
      </c>
      <c r="F45" s="425" t="str">
        <f ca="1">+MID(INDEX(WORLDCUP!$AF$4:$AF$147,MATCH(A45,WORLDCUP!$AH$4:$AH$147,0)),1,3)</f>
        <v>Sue</v>
      </c>
      <c r="G45" s="446">
        <v>2</v>
      </c>
      <c r="H45" s="447"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t="str">
        <f>IF(ISBLANK(INDEX(WORLDCUP!$AC$4:$AC$147,MATCH(A46,WORLDCUP!$AH$4:$AH$147,0))),"",INDEX(WORLDCUP!$AC$4:$AC$147,MATCH(A46,WORLDCUP!$AH$4:$AH$147,0)))</f>
        <v/>
      </c>
      <c r="E46" s="424" t="str">
        <f>IF(ISBLANK(INDEX(WORLDCUP!$AD$4:$AD$147,MATCH(A46,WORLDCUP!$AH$4:$AH$147,0))),"",INDEX(WORLDCUP!$AD$4:$AD$147,MATCH(A46,WORLDCUP!$AH$4:$AH$147,0)))</f>
        <v/>
      </c>
      <c r="F46" s="425" t="str">
        <f ca="1">+MID(INDEX(WORLDCUP!$AF$4:$AF$147,MATCH(A46,WORLDCUP!$AH$4:$AH$147,0)),1,3)</f>
        <v>Jap</v>
      </c>
      <c r="G46" s="446">
        <v>3</v>
      </c>
      <c r="H46" s="447"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-4</v>
      </c>
      <c r="K47" s="458" t="str">
        <f ca="1">+INDEX(WORLDCUP!$AR$6:$AR$97,MATCH(L47,WORLDCUP!$AI$6:$AI$97,0))&amp;"-"&amp;INDEX(WORLDCUP!$AS$6:$AS$97,MATCH(L47,WORLDCUP!$AI$6:$AI$97,0))</f>
        <v>1-5</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0</v>
      </c>
      <c r="W47" s="458" t="str">
        <f ca="1">+INDEX(WORLDCUP!$AR$6:$AR$97,MATCH(X47,WORLDCUP!$AI$6:$AI$97,0))&amp;"-"&amp;INDEX(WORLDCUP!$AS$6:$AS$97,MATCH(X47,WORLDCUP!$AI$6:$AI$97,0))</f>
        <v>0-0</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Ghana</v>
      </c>
      <c r="J3" s="9" t="str">
        <f ca="1">+WORLDCUP!BD68</f>
        <v>Uzbekistán</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Ghana</v>
      </c>
      <c r="J6" s="9" t="str">
        <f ca="1">+WORLDCUP!BD68</f>
        <v>Uzbekistán</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Ghana</v>
      </c>
      <c r="J7" s="9" t="str">
        <f ca="1">+WORLDCUP!BD68</f>
        <v>Uzbekistán</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Uzbekistán</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Ghana</v>
      </c>
      <c r="J11" s="9" t="str">
        <f ca="1">+WORLDCUP!BD68</f>
        <v>Uzbekistán</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Ghana</v>
      </c>
      <c r="J14" s="9" t="str">
        <f ca="1">+WORLDCUP!BD68</f>
        <v>Uzbekistán</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Ghana</v>
      </c>
      <c r="J15" s="9" t="str">
        <f ca="1">+WORLDCUP!BD68</f>
        <v>Uzbekistán</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Uzbekistán</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Ghana</v>
      </c>
      <c r="J19" s="9" t="str">
        <f ca="1">+WORLDCUP!BD68</f>
        <v>Uzbekistán</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Ghana</v>
      </c>
      <c r="J21" s="9" t="str">
        <f ca="1">+WORLDCUP!BD68</f>
        <v>Uzbekistán</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Ghana</v>
      </c>
      <c r="J22" s="9" t="str">
        <f ca="1">+WORLDCUP!BD68</f>
        <v>Uzbekistán</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Uzbekistán</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Ghana</v>
      </c>
      <c r="J27" s="9" t="str">
        <f ca="1">+WORLDCUP!BD68</f>
        <v>Uzbekistán</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Ghana</v>
      </c>
      <c r="J28" s="9" t="str">
        <f ca="1">+WORLDCUP!BD68</f>
        <v>Uzbekistán</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Uzbekistán</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Ghana</v>
      </c>
      <c r="J37" s="9" t="str">
        <f ca="1">+WORLDCUP!BD68</f>
        <v>Uzbekistán</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Uzbekistán</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Uzbekistán</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España</v>
      </c>
      <c r="D47" s="9" t="str">
        <f ca="1">+WORLDCUP!BD67</f>
        <v>Jordania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Jordania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Jordania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Jordania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Jordania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Jordania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Jordania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España</v>
      </c>
      <c r="D55" s="9" t="str">
        <f ca="1">+WORLDCUP!BD67</f>
        <v>Jordania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España</v>
      </c>
      <c r="D56" s="9" t="str">
        <f ca="1">+WORLDCUP!BD67</f>
        <v>Jordania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Catar</v>
      </c>
      <c r="F57" s="9" t="str">
        <f ca="1">+WORLDCUP!BD61</f>
        <v>Turquía</v>
      </c>
      <c r="G57" s="9" t="str">
        <f ca="1">+WORLDCUP!BD67</f>
        <v>Jordania</v>
      </c>
      <c r="H57" s="9" t="str">
        <f ca="1">+WORLDCUP!BD63</f>
        <v>Japón</v>
      </c>
      <c r="I57" s="9" t="str">
        <f ca="1">+WORLDCUP!BD69</f>
        <v>Ghana</v>
      </c>
      <c r="J57" s="9" t="str">
        <f ca="1">+WORLDCUP!BD68</f>
        <v>Uzbekistán</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España</v>
      </c>
      <c r="D58" s="9" t="str">
        <f ca="1">+WORLDCUP!BD64</f>
        <v>Bélgica</v>
      </c>
      <c r="E58" s="9" t="str">
        <f ca="1">+WORLDCUP!BD59</f>
        <v>Catar</v>
      </c>
      <c r="F58" s="9" t="str">
        <f ca="1">+WORLDCUP!BD61</f>
        <v>Turquía</v>
      </c>
      <c r="G58" s="9" t="str">
        <f ca="1">+WORLDCUP!BD67</f>
        <v>Jordania</v>
      </c>
      <c r="H58" s="9" t="str">
        <f ca="1">+WORLDCUP!BD63</f>
        <v>Japón</v>
      </c>
      <c r="I58" s="9" t="str">
        <f ca="1">+WORLDCUP!BD69</f>
        <v>Ghana</v>
      </c>
      <c r="J58" s="9" t="str">
        <f ca="1">+WORLDCUP!BD68</f>
        <v>Uzbekistán</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España</v>
      </c>
      <c r="D60" s="9" t="str">
        <f ca="1">+WORLDCUP!BD64</f>
        <v>Bélgica</v>
      </c>
      <c r="E60" s="9" t="str">
        <f ca="1">+WORLDCUP!BD59</f>
        <v>Catar</v>
      </c>
      <c r="F60" s="9" t="str">
        <f ca="1">+WORLDCUP!BD61</f>
        <v>Turquía</v>
      </c>
      <c r="G60" s="9" t="str">
        <f ca="1">+WORLDCUP!BD67</f>
        <v>Jordania</v>
      </c>
      <c r="H60" s="9" t="str">
        <f ca="1">+WORLDCUP!BD63</f>
        <v>Japón</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España</v>
      </c>
      <c r="D61" s="9" t="str">
        <f ca="1">+WORLDCUP!BD64</f>
        <v>Bélgica</v>
      </c>
      <c r="E61" s="9" t="str">
        <f ca="1">+WORLDCUP!BD59</f>
        <v>Catar</v>
      </c>
      <c r="F61" s="9" t="str">
        <f ca="1">+WORLDCUP!BD61</f>
        <v>Turquía</v>
      </c>
      <c r="G61" s="9" t="str">
        <f ca="1">+WORLDCUP!BD67</f>
        <v>Jordania</v>
      </c>
      <c r="H61" s="9" t="str">
        <f ca="1">+WORLDCUP!BD63</f>
        <v>Japón</v>
      </c>
      <c r="I61" s="9" t="str">
        <f ca="1">+WORLDCUP!BD66</f>
        <v>Senegal</v>
      </c>
      <c r="J61" s="9" t="str">
        <f ca="1">+WORLDCUP!BD68</f>
        <v>Uzbekistán</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Jordania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Jordania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Jordania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Jordania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Jordania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Jordania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Jordania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Jordania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Jordania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Catar</v>
      </c>
      <c r="F73" s="9" t="str">
        <f ca="1">+WORLDCUP!BD61</f>
        <v>Turquía</v>
      </c>
      <c r="G73" s="9" t="str">
        <f ca="1">+WORLDCUP!BD67</f>
        <v>Jordania</v>
      </c>
      <c r="H73" s="9" t="str">
        <f ca="1">+WORLDCUP!BD63</f>
        <v>Japón</v>
      </c>
      <c r="I73" s="9" t="str">
        <f ca="1">+WORLDCUP!BD69</f>
        <v>Ghana</v>
      </c>
      <c r="J73" s="9" t="str">
        <f ca="1">+WORLDCUP!BD68</f>
        <v>Uzbekistán</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Catar</v>
      </c>
      <c r="F75" s="9" t="str">
        <f ca="1">+WORLDCUP!BD61</f>
        <v>Turquía</v>
      </c>
      <c r="G75" s="9" t="str">
        <f ca="1">+WORLDCUP!BD67</f>
        <v>Jordania</v>
      </c>
      <c r="H75" s="9" t="str">
        <f ca="1">+WORLDCUP!BD63</f>
        <v>Japón</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Catar</v>
      </c>
      <c r="F76" s="9" t="str">
        <f ca="1">+WORLDCUP!BD61</f>
        <v>Turquía</v>
      </c>
      <c r="G76" s="9" t="str">
        <f ca="1">+WORLDCUP!BD67</f>
        <v>Jordania</v>
      </c>
      <c r="H76" s="9" t="str">
        <f ca="1">+WORLDCUP!BD63</f>
        <v>Japón</v>
      </c>
      <c r="I76" s="9" t="str">
        <f ca="1">+WORLDCUP!BD66</f>
        <v>Senegal</v>
      </c>
      <c r="J76" s="9" t="str">
        <f ca="1">+WORLDCUP!BD68</f>
        <v>Uzbekistán</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España</v>
      </c>
      <c r="D78" s="9" t="str">
        <f ca="1">+WORLDCUP!BD64</f>
        <v>Bélgica</v>
      </c>
      <c r="E78" s="9" t="str">
        <f ca="1">+WORLDCUP!BD59</f>
        <v>Catar</v>
      </c>
      <c r="F78" s="9" t="str">
        <f ca="1">+WORLDCUP!BD61</f>
        <v>Turquía</v>
      </c>
      <c r="G78" s="9" t="str">
        <f ca="1">+WORLDCUP!BD67</f>
        <v>Jordania</v>
      </c>
      <c r="H78" s="9" t="str">
        <f ca="1">+WORLDCUP!BD63</f>
        <v>Japón</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España</v>
      </c>
      <c r="D79" s="9" t="str">
        <f ca="1">+WORLDCUP!BD64</f>
        <v>Bélgica</v>
      </c>
      <c r="E79" s="9" t="str">
        <f ca="1">+WORLDCUP!BD59</f>
        <v>Catar</v>
      </c>
      <c r="F79" s="9" t="str">
        <f ca="1">+WORLDCUP!BD61</f>
        <v>Turquía</v>
      </c>
      <c r="G79" s="9" t="str">
        <f ca="1">+WORLDCUP!BD67</f>
        <v>Jordania</v>
      </c>
      <c r="H79" s="9" t="str">
        <f ca="1">+WORLDCUP!BD63</f>
        <v>Japón</v>
      </c>
      <c r="I79" s="9" t="str">
        <f ca="1">+WORLDCUP!BD62</f>
        <v>Ecuador</v>
      </c>
      <c r="J79" s="9" t="str">
        <f ca="1">+WORLDCUP!BD68</f>
        <v>Uzbekistán</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España</v>
      </c>
      <c r="D82" s="9" t="str">
        <f ca="1">+WORLDCUP!BD64</f>
        <v>Bélgica</v>
      </c>
      <c r="E82" s="9" t="str">
        <f ca="1">+WORLDCUP!BD59</f>
        <v>Catar</v>
      </c>
      <c r="F82" s="9" t="str">
        <f ca="1">+WORLDCUP!BD61</f>
        <v>Turquía</v>
      </c>
      <c r="G82" s="9" t="str">
        <f ca="1">+WORLDCUP!BD67</f>
        <v>Jordania</v>
      </c>
      <c r="H82" s="9" t="str">
        <f ca="1">+WORLDCUP!BD63</f>
        <v>Japón</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España</v>
      </c>
      <c r="D83" s="9" t="str">
        <f ca="1">+WORLDCUP!BD67</f>
        <v>Jordania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España</v>
      </c>
      <c r="D84" s="9" t="str">
        <f ca="1">+WORLDCUP!BD67</f>
        <v>Jordania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Catar</v>
      </c>
      <c r="F85" s="9" t="str">
        <f ca="1">+WORLDCUP!BD60</f>
        <v>Marruecos</v>
      </c>
      <c r="G85" s="9" t="str">
        <f ca="1">+WORLDCUP!BD67</f>
        <v>Jordania</v>
      </c>
      <c r="H85" s="9" t="str">
        <f ca="1">+WORLDCUP!BD63</f>
        <v>Japón</v>
      </c>
      <c r="I85" s="9" t="str">
        <f ca="1">+WORLDCUP!BD69</f>
        <v>Ghana</v>
      </c>
      <c r="J85" s="9" t="str">
        <f ca="1">+WORLDCUP!BD68</f>
        <v>Uzbekistán</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España</v>
      </c>
      <c r="D86" s="9" t="str">
        <f ca="1">+WORLDCUP!BD64</f>
        <v>Bélgica</v>
      </c>
      <c r="E86" s="9" t="str">
        <f ca="1">+WORLDCUP!BD59</f>
        <v>Catar</v>
      </c>
      <c r="F86" s="9" t="str">
        <f ca="1">+WORLDCUP!BD60</f>
        <v>Marruecos</v>
      </c>
      <c r="G86" s="9" t="str">
        <f ca="1">+WORLDCUP!BD67</f>
        <v>Jordania</v>
      </c>
      <c r="H86" s="9" t="str">
        <f ca="1">+WORLDCUP!BD63</f>
        <v>Japón</v>
      </c>
      <c r="I86" s="9" t="str">
        <f ca="1">+WORLDCUP!BD69</f>
        <v>Ghana</v>
      </c>
      <c r="J86" s="9" t="str">
        <f ca="1">+WORLDCUP!BD68</f>
        <v>Uzbekistán</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España</v>
      </c>
      <c r="D88" s="9" t="str">
        <f ca="1">+WORLDCUP!BD64</f>
        <v>Bélgica</v>
      </c>
      <c r="E88" s="9" t="str">
        <f ca="1">+WORLDCUP!BD59</f>
        <v>Catar</v>
      </c>
      <c r="F88" s="9" t="str">
        <f ca="1">+WORLDCUP!BD60</f>
        <v>Marruecos</v>
      </c>
      <c r="G88" s="9" t="str">
        <f ca="1">+WORLDCUP!BD67</f>
        <v>Jordania</v>
      </c>
      <c r="H88" s="9" t="str">
        <f ca="1">+WORLDCUP!BD63</f>
        <v>Japón</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España</v>
      </c>
      <c r="D89" s="9" t="str">
        <f ca="1">+WORLDCUP!BD64</f>
        <v>Bélgica</v>
      </c>
      <c r="E89" s="9" t="str">
        <f ca="1">+WORLDCUP!BD59</f>
        <v>Catar</v>
      </c>
      <c r="F89" s="9" t="str">
        <f ca="1">+WORLDCUP!BD60</f>
        <v>Marruecos</v>
      </c>
      <c r="G89" s="9" t="str">
        <f ca="1">+WORLDCUP!BD67</f>
        <v>Jordania</v>
      </c>
      <c r="H89" s="9" t="str">
        <f ca="1">+WORLDCUP!BD63</f>
        <v>Japón</v>
      </c>
      <c r="I89" s="9" t="str">
        <f ca="1">+WORLDCUP!BD66</f>
        <v>Senegal</v>
      </c>
      <c r="J89" s="9" t="str">
        <f ca="1">+WORLDCUP!BD68</f>
        <v>Uzbekistán</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Jordania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Jordania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Jordania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Jordania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Jordania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Jordania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Jordania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Jordania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Jordania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Catar</v>
      </c>
      <c r="F101" s="9" t="str">
        <f ca="1">+WORLDCUP!BD60</f>
        <v>Marruecos</v>
      </c>
      <c r="G101" s="9" t="str">
        <f ca="1">+WORLDCUP!BD67</f>
        <v>Jordania</v>
      </c>
      <c r="H101" s="9" t="str">
        <f ca="1">+WORLDCUP!BD63</f>
        <v>Japón</v>
      </c>
      <c r="I101" s="9" t="str">
        <f ca="1">+WORLDCUP!BD69</f>
        <v>Ghana</v>
      </c>
      <c r="J101" s="9" t="str">
        <f ca="1">+WORLDCUP!BD68</f>
        <v>Uzbekistán</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Catar</v>
      </c>
      <c r="F103" s="9" t="str">
        <f ca="1">+WORLDCUP!BD60</f>
        <v>Marruecos</v>
      </c>
      <c r="G103" s="9" t="str">
        <f ca="1">+WORLDCUP!BD67</f>
        <v>Jordania</v>
      </c>
      <c r="H103" s="9" t="str">
        <f ca="1">+WORLDCUP!BD63</f>
        <v>Japón</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Catar</v>
      </c>
      <c r="F104" s="9" t="str">
        <f ca="1">+WORLDCUP!BD60</f>
        <v>Marruecos</v>
      </c>
      <c r="G104" s="9" t="str">
        <f ca="1">+WORLDCUP!BD67</f>
        <v>Jordania</v>
      </c>
      <c r="H104" s="9" t="str">
        <f ca="1">+WORLDCUP!BD63</f>
        <v>Japón</v>
      </c>
      <c r="I104" s="9" t="str">
        <f ca="1">+WORLDCUP!BD66</f>
        <v>Senegal</v>
      </c>
      <c r="J104" s="9" t="str">
        <f ca="1">+WORLDCUP!BD68</f>
        <v>Uzbekistán</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España</v>
      </c>
      <c r="D106" s="9" t="str">
        <f ca="1">+WORLDCUP!BD64</f>
        <v>Bélgica</v>
      </c>
      <c r="E106" s="9" t="str">
        <f ca="1">+WORLDCUP!BD59</f>
        <v>Catar</v>
      </c>
      <c r="F106" s="9" t="str">
        <f ca="1">+WORLDCUP!BD60</f>
        <v>Marruecos</v>
      </c>
      <c r="G106" s="9" t="str">
        <f ca="1">+WORLDCUP!BD67</f>
        <v>Jordania</v>
      </c>
      <c r="H106" s="9" t="str">
        <f ca="1">+WORLDCUP!BD63</f>
        <v>Japón</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España</v>
      </c>
      <c r="D107" s="9" t="str">
        <f ca="1">+WORLDCUP!BD64</f>
        <v>Bélgica</v>
      </c>
      <c r="E107" s="9" t="str">
        <f ca="1">+WORLDCUP!BD59</f>
        <v>Catar</v>
      </c>
      <c r="F107" s="9" t="str">
        <f ca="1">+WORLDCUP!BD60</f>
        <v>Marruecos</v>
      </c>
      <c r="G107" s="9" t="str">
        <f ca="1">+WORLDCUP!BD67</f>
        <v>Jordania</v>
      </c>
      <c r="H107" s="9" t="str">
        <f ca="1">+WORLDCUP!BD63</f>
        <v>Japón</v>
      </c>
      <c r="I107" s="9" t="str">
        <f ca="1">+WORLDCUP!BD62</f>
        <v>Ecuador</v>
      </c>
      <c r="J107" s="9" t="str">
        <f ca="1">+WORLDCUP!BD68</f>
        <v>Uzbekistán</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España</v>
      </c>
      <c r="D110" s="9" t="str">
        <f ca="1">+WORLDCUP!BD64</f>
        <v>Bélgica</v>
      </c>
      <c r="E110" s="9" t="str">
        <f ca="1">+WORLDCUP!BD59</f>
        <v>Catar</v>
      </c>
      <c r="F110" s="9" t="str">
        <f ca="1">+WORLDCUP!BD60</f>
        <v>Marruecos</v>
      </c>
      <c r="G110" s="9" t="str">
        <f ca="1">+WORLDCUP!BD67</f>
        <v>Jordania</v>
      </c>
      <c r="H110" s="9" t="str">
        <f ca="1">+WORLDCUP!BD63</f>
        <v>Japón</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España</v>
      </c>
      <c r="D111" s="9" t="str">
        <f ca="1">+WORLDCUP!BD67</f>
        <v>Jordania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Catar</v>
      </c>
      <c r="F112" s="9" t="str">
        <f ca="1">+WORLDCUP!BD60</f>
        <v>Marruecos</v>
      </c>
      <c r="G112" s="9" t="str">
        <f ca="1">+WORLDCUP!BD67</f>
        <v>Jordania</v>
      </c>
      <c r="H112" s="9" t="str">
        <f ca="1">+WORLDCUP!BD61</f>
        <v>Turquía</v>
      </c>
      <c r="I112" s="9" t="str">
        <f ca="1">+WORLDCUP!BD69</f>
        <v>Ghana</v>
      </c>
      <c r="J112" s="9" t="str">
        <f ca="1">+WORLDCUP!BD68</f>
        <v>Uzbekistán</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España</v>
      </c>
      <c r="D113" s="9" t="str">
        <f ca="1">+WORLDCUP!BD64</f>
        <v>Bélgica</v>
      </c>
      <c r="E113" s="9" t="str">
        <f ca="1">+WORLDCUP!BD59</f>
        <v>Catar</v>
      </c>
      <c r="F113" s="9" t="str">
        <f ca="1">+WORLDCUP!BD60</f>
        <v>Marruecos</v>
      </c>
      <c r="G113" s="9" t="str">
        <f ca="1">+WORLDCUP!BD67</f>
        <v>Jordania</v>
      </c>
      <c r="H113" s="9" t="str">
        <f ca="1">+WORLDCUP!BD61</f>
        <v>Turquía</v>
      </c>
      <c r="I113" s="9" t="str">
        <f ca="1">+WORLDCUP!BD69</f>
        <v>Ghana</v>
      </c>
      <c r="J113" s="9" t="str">
        <f ca="1">+WORLDCUP!BD68</f>
        <v>Uzbekistán</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España</v>
      </c>
      <c r="D115" s="9" t="str">
        <f ca="1">+WORLDCUP!BD64</f>
        <v>Bélgica</v>
      </c>
      <c r="E115" s="9" t="str">
        <f ca="1">+WORLDCUP!BD59</f>
        <v>Catar</v>
      </c>
      <c r="F115" s="9" t="str">
        <f ca="1">+WORLDCUP!BD60</f>
        <v>Marruecos</v>
      </c>
      <c r="G115" s="9" t="str">
        <f ca="1">+WORLDCUP!BD67</f>
        <v>Jordania</v>
      </c>
      <c r="H115" s="9" t="str">
        <f ca="1">+WORLDCUP!BD61</f>
        <v>Turquía</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España</v>
      </c>
      <c r="D116" s="9" t="str">
        <f ca="1">+WORLDCUP!BD64</f>
        <v>Bélgica</v>
      </c>
      <c r="E116" s="9" t="str">
        <f ca="1">+WORLDCUP!BD59</f>
        <v>Catar</v>
      </c>
      <c r="F116" s="9" t="str">
        <f ca="1">+WORLDCUP!BD60</f>
        <v>Marruecos</v>
      </c>
      <c r="G116" s="9" t="str">
        <f ca="1">+WORLDCUP!BD67</f>
        <v>Jordania</v>
      </c>
      <c r="H116" s="9" t="str">
        <f ca="1">+WORLDCUP!BD61</f>
        <v>Turquía</v>
      </c>
      <c r="I116" s="9" t="str">
        <f ca="1">+WORLDCUP!BD66</f>
        <v>Senegal</v>
      </c>
      <c r="J116" s="9" t="str">
        <f ca="1">+WORLDCUP!BD68</f>
        <v>Uzbekistán</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Marruecos</v>
      </c>
      <c r="D117" s="9" t="str">
        <f ca="1">+WORLDCUP!BD67</f>
        <v>Jordania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Marruecos</v>
      </c>
      <c r="D118" s="9" t="str">
        <f ca="1">+WORLDCUP!BD67</f>
        <v>Jordania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Marruecos</v>
      </c>
      <c r="D120" s="9" t="str">
        <f ca="1">+WORLDCUP!BD67</f>
        <v>Jordania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Marruecos</v>
      </c>
      <c r="D121" s="9" t="str">
        <f ca="1">+WORLDCUP!BD67</f>
        <v>Jordania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Marruecos</v>
      </c>
      <c r="D122" s="9" t="str">
        <f ca="1">+WORLDCUP!BD64</f>
        <v>Bélgica</v>
      </c>
      <c r="E122" s="9" t="str">
        <f ca="1">+WORLDCUP!BD59</f>
        <v>Catar</v>
      </c>
      <c r="F122" s="9" t="str">
        <f ca="1">+WORLDCUP!BD61</f>
        <v>Turquía</v>
      </c>
      <c r="G122" s="9" t="str">
        <f ca="1">+WORLDCUP!BD67</f>
        <v>Jordania</v>
      </c>
      <c r="H122" s="9" t="str">
        <f ca="1">+WORLDCUP!BD63</f>
        <v>Japón</v>
      </c>
      <c r="I122" s="9" t="str">
        <f ca="1">+WORLDCUP!BD69</f>
        <v>Ghana</v>
      </c>
      <c r="J122" s="9" t="str">
        <f ca="1">+WORLDCUP!BD68</f>
        <v>Uzbekistán</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Marruecos</v>
      </c>
      <c r="D124" s="9" t="str">
        <f ca="1">+WORLDCUP!BD64</f>
        <v>Bélgica</v>
      </c>
      <c r="E124" s="9" t="str">
        <f ca="1">+WORLDCUP!BD59</f>
        <v>Catar</v>
      </c>
      <c r="F124" s="9" t="str">
        <f ca="1">+WORLDCUP!BD61</f>
        <v>Turquía</v>
      </c>
      <c r="G124" s="9" t="str">
        <f ca="1">+WORLDCUP!BD67</f>
        <v>Jordania</v>
      </c>
      <c r="H124" s="9" t="str">
        <f ca="1">+WORLDCUP!BD63</f>
        <v>Japón</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Marruecos</v>
      </c>
      <c r="D125" s="9" t="str">
        <f ca="1">+WORLDCUP!BD64</f>
        <v>Bélgica</v>
      </c>
      <c r="E125" s="9" t="str">
        <f ca="1">+WORLDCUP!BD59</f>
        <v>Catar</v>
      </c>
      <c r="F125" s="9" t="str">
        <f ca="1">+WORLDCUP!BD61</f>
        <v>Turquía</v>
      </c>
      <c r="G125" s="9" t="str">
        <f ca="1">+WORLDCUP!BD67</f>
        <v>Jordania</v>
      </c>
      <c r="H125" s="9" t="str">
        <f ca="1">+WORLDCUP!BD63</f>
        <v>Japón</v>
      </c>
      <c r="I125" s="9" t="str">
        <f ca="1">+WORLDCUP!BD66</f>
        <v>Senegal</v>
      </c>
      <c r="J125" s="9" t="str">
        <f ca="1">+WORLDCUP!BD68</f>
        <v>Uzbekistán</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Jordania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España</v>
      </c>
      <c r="D128" s="9" t="str">
        <f ca="1">+WORLDCUP!BD64</f>
        <v>Bélgica</v>
      </c>
      <c r="E128" s="9" t="str">
        <f ca="1">+WORLDCUP!BD59</f>
        <v>Catar</v>
      </c>
      <c r="F128" s="9" t="str">
        <f ca="1">+WORLDCUP!BD60</f>
        <v>Marruecos</v>
      </c>
      <c r="G128" s="9" t="str">
        <f ca="1">+WORLDCUP!BD67</f>
        <v>Jordania</v>
      </c>
      <c r="H128" s="9" t="str">
        <f ca="1">+WORLDCUP!BD63</f>
        <v>Japón</v>
      </c>
      <c r="I128" s="9" t="str">
        <f ca="1">+WORLDCUP!BD61</f>
        <v>Turquía</v>
      </c>
      <c r="J128" s="9" t="str">
        <f ca="1">+WORLDCUP!BD68</f>
        <v>Uzbekistán</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España</v>
      </c>
      <c r="D131" s="9" t="str">
        <f ca="1">+WORLDCUP!BD64</f>
        <v>Bélgica</v>
      </c>
      <c r="E131" s="9" t="str">
        <f ca="1">+WORLDCUP!BD59</f>
        <v>Catar</v>
      </c>
      <c r="F131" s="9" t="str">
        <f ca="1">+WORLDCUP!BD60</f>
        <v>Marruecos</v>
      </c>
      <c r="G131" s="9" t="str">
        <f ca="1">+WORLDCUP!BD67</f>
        <v>Jordania</v>
      </c>
      <c r="H131" s="9" t="str">
        <f ca="1">+WORLDCUP!BD63</f>
        <v>Japón</v>
      </c>
      <c r="I131" s="9" t="str">
        <f ca="1">+WORLDCUP!BD61</f>
        <v>Turquía</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Jordania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Jordania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Jordania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Jordania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Catar</v>
      </c>
      <c r="F137" s="9" t="str">
        <f ca="1">+WORLDCUP!BD60</f>
        <v>Marruecos</v>
      </c>
      <c r="G137" s="9" t="str">
        <f ca="1">+WORLDCUP!BD67</f>
        <v>Jordania</v>
      </c>
      <c r="H137" s="9" t="str">
        <f ca="1">+WORLDCUP!BD61</f>
        <v>Turquía</v>
      </c>
      <c r="I137" s="9" t="str">
        <f ca="1">+WORLDCUP!BD69</f>
        <v>Ghana</v>
      </c>
      <c r="J137" s="9" t="str">
        <f ca="1">+WORLDCUP!BD68</f>
        <v>Uzbekistán</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Catar</v>
      </c>
      <c r="F139" s="9" t="str">
        <f ca="1">+WORLDCUP!BD60</f>
        <v>Marruecos</v>
      </c>
      <c r="G139" s="9" t="str">
        <f ca="1">+WORLDCUP!BD67</f>
        <v>Jordania</v>
      </c>
      <c r="H139" s="9" t="str">
        <f ca="1">+WORLDCUP!BD61</f>
        <v>Turquía</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Catar</v>
      </c>
      <c r="F140" s="9" t="str">
        <f ca="1">+WORLDCUP!BD60</f>
        <v>Marruecos</v>
      </c>
      <c r="G140" s="9" t="str">
        <f ca="1">+WORLDCUP!BD67</f>
        <v>Jordania</v>
      </c>
      <c r="H140" s="9" t="str">
        <f ca="1">+WORLDCUP!BD61</f>
        <v>Turquía</v>
      </c>
      <c r="I140" s="9" t="str">
        <f ca="1">+WORLDCUP!BD66</f>
        <v>Senegal</v>
      </c>
      <c r="J140" s="9" t="str">
        <f ca="1">+WORLDCUP!BD68</f>
        <v>Uzbekistán</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España</v>
      </c>
      <c r="D142" s="9" t="str">
        <f ca="1">+WORLDCUP!BD64</f>
        <v>Bélgica</v>
      </c>
      <c r="E142" s="9" t="str">
        <f ca="1">+WORLDCUP!BD59</f>
        <v>Catar</v>
      </c>
      <c r="F142" s="9" t="str">
        <f ca="1">+WORLDCUP!BD60</f>
        <v>Marruecos</v>
      </c>
      <c r="G142" s="9" t="str">
        <f ca="1">+WORLDCUP!BD67</f>
        <v>Jordania</v>
      </c>
      <c r="H142" s="9" t="str">
        <f ca="1">+WORLDCUP!BD61</f>
        <v>Turquía</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España</v>
      </c>
      <c r="D143" s="9" t="str">
        <f ca="1">+WORLDCUP!BD64</f>
        <v>Bélgica</v>
      </c>
      <c r="E143" s="9" t="str">
        <f ca="1">+WORLDCUP!BD59</f>
        <v>Catar</v>
      </c>
      <c r="F143" s="9" t="str">
        <f ca="1">+WORLDCUP!BD60</f>
        <v>Marruecos</v>
      </c>
      <c r="G143" s="9" t="str">
        <f ca="1">+WORLDCUP!BD67</f>
        <v>Jordania</v>
      </c>
      <c r="H143" s="9" t="str">
        <f ca="1">+WORLDCUP!BD61</f>
        <v>Turquía</v>
      </c>
      <c r="I143" s="9" t="str">
        <f ca="1">+WORLDCUP!BD62</f>
        <v>Ecuador</v>
      </c>
      <c r="J143" s="9" t="str">
        <f ca="1">+WORLDCUP!BD68</f>
        <v>Uzbekistán</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España</v>
      </c>
      <c r="D146" s="9" t="str">
        <f ca="1">+WORLDCUP!BD64</f>
        <v>Bélgica</v>
      </c>
      <c r="E146" s="9" t="str">
        <f ca="1">+WORLDCUP!BD59</f>
        <v>Catar</v>
      </c>
      <c r="F146" s="9" t="str">
        <f ca="1">+WORLDCUP!BD60</f>
        <v>Marruecos</v>
      </c>
      <c r="G146" s="9" t="str">
        <f ca="1">+WORLDCUP!BD67</f>
        <v>Jordania</v>
      </c>
      <c r="H146" s="9" t="str">
        <f ca="1">+WORLDCUP!BD61</f>
        <v>Turquía</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Marruecos</v>
      </c>
      <c r="D147" s="9" t="str">
        <f ca="1">+WORLDCUP!BD67</f>
        <v>Jordania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Marruecos</v>
      </c>
      <c r="D149" s="9" t="str">
        <f ca="1">+WORLDCUP!BD67</f>
        <v>Jordania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Marruecos</v>
      </c>
      <c r="D150" s="9" t="str">
        <f ca="1">+WORLDCUP!BD67</f>
        <v>Jordania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Marruecos</v>
      </c>
      <c r="D152" s="9" t="str">
        <f ca="1">+WORLDCUP!BD67</f>
        <v>Jordania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Marruecos</v>
      </c>
      <c r="D153" s="9" t="str">
        <f ca="1">+WORLDCUP!BD67</f>
        <v>Jordania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Marruecos</v>
      </c>
      <c r="D156" s="9" t="str">
        <f ca="1">+WORLDCUP!BD67</f>
        <v>Jordania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Marruecos</v>
      </c>
      <c r="D158" s="9" t="str">
        <f ca="1">+WORLDCUP!BD64</f>
        <v>Bélgica</v>
      </c>
      <c r="E158" s="9" t="str">
        <f ca="1">+WORLDCUP!BD59</f>
        <v>Catar</v>
      </c>
      <c r="F158" s="9" t="str">
        <f ca="1">+WORLDCUP!BD61</f>
        <v>Turquía</v>
      </c>
      <c r="G158" s="9" t="str">
        <f ca="1">+WORLDCUP!BD67</f>
        <v>Jordania</v>
      </c>
      <c r="H158" s="9" t="str">
        <f ca="1">+WORLDCUP!BD63</f>
        <v>Japón</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Marruecos</v>
      </c>
      <c r="D159" s="9" t="str">
        <f ca="1">+WORLDCUP!BD64</f>
        <v>Bélgica</v>
      </c>
      <c r="E159" s="9" t="str">
        <f ca="1">+WORLDCUP!BD59</f>
        <v>Catar</v>
      </c>
      <c r="F159" s="9" t="str">
        <f ca="1">+WORLDCUP!BD61</f>
        <v>Turquía</v>
      </c>
      <c r="G159" s="9" t="str">
        <f ca="1">+WORLDCUP!BD67</f>
        <v>Jordania</v>
      </c>
      <c r="H159" s="9" t="str">
        <f ca="1">+WORLDCUP!BD63</f>
        <v>Japón</v>
      </c>
      <c r="I159" s="9" t="str">
        <f ca="1">+WORLDCUP!BD62</f>
        <v>Ecuador</v>
      </c>
      <c r="J159" s="9" t="str">
        <f ca="1">+WORLDCUP!BD68</f>
        <v>Uzbekistán</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Marruecos</v>
      </c>
      <c r="D162" s="9" t="str">
        <f ca="1">+WORLDCUP!BD64</f>
        <v>Bélgica</v>
      </c>
      <c r="E162" s="9" t="str">
        <f ca="1">+WORLDCUP!BD59</f>
        <v>Catar</v>
      </c>
      <c r="F162" s="9" t="str">
        <f ca="1">+WORLDCUP!BD61</f>
        <v>Turquía</v>
      </c>
      <c r="G162" s="9" t="str">
        <f ca="1">+WORLDCUP!BD67</f>
        <v>Jordania</v>
      </c>
      <c r="H162" s="9" t="str">
        <f ca="1">+WORLDCUP!BD63</f>
        <v>Japón</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España</v>
      </c>
      <c r="D165" s="9" t="str">
        <f ca="1">+WORLDCUP!BD64</f>
        <v>Bélgica</v>
      </c>
      <c r="E165" s="9" t="str">
        <f ca="1">+WORLDCUP!BD59</f>
        <v>Catar</v>
      </c>
      <c r="F165" s="9" t="str">
        <f ca="1">+WORLDCUP!BD60</f>
        <v>Marruecos</v>
      </c>
      <c r="G165" s="9" t="str">
        <f ca="1">+WORLDCUP!BD67</f>
        <v>Jordania</v>
      </c>
      <c r="H165" s="9" t="str">
        <f ca="1">+WORLDCUP!BD63</f>
        <v>Japón</v>
      </c>
      <c r="I165" s="9" t="str">
        <f ca="1">+WORLDCUP!BD61</f>
        <v>Turquía</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Ghana</v>
      </c>
      <c r="J171" s="9" t="str">
        <f ca="1">+WORLDCUP!BD68</f>
        <v>Uzbekistán</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Uzbekistán</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Ghana</v>
      </c>
      <c r="J177" s="9" t="str">
        <f ca="1">+WORLDCUP!BD68</f>
        <v>Uzbekistán</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Ghana</v>
      </c>
      <c r="J178" s="9" t="str">
        <f ca="1">+WORLDCUP!BD68</f>
        <v>Uzbekistán</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Uzbekistán</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Ghana</v>
      </c>
      <c r="J184" s="9" t="str">
        <f ca="1">+WORLDCUP!BD68</f>
        <v>Uzbekistán</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Uzbekistán</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Ghana</v>
      </c>
      <c r="J193" s="9" t="str">
        <f ca="1">+WORLDCUP!BD68</f>
        <v>Uzbekistán</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Uzbekistán</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Uzbekistán</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Ghana</v>
      </c>
      <c r="J205" s="9" t="str">
        <f ca="1">+WORLDCUP!BD68</f>
        <v>Uzbekistán</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Ghana</v>
      </c>
      <c r="J206" s="9" t="str">
        <f ca="1">+WORLDCUP!BD68</f>
        <v>Uzbekistán</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Uzbekistán</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Ghana</v>
      </c>
      <c r="J212" s="9" t="str">
        <f ca="1">+WORLDCUP!BD68</f>
        <v>Uzbekistán</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Uzbekistán</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Ghana</v>
      </c>
      <c r="J221" s="9" t="str">
        <f ca="1">+WORLDCUP!BD68</f>
        <v>Uzbekistán</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Uzbekistán</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Uzbekistán</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Ghana</v>
      </c>
      <c r="J233" s="9" t="str">
        <f ca="1">+WORLDCUP!BD68</f>
        <v>Uzbekistán</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Uzbekistán</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Ghana</v>
      </c>
      <c r="J242" s="9" t="str">
        <f ca="1">+WORLDCUP!BD68</f>
        <v>Uzbekistán</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Uzbekistán</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Ghana</v>
      </c>
      <c r="J247" s="9" t="str">
        <f ca="1">+WORLDCUP!BD65</f>
        <v>España</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Uzbekistán</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Ghana</v>
      </c>
      <c r="J257" s="9" t="str">
        <f ca="1">+WORLDCUP!BD68</f>
        <v>Uzbekistán</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Uzbekistán</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Uzbekistán</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Uzbekistán</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España</v>
      </c>
      <c r="D287" s="9" t="str">
        <f ca="1">+WORLDCUP!BD67</f>
        <v>Jordania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España</v>
      </c>
      <c r="D288" s="9" t="str">
        <f ca="1">+WORLDCUP!BD67</f>
        <v>Jordania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Jordania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España</v>
      </c>
      <c r="D290" s="9" t="str">
        <f ca="1">+WORLDCUP!BD67</f>
        <v>Jordania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España</v>
      </c>
      <c r="D292" s="9" t="str">
        <f ca="1">+WORLDCUP!BD67</f>
        <v>Jordania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España</v>
      </c>
      <c r="D293" s="9" t="str">
        <f ca="1">+WORLDCUP!BD67</f>
        <v>Jordania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Jordania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Jordania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Jordania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Jordania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Jordania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Jordania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Jordania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Jordania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Jordania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Jordania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Jordania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Jordania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España</v>
      </c>
      <c r="D310" s="9" t="str">
        <f ca="1">+WORLDCUP!BD67</f>
        <v>Jordania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España</v>
      </c>
      <c r="D311" s="9" t="str">
        <f ca="1">+WORLDCUP!BD67</f>
        <v>Jordania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España</v>
      </c>
      <c r="D314" s="9" t="str">
        <f ca="1">+WORLDCUP!BD67</f>
        <v>Jordania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Jordania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Jordania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España</v>
      </c>
      <c r="D317" s="9" t="str">
        <f ca="1">+WORLDCUP!BD67</f>
        <v>Jordania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España</v>
      </c>
      <c r="D319" s="9" t="str">
        <f ca="1">+WORLDCUP!BD67</f>
        <v>Jordania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España</v>
      </c>
      <c r="D320" s="9" t="str">
        <f ca="1">+WORLDCUP!BD67</f>
        <v>Jordania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Jordania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España</v>
      </c>
      <c r="D322" s="9" t="str">
        <f ca="1">+WORLDCUP!BD67</f>
        <v>Jordania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España</v>
      </c>
      <c r="D324" s="9" t="str">
        <f ca="1">+WORLDCUP!BD67</f>
        <v>Jordania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España</v>
      </c>
      <c r="D325" s="9" t="str">
        <f ca="1">+WORLDCUP!BD67</f>
        <v>Jordania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Japón</v>
      </c>
      <c r="D326" s="9" t="str">
        <f ca="1">+WORLDCUP!BD67</f>
        <v>Jordania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Japón</v>
      </c>
      <c r="D328" s="9" t="str">
        <f ca="1">+WORLDCUP!BD67</f>
        <v>Jordania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Japón</v>
      </c>
      <c r="D329" s="9" t="str">
        <f ca="1">+WORLDCUP!BD67</f>
        <v>Jordania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Jordania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Jordania</v>
      </c>
      <c r="J332" s="9" t="str">
        <f ca="1">+WORLDCUP!BD68</f>
        <v>Uzbekistán</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Jordania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Jordania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Jordania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Jordania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Jordania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Jordania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Jordania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Jordania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España</v>
      </c>
      <c r="D346" s="9" t="str">
        <f ca="1">+WORLDCUP!BD67</f>
        <v>Jordania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España</v>
      </c>
      <c r="D347" s="9" t="str">
        <f ca="1">+WORLDCUP!BD67</f>
        <v>Jordania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España</v>
      </c>
      <c r="D350" s="9" t="str">
        <f ca="1">+WORLDCUP!BD67</f>
        <v>Jordania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Jordania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Jordania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Jordania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España</v>
      </c>
      <c r="D356" s="9" t="str">
        <f ca="1">+WORLDCUP!BD67</f>
        <v>Jordania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España</v>
      </c>
      <c r="D357" s="9" t="str">
        <f ca="1">+WORLDCUP!BD67</f>
        <v>Jordania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España</v>
      </c>
      <c r="D360" s="9" t="str">
        <f ca="1">+WORLDCUP!BD67</f>
        <v>Jordania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Jordania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Jordania</v>
      </c>
      <c r="J363" s="9" t="str">
        <f ca="1">+WORLDCUP!BD68</f>
        <v>Uzbekistán</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Jordania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Jordania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Jordania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Jordania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España</v>
      </c>
      <c r="D373" s="9" t="str">
        <f ca="1">+WORLDCUP!BD67</f>
        <v>Jordania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España</v>
      </c>
      <c r="D375" s="9" t="str">
        <f ca="1">+WORLDCUP!BD67</f>
        <v>Jordania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España</v>
      </c>
      <c r="D376" s="9" t="str">
        <f ca="1">+WORLDCUP!BD67</f>
        <v>Jordania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Jordania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España</v>
      </c>
      <c r="D378" s="9" t="str">
        <f ca="1">+WORLDCUP!BD67</f>
        <v>Jordania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España</v>
      </c>
      <c r="D380" s="9" t="str">
        <f ca="1">+WORLDCUP!BD67</f>
        <v>Jordania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España</v>
      </c>
      <c r="D381" s="9" t="str">
        <f ca="1">+WORLDCUP!BD67</f>
        <v>Jordania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Marruecos</v>
      </c>
      <c r="D382" s="9" t="str">
        <f ca="1">+WORLDCUP!BD67</f>
        <v>Jordania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Marruecos</v>
      </c>
      <c r="D384" s="9" t="str">
        <f ca="1">+WORLDCUP!BD67</f>
        <v>Jordania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Marruecos</v>
      </c>
      <c r="D385" s="9" t="str">
        <f ca="1">+WORLDCUP!BD67</f>
        <v>Jordania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Jordania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Jordania</v>
      </c>
      <c r="J388" s="9" t="str">
        <f ca="1">+WORLDCUP!BD68</f>
        <v>Uzbekistán</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Jordania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Jordania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Jordania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Jordania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Jordania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Jordania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Jordania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Jordania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España</v>
      </c>
      <c r="D402" s="9" t="str">
        <f ca="1">+WORLDCUP!BD67</f>
        <v>Jordania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España</v>
      </c>
      <c r="D403" s="9" t="str">
        <f ca="1">+WORLDCUP!BD67</f>
        <v>Jordania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España</v>
      </c>
      <c r="D406" s="9" t="str">
        <f ca="1">+WORLDCUP!BD67</f>
        <v>Jordania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Jordania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Jordania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Jordania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España</v>
      </c>
      <c r="D412" s="9" t="str">
        <f ca="1">+WORLDCUP!BD67</f>
        <v>Jordania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España</v>
      </c>
      <c r="D413" s="9" t="str">
        <f ca="1">+WORLDCUP!BD67</f>
        <v>Jordania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España</v>
      </c>
      <c r="D416" s="9" t="str">
        <f ca="1">+WORLDCUP!BD67</f>
        <v>Jordania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Jordania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Jordania</v>
      </c>
      <c r="J419" s="9" t="str">
        <f ca="1">+WORLDCUP!BD68</f>
        <v>Uzbekistán</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Jordania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Jordania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Jordania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España</v>
      </c>
      <c r="D428" s="9" t="str">
        <f ca="1">+WORLDCUP!BD67</f>
        <v>Jordania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España</v>
      </c>
      <c r="D430" s="9" t="str">
        <f ca="1">+WORLDCUP!BD67</f>
        <v>Jordania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España</v>
      </c>
      <c r="D431" s="9" t="str">
        <f ca="1">+WORLDCUP!BD67</f>
        <v>Jordania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Marruecos</v>
      </c>
      <c r="D432" s="9" t="str">
        <f ca="1">+WORLDCUP!BD67</f>
        <v>Jordania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Marruecos</v>
      </c>
      <c r="D434" s="9" t="str">
        <f ca="1">+WORLDCUP!BD67</f>
        <v>Jordania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Marruecos</v>
      </c>
      <c r="D435" s="9" t="str">
        <f ca="1">+WORLDCUP!BD67</f>
        <v>Jordania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Jordania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Jordania</v>
      </c>
      <c r="J438" s="9" t="str">
        <f ca="1">+WORLDCUP!BD68</f>
        <v>Uzbekistán</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Jordania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Marruecos</v>
      </c>
      <c r="D442" s="9" t="str">
        <f ca="1">+WORLDCUP!BD67</f>
        <v>Jordania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Marruecos</v>
      </c>
      <c r="D444" s="9" t="str">
        <f ca="1">+WORLDCUP!BD67</f>
        <v>Jordania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Marruecos</v>
      </c>
      <c r="D445" s="9" t="str">
        <f ca="1">+WORLDCUP!BD67</f>
        <v>Jordania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Marruecos</v>
      </c>
      <c r="D447" s="9" t="str">
        <f ca="1">+WORLDCUP!BD67</f>
        <v>Jordania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España</v>
      </c>
      <c r="D448" s="9" t="str">
        <f ca="1">+WORLDCUP!BD67</f>
        <v>Jordania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España</v>
      </c>
      <c r="D451" s="9" t="str">
        <f ca="1">+WORLDCUP!BD67</f>
        <v>Jordania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Jordania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Jordania</v>
      </c>
      <c r="J454" s="9" t="str">
        <f ca="1">+WORLDCUP!BD68</f>
        <v>Uzbekistán</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Jordania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Jordania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Jordania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Jordania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Jordania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España</v>
      </c>
      <c r="D467" s="9" t="str">
        <f ca="1">+WORLDCUP!BD67</f>
        <v>Jordania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España</v>
      </c>
      <c r="D468" s="9" t="str">
        <f ca="1">+WORLDCUP!BD67</f>
        <v>Jordania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España</v>
      </c>
      <c r="D471" s="9" t="str">
        <f ca="1">+WORLDCUP!BD67</f>
        <v>Jordania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Jordania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Jordania</v>
      </c>
      <c r="J474" s="9" t="str">
        <f ca="1">+WORLDCUP!BD68</f>
        <v>Uzbekistán</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Jordania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Jordania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Marruecos</v>
      </c>
      <c r="D483" s="9" t="str">
        <f ca="1">+WORLDCUP!BD67</f>
        <v>Jordania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Marruecos</v>
      </c>
      <c r="D484" s="9" t="str">
        <f ca="1">+WORLDCUP!BD67</f>
        <v>Jordania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Marruecos</v>
      </c>
      <c r="D487" s="9" t="str">
        <f ca="1">+WORLDCUP!BD67</f>
        <v>Jordania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España</v>
      </c>
      <c r="D490" s="9" t="str">
        <f ca="1">+WORLDCUP!BD67</f>
        <v>Jordania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Jordania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3"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4"/>
      <c r="D3" s="694"/>
      <c r="E3" s="694"/>
      <c r="F3" s="694"/>
      <c r="G3" s="694"/>
      <c r="H3" s="694"/>
      <c r="I3" s="694"/>
      <c r="J3" s="695"/>
      <c r="K3" s="214"/>
      <c r="L3" s="324"/>
      <c r="M3" s="325"/>
      <c r="N3" s="325"/>
      <c r="O3" s="325"/>
      <c r="P3" s="325"/>
      <c r="Q3" s="325"/>
      <c r="R3" s="326"/>
    </row>
    <row r="4" spans="1:18">
      <c r="A4" s="213"/>
      <c r="B4" s="696"/>
      <c r="C4" s="697"/>
      <c r="D4" s="697"/>
      <c r="E4" s="697"/>
      <c r="F4" s="697"/>
      <c r="G4" s="697"/>
      <c r="H4" s="697"/>
      <c r="I4" s="697"/>
      <c r="J4" s="698"/>
      <c r="K4" s="214"/>
      <c r="L4" s="323" t="str">
        <f>+Idiomas!D84</f>
        <v>· Selecciona el idioma y la zona horaria</v>
      </c>
      <c r="M4" s="225"/>
      <c r="N4" s="225"/>
      <c r="O4" s="225"/>
      <c r="P4" s="225"/>
      <c r="Q4" s="225"/>
      <c r="R4" s="327"/>
    </row>
    <row r="5" spans="1:18">
      <c r="A5" s="213"/>
      <c r="B5" s="696"/>
      <c r="C5" s="697"/>
      <c r="D5" s="697"/>
      <c r="E5" s="697"/>
      <c r="F5" s="697"/>
      <c r="G5" s="697"/>
      <c r="H5" s="697"/>
      <c r="I5" s="697"/>
      <c r="J5" s="698"/>
      <c r="K5" s="214"/>
      <c r="L5" s="323" t="str">
        <f>+Idiomas!D85</f>
        <v>· Si vas a participar en una porra escribe tu nombre</v>
      </c>
      <c r="M5" s="225"/>
      <c r="N5" s="225"/>
      <c r="O5" s="225"/>
      <c r="P5" s="225"/>
      <c r="Q5" s="225"/>
      <c r="R5" s="327"/>
    </row>
    <row r="6" spans="1:18">
      <c r="A6" s="213"/>
      <c r="B6" s="696"/>
      <c r="C6" s="697"/>
      <c r="D6" s="697"/>
      <c r="E6" s="697"/>
      <c r="F6" s="697"/>
      <c r="G6" s="697"/>
      <c r="H6" s="697"/>
      <c r="I6" s="697"/>
      <c r="J6" s="698"/>
      <c r="K6" s="214"/>
      <c r="L6" s="323" t="str">
        <f>+Idiomas!D86</f>
        <v>· Si vas a organizar una porra, puedes descargar el archivo excel de administración desde aquí</v>
      </c>
      <c r="M6" s="225"/>
      <c r="N6" s="225"/>
      <c r="O6" s="225"/>
      <c r="P6" s="225"/>
      <c r="Q6" s="225"/>
      <c r="R6" s="327"/>
    </row>
    <row r="7" spans="1:18">
      <c r="A7" s="213"/>
      <c r="B7" s="696"/>
      <c r="C7" s="697"/>
      <c r="D7" s="697"/>
      <c r="E7" s="697"/>
      <c r="F7" s="697"/>
      <c r="G7" s="697"/>
      <c r="H7" s="697"/>
      <c r="I7" s="697"/>
      <c r="J7" s="698"/>
      <c r="K7" s="214"/>
      <c r="L7" s="328"/>
      <c r="M7" s="329"/>
      <c r="N7" s="329"/>
      <c r="O7" s="329"/>
      <c r="P7" s="329"/>
      <c r="Q7" s="329"/>
      <c r="R7" s="330"/>
    </row>
    <row r="8" spans="1:18">
      <c r="A8" s="213"/>
      <c r="B8" s="696"/>
      <c r="C8" s="697"/>
      <c r="D8" s="697"/>
      <c r="E8" s="697"/>
      <c r="F8" s="697"/>
      <c r="G8" s="697"/>
      <c r="H8" s="697"/>
      <c r="I8" s="697"/>
      <c r="J8" s="698"/>
      <c r="K8" s="214"/>
      <c r="L8"/>
      <c r="M8"/>
      <c r="N8"/>
      <c r="O8"/>
      <c r="P8"/>
      <c r="Q8"/>
      <c r="R8"/>
    </row>
    <row r="9" spans="1:18">
      <c r="A9" s="213"/>
      <c r="B9" s="696"/>
      <c r="C9" s="697"/>
      <c r="D9" s="697"/>
      <c r="E9" s="697"/>
      <c r="F9" s="697"/>
      <c r="G9" s="697"/>
      <c r="H9" s="697"/>
      <c r="I9" s="697"/>
      <c r="J9" s="698"/>
      <c r="K9" s="214"/>
      <c r="L9" s="252" t="s">
        <v>490</v>
      </c>
      <c r="M9"/>
      <c r="N9"/>
      <c r="O9"/>
      <c r="P9"/>
      <c r="Q9"/>
      <c r="R9"/>
    </row>
    <row r="10" spans="1:18">
      <c r="A10" s="213"/>
      <c r="B10" s="696"/>
      <c r="C10" s="697"/>
      <c r="D10" s="697"/>
      <c r="E10" s="697"/>
      <c r="F10" s="697"/>
      <c r="G10" s="697"/>
      <c r="H10" s="697"/>
      <c r="I10" s="697"/>
      <c r="J10" s="698"/>
      <c r="K10" s="214"/>
      <c r="L10" s="324"/>
      <c r="M10" s="325"/>
      <c r="N10" s="325"/>
      <c r="O10" s="325"/>
      <c r="P10" s="325"/>
      <c r="Q10" s="325"/>
      <c r="R10" s="326"/>
    </row>
    <row r="11" spans="1:18">
      <c r="A11" s="213"/>
      <c r="B11" s="696"/>
      <c r="C11" s="697"/>
      <c r="D11" s="697"/>
      <c r="E11" s="697"/>
      <c r="F11" s="697"/>
      <c r="G11" s="697"/>
      <c r="H11" s="697"/>
      <c r="I11" s="697"/>
      <c r="J11" s="698"/>
      <c r="K11" s="214"/>
      <c r="L11" s="323" t="str">
        <f>+Idiomas!D87</f>
        <v>· Rellena los cuadros grises con los resultados de la fase de grupos para cada grupo</v>
      </c>
      <c r="M11" s="225"/>
      <c r="N11" s="225"/>
      <c r="O11" s="225"/>
      <c r="P11" s="225"/>
      <c r="Q11" s="225"/>
      <c r="R11" s="327"/>
    </row>
    <row r="12" spans="1:18">
      <c r="A12" s="213"/>
      <c r="B12" s="699"/>
      <c r="C12" s="700"/>
      <c r="D12" s="700"/>
      <c r="E12" s="700"/>
      <c r="F12" s="700"/>
      <c r="G12" s="700"/>
      <c r="H12" s="700"/>
      <c r="I12" s="700"/>
      <c r="J12" s="701"/>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2" t="str">
        <f>HYPERLINK(Idiomas!D10,Idiomas!D9)</f>
        <v>▼ Descargar Excel Administrador Porra ▼</v>
      </c>
      <c r="C34" s="703"/>
      <c r="D34" s="703"/>
      <c r="E34" s="703"/>
      <c r="F34" s="703"/>
      <c r="G34" s="703"/>
      <c r="H34" s="703"/>
      <c r="I34" s="703"/>
      <c r="J34" s="704"/>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5"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5"/>
      <c r="O84" s="705"/>
      <c r="P84" s="705"/>
      <c r="Q84" s="705"/>
      <c r="R84" s="705"/>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2026-06-17T19:29:15Z</dcterms:modified>
</cp:coreProperties>
</file>