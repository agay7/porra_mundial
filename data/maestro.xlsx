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55E43541-8C0E-48EA-85FB-B5D52923C6AA}"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41" i="3"/>
  <c r="T69" i="3"/>
  <c r="U73" i="3"/>
  <c r="T81" i="3"/>
  <c r="T89" i="3"/>
  <c r="T36" i="3" l="1"/>
  <c r="T96" i="3"/>
  <c r="U93" i="3"/>
  <c r="T60" i="3"/>
  <c r="T55" i="3"/>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c r="DN45" i="3" l="1"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<sst xmlns="http://schemas.openxmlformats.org/spreadsheetml/2006/main" count="6814" uniqueCount="1534">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</sst>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20" t="str">
        <f>Idiomas!D8</f>
        <v>XXIII Mundial USA/MEX/CAN 2026</v>
      </c>
      <c r="C3" s="620"/>
      <c r="D3" s="620"/>
      <c r="E3" s="620"/>
      <c r="F3" s="620"/>
      <c r="G3" s="620"/>
      <c r="H3" s="620"/>
      <c r="I3" s="620"/>
      <c r="J3" s="620"/>
      <c r="K3" s="620"/>
      <c r="L3" s="620"/>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18" t="str">
        <f>HYPERLINK(Idiomas!D10,Idiomas!D5)</f>
        <v>Si quieres organizar una porra (quiniela) con tu grupo puedes descargar el archivo de adminsitrador desde el enlace de abajo</v>
      </c>
      <c r="F16" s="619"/>
      <c r="G16" s="619"/>
      <c r="H16" s="619"/>
      <c r="I16" s="619"/>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15" t="str">
        <f>HYPERLINK(Idiomas!D10,Idiomas!D9)</f>
        <v>▼ Descargar Excel Administrador Porra ▼</v>
      </c>
      <c r="F17" s="616"/>
      <c r="G17" s="616"/>
      <c r="H17" s="616"/>
      <c r="I17" s="617"/>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21"/>
      <c r="C24" s="622"/>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93" zoomScale="55" zoomScaleNormal="100" workbookViewId="0">
      <selection activeCell="AD109" sqref="AD109"/>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55" t="str">
        <f>Idiomas!D8</f>
        <v>XXIII Mundial USA/MEX/CAN 2026</v>
      </c>
      <c r="X1" s="655"/>
      <c r="Y1" s="655"/>
      <c r="Z1" s="655"/>
      <c r="AA1" s="655"/>
      <c r="AB1" s="655"/>
      <c r="AC1" s="655"/>
      <c r="AD1" s="655"/>
      <c r="AE1" s="655"/>
      <c r="AF1" s="655"/>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51"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51"/>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51"/>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51"/>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51"/>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52"/>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53"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53"/>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53"/>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53"/>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53"/>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54"/>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62"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62"/>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62"/>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62"/>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62"/>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63"/>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64"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64"/>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64"/>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64"/>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64"/>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65"/>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66"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66"/>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66"/>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66"/>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66"/>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67"/>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9"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9"/>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9"/>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9"/>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9"/>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0"/>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9"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9"/>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9"/>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9"/>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9"/>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0"/>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31"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31"/>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31"/>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31"/>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31"/>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32"/>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37"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37"/>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37"/>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37"/>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37"/>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8"/>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33"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33"/>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33"/>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33"/>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33"/>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34"/>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9"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9"/>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9"/>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9"/>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9"/>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0"/>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35"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35"/>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35"/>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35"/>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35"/>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36"/>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41"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41"/>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41"/>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41"/>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41"/>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41"/>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41"/>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41"/>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41"/>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Senegal</v>
      </c>
      <c r="AG109" s="313">
        <f t="shared" si="294"/>
        <v>0</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si="289"/>
        <v>W81</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41"/>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Bosnia y Herzegovina</v>
      </c>
      <c r="AG110" s="313">
        <f t="shared" si="294"/>
        <v>0</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41"/>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41"/>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41"/>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41"/>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41"/>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42"/>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43"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43"/>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43"/>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43"/>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43"/>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43"/>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43"/>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44"/>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45"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45"/>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45"/>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46"/>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47"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8"/>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56" t="str">
        <f ca="1">IF(SUM(COUNTIF(AG4:AG97,0),COUNTIF(AG101:AG156,0)&gt;0),AL148,AL149)</f>
        <v>PORRA INCOMPLETA:</v>
      </c>
      <c r="AK151" s="657"/>
      <c r="AL151" s="657"/>
      <c r="AM151" s="657"/>
      <c r="AN151" s="657"/>
      <c r="AO151" s="657"/>
      <c r="AP151" s="657"/>
      <c r="AQ151" s="657"/>
      <c r="AR151" s="657"/>
      <c r="AS151" s="657"/>
      <c r="AT151" s="657"/>
      <c r="AU151" s="658"/>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9"/>
      <c r="AK152" s="660"/>
      <c r="AL152" s="660"/>
      <c r="AM152" s="660"/>
      <c r="AN152" s="660"/>
      <c r="AO152" s="660"/>
      <c r="AP152" s="660"/>
      <c r="AQ152" s="660"/>
      <c r="AR152" s="660"/>
      <c r="AS152" s="660"/>
      <c r="AT152" s="660"/>
      <c r="AU152" s="661"/>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9"/>
      <c r="AK153" s="660"/>
      <c r="AL153" s="660"/>
      <c r="AM153" s="660"/>
      <c r="AN153" s="660"/>
      <c r="AO153" s="660"/>
      <c r="AP153" s="660"/>
      <c r="AQ153" s="660"/>
      <c r="AR153" s="660"/>
      <c r="AS153" s="660"/>
      <c r="AT153" s="660"/>
      <c r="AU153" s="661"/>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9"/>
      <c r="AK154" s="660"/>
      <c r="AL154" s="660"/>
      <c r="AM154" s="660"/>
      <c r="AN154" s="660"/>
      <c r="AO154" s="660"/>
      <c r="AP154" s="660"/>
      <c r="AQ154" s="660"/>
      <c r="AR154" s="660"/>
      <c r="AS154" s="660"/>
      <c r="AT154" s="660"/>
      <c r="AU154" s="661"/>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23" t="str">
        <f ca="1">IF(SUM(COUNTIF(AG4:AG97,0),COUNTIF(AG101:AG156,0)&gt;0),AM148,AM149)</f>
        <v>Aún falta alguna apuesta</v>
      </c>
      <c r="AK155" s="624"/>
      <c r="AL155" s="624"/>
      <c r="AM155" s="624"/>
      <c r="AN155" s="624"/>
      <c r="AO155" s="624"/>
      <c r="AP155" s="624"/>
      <c r="AQ155" s="624"/>
      <c r="AR155" s="624"/>
      <c r="AS155" s="624"/>
      <c r="AT155" s="624"/>
      <c r="AU155" s="625"/>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23"/>
      <c r="AK156" s="624"/>
      <c r="AL156" s="624"/>
      <c r="AM156" s="624"/>
      <c r="AN156" s="624"/>
      <c r="AO156" s="624"/>
      <c r="AP156" s="624"/>
      <c r="AQ156" s="624"/>
      <c r="AR156" s="624"/>
      <c r="AS156" s="624"/>
      <c r="AT156" s="624"/>
      <c r="AU156" s="625"/>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26"/>
      <c r="AK157" s="627"/>
      <c r="AL157" s="627"/>
      <c r="AM157" s="627"/>
      <c r="AN157" s="627"/>
      <c r="AO157" s="627"/>
      <c r="AP157" s="627"/>
      <c r="AQ157" s="627"/>
      <c r="AR157" s="627"/>
      <c r="AS157" s="627"/>
      <c r="AT157" s="627"/>
      <c r="AU157" s="628"/>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0</v>
      </c>
      <c r="E82" s="7">
        <f>WORLDCUP!AD109</f>
        <v>0</v>
      </c>
      <c r="H82" s="7">
        <f>IF(AND(NOT(ISBLANK(WORLDCUP!AC109)),NOT(ISBLANK(WORLDCUP!AD109))),1,0)</f>
        <v>0</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0</v>
      </c>
      <c r="E83" s="7">
        <f>WORLDCUP!AD110</f>
        <v>0</v>
      </c>
      <c r="H83" s="7">
        <f>IF(AND(NOT(ISBLANK(WORLDCUP!AC110)),NOT(ISBLANK(WORLDCUP!AD110))),1,0)</f>
        <v>0</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IF(AND(NOT(ISBLANK(WORLDCUP!AC111)),NOT(ISBLANK(WORLDCUP!AD111))),1,0)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Bélgica-Senegal·0|-</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2026-07-01T20:22:59Z</dcterms:modified>
</cp:coreProperties>
</file>