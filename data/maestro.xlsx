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887AA626-0ADA-4B6A-A63B-D9B8FFB79CE7}"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T84" i="3"/>
  <c r="CT47" i="3" s="1"/>
  <c r="U21" i="3"/>
  <c r="T85" i="3"/>
  <c r="T21" i="3"/>
  <c r="CT51" i="3"/>
  <c r="U12" i="3"/>
  <c r="T76" i="3"/>
  <c r="CT43" i="3" s="1"/>
  <c r="CT23" i="3"/>
  <c r="T61" i="3"/>
  <c r="CT37" i="3" s="1"/>
  <c r="CT22" i="3"/>
  <c r="CT21" i="3"/>
  <c r="CT48" i="3"/>
  <c r="CT6" i="3"/>
  <c r="CT46" i="3"/>
  <c r="CT18" i="3"/>
  <c r="CT16" i="3"/>
  <c r="CT41" i="3"/>
  <c r="CT39" i="3"/>
  <c r="CT29" i="3"/>
  <c r="CT8" i="3"/>
  <c r="CT19" i="3" l="1"/>
  <c r="CT36" i="3"/>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<sst xmlns="http://schemas.openxmlformats.org/spreadsheetml/2006/main" count="6816" uniqueCount="1536">
  <si>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</si>
  <si>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</si>
  <si>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</si>
  <si>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</si>
  <si>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</si>
  <si>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</si>
  <si>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</si>
  <si>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</si>
  <si>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</si>
  <si>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</si>
  <si>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</si>
  <si>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</si>
  <si>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</si>
  <si>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</si>
  <si>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</si>
  <si>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</si>
  <si>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</si>
  <si>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</si>
  <si>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</si>
  <si>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</si>
  <si>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</si>
  <si>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</si>
  <si>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</si>
  <si>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</si>
  <si>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</si>
  <si>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</si>
  <si>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</si>
  <si>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</si>
  <si>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</si>
  <si>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</si>
  <si>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</si>
  <si>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</si>
  <si>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</si>
  <si>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</si>
  <si>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</si>
  <si>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</si>
  <si>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</si>
  <si>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</si>
  <si>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</si>
  <si>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</si>
  <si>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</si>
  <si>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</si>
  <si>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</si>
  <si>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</si>
  <si>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</si>
  <si>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</si>
  <si>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</si>
  <si>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</si>
  <si>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</si>
  <si>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</si>
  <si>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</si>
  <si>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</si>
  <si>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</si>
  <si>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</si>
  <si>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</si>
  <si>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</si>
  <si>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</si>
  <si>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</si>
  <si>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</si>
  <si>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</si>
  <si>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</si>
  <si>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</si>
  <si>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</si>
  <si>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</si>
  <si>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</si>
  <si>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</si>
  <si>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</si>
  <si>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</si>
  <si>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</si>
  <si>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</si>
  <si>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</si>
  <si>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</si>
  <si>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</si>
  <si>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</si>
  <si>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</si>
  <si>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</si>
  <si>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</si>
  <si>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</si>
  <si>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</si>
  <si>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</si>
  <si>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</si>
  <si>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</si>
  <si>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</si>
  <si>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</si>
  <si>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</si>
  <si>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</si>
  <si>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</si>
  <si>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</si>
  <si>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</si>
  <si>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</si>
  <si>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</si>
  <si>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</si>
  <si>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</si>
  <si>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</si>
  <si>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</si>
  <si>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</si>
  <si>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</si>
  <si>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</si>
  <si>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</si>
  <si>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</si>
  <si>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</si>
  <si>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</si>
  <si>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</si>
  <si>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</si>
  <si>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</si>
  <si>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</si>
  <si>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</si>
  <si>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</si>
  <si>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</si>
  <si>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</si>
  <si>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</si>
  <si>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</si>
  <si>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</si>
  <si>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</si>
  <si>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</si>
  <si>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</si>
  <si>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</si>
  <si>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</si>
  <si>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</si>
  <si>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</si>
  <si>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</si>
  <si>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</si>
  <si>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</si>
  <si>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</si>
  <si>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</si>
  <si>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</si>
  <si>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</si>
  <si>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</si>
  <si>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</si>
  <si>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</si>
  <si>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</si>
  <si>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</si>
  <si>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</si>
  <si>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</si>
  <si>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</si>
  <si>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</si>
  <si>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</si>
  <si>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</si>
  <si>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</si>
  <si>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</si>
  <si>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</si>
  <si>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</si>
  <si>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</si>
  <si>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</si>
  <si>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</si>
  <si>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</si>
  <si>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</si>
  <si>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</si>
  <si>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</si>
  <si>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</si>
  <si>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</si>
  <si>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</si>
  <si>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</si>
  <si>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</si>
  <si>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</si>
  <si>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</si>
  <si>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</si>
  <si>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</si>
  <si>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</si>
  <si>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</si>
  <si>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</si>
  <si>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</si>
  <si>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</si>
  <si>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</si>
  <si>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</si>
  <si>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</si>
  <si>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</si>
  <si>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</si>
  <si>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</si>
  <si>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</si>
  <si>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</si>
  <si>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</si>
  <si>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</si>
  <si>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</si>
  <si>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</si>
  <si>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</si>
  <si>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</si>
  <si>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</si>
  <si>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</si>
  <si>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</si>
  <si>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</si>
  <si>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</si>
  <si>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</si>
  <si>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</si>
  <si>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</si>
  <si>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</si>
  <si>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</si>
  <si>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</si>
  <si>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</si>
  <si>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</si>
  <si>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</si>
  <si>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</si>
  <si>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</si>
  <si>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</si>
  <si>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</si>
  <si>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</si>
  <si>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</si>
  <si>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</si>
  <si>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</si>
  <si>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</si>
  <si>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</si>
  <si>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</si>
  <si>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</si>
  <si>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</si>
  <si>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</si>
  <si>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</si>
  <si>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</si>
  <si>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</si>
  <si>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</si>
  <si>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</si>
  <si>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</si>
  <si>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</si>
  <si>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</si>
  <si>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</si>
  <si>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</si>
  <si>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</si>
  <si>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</si>
  <si>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</si>
  <si>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</si>
  <si>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</si>
  <si>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</si>
  <si>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</si>
  <si>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</si>
  <si>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</si>
  <si>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</si>
  <si>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</si>
  <si>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</si>
  <si>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</si>
  <si>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</si>
  <si>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</si>
  <si>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</si>
  <si>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</si>
  <si>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</si>
  <si>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</si>
  <si>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</si>
  <si>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</si>
  <si>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</si>
  <si>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</si>
  <si>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</si>
  <si>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</si>
  <si>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</si>
  <si>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</si>
  <si>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</si>
  <si>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</si>
  <si>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</si>
  <si>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</si>
  <si>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</si>
  <si>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</si>
  <si>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</si>
  <si>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</si>
  <si>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</si>
  <si>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</si>
  <si>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</si>
  <si>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</si>
  <si>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</si>
  <si>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</si>
  <si>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</si>
  <si>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</si>
  <si>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</si>
  <si>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</si>
  <si>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</si>
  <si>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</si>
  <si>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</si>
  <si>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</si>
  <si>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</si>
  <si>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</si>
  <si>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</si>
  <si>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</si>
  <si>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</si>
  <si>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</si>
  <si>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</si>
  <si>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</si>
  <si>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</si>
  <si>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</si>
  <si>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</si>
  <si>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</si>
  <si>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</si>
  <si>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</si>
  <si>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</si>
  <si>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</si>
  <si>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</si>
  <si>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</si>
  <si>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</si>
  <si>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</si>
  <si>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</si>
  <si>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</si>
  <si>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</si>
  <si>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</si>
  <si>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</si>
  <si>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</si>
  <si>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</si>
  <si>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</si>
  <si>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</si>
  <si>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</si>
  <si>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</si>
  <si>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</si>
  <si>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</si>
  <si>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</si>
  <si>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</si>
  <si>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</si>
  <si>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</si>
  <si>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</si>
  <si>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</si>
  <si>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</si>
  <si>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</si>
  <si>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</si>
  <si>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</si>
  <si>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</si>
  <si>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</si>
  <si>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</si>
  <si>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</si>
  <si>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</si>
  <si>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</si>
  <si>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</si>
  <si>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</si>
  <si>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</si>
  <si>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</si>
  <si>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</si>
  <si>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</si>
  <si>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</si>
  <si>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</si>
  <si>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</si>
  <si>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</si>
  <si>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</si>
  <si>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</si>
  <si>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</si>
  <si>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</si>
  <si>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</si>
  <si>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</si>
  <si>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</si>
  <si>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</si>
  <si>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</si>
  <si>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</si>
  <si>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</si>
  <si>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</si>
  <si>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</si>
  <si>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</si>
  <si>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</si>
  <si>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</si>
  <si>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</si>
  <si>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</si>
  <si>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</si>
  <si>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</si>
  <si>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</si>
  <si>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</si>
  <si>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</si>
  <si>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</si>
  <si>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</si>
  <si>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</si>
  <si>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</si>
  <si>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</si>
  <si>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</si>
  <si>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</si>
  <si>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</si>
  <si>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</si>
  <si>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</si>
  <si>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</si>
  <si>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</si>
  <si>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</si>
  <si>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</si>
  <si>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</si>
  <si>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</si>
  <si>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</si>
  <si>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</si>
  <si>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</si>
  <si>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</si>
  <si>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</si>
  <si>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</si>
  <si>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</si>
  <si>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</si>
  <si>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</si>
  <si>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</si>
  <si>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</si>
  <si>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</si>
  <si>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</si>
  <si>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</si>
  <si>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</si>
  <si>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</si>
  <si>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</si>
  <si>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</si>
  <si>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</si>
  <si>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</si>
  <si>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</si>
  <si>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</si>
  <si>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</si>
  <si>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</si>
  <si>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</si>
  <si>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</si>
  <si>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</si>
  <si>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</si>
  <si>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</si>
  <si>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</si>
  <si>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</si>
  <si>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</si>
  <si>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</si>
  <si>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</si>
  <si>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</si>
  <si>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</si>
  <si>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</si>
  <si>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</si>
  <si>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</si>
  <si>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</si>
  <si>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</si>
  <si>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</si>
  <si>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</si>
  <si>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</si>
  <si>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</si>
  <si>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</si>
  <si>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</si>
  <si>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</si>
  <si>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</si>
  <si>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</si>
  <si>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</si>
  <si>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</si>
  <si>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</si>
  <si>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</si>
  <si>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</si>
  <si>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</si>
  <si>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</si>
  <si>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</si>
  <si>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</si>
  <si>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</si>
  <si>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</si>
  <si>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</si>
  <si>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</si>
  <si>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</si>
  <si>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</si>
  <si>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</si>
  <si>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</si>
  <si>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</si>
  <si>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</si>
  <si>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</si>
  <si>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</si>
  <si>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</si>
  <si>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</si>
  <si>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</si>
  <si>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</si>
  <si>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</si>
  <si>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</si>
  <si>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</si>
  <si>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</si>
  <si>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</si>
  <si>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</si>
  <si>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</si>
  <si>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</si>
  <si>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</si>
  <si>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</si>
  <si>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</si>
  <si>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</si>
  <si>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</si>
  <si>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</si>
  <si>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</si>
  <si>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</si>
  <si>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</si>
  <si>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</si>
  <si>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</si>
  <si>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</si>
  <si>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</si>
  <si>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</si>
  <si>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</si>
  <si>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</si>
  <si>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</si>
  <si>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</si>
  <si>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</si>
  <si>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</si>
  <si>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</si>
  <si>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</si>
  <si>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</si>
  <si>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</si>
  <si>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</si>
  <si>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</si>
  <si>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</si>
  <si>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</si>
  <si>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</si>
  <si>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</si>
  <si>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</si>
  <si>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</si>
  <si>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</si>
  <si>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</si>
  <si>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</si>
  <si>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</si>
  <si>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</si>
  <si>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</si>
  <si>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</si>
  <si>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</si>
  <si>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</si>
  <si>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</si>
  <si>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</si>
  <si>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</si>
  <si>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</si>
  <si>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</si>
  <si>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</si>
  <si>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</si>
  <si>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</si>
  <si>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</si>
  <si>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</si>
  <si>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</si>
  <si>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</si>
  <si>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</si>
  <si>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</si>
  <si>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</si>
  <si>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</si>
  <si>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</si>
  <si>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</si>
  <si>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</si>
  <si>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</si>
  <si>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</si>
  <si>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</si>
  <si>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</si>
  <si>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</si>
  <si>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</si>
  <si>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</si>
  <si>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</si>
  <si>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</si>
  <si>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</si>
  <si>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</si>
  <si>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</si>
  <si>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</si>
  <si>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</si>
  <si>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</si>
  <si>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</si>
  <si>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</si>
  <si>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</si>
  <si>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</si>
  <si>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</si>
  <si>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</si>
  <si>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</si>
  <si>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</si>
  <si>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</si>
  <si>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</si>
  <si>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</si>
  <si>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</si>
  <si>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</si>
  <si>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</si>
  <si>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</si>
  <si>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</si>
  <si>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</si>
  <si>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</si>
  <si>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</si>
  <si>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</si>
  <si>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</si>
  <si>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</si>
  <si>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</si>
  <si>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</si>
  <si>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</si>
  <si>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</si>
  <si>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</si>
  <si>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</si>
  <si>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</si>
  <si>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</si>
  <si>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</si>
  <si>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</si>
  <si>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</si>
  <si>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</si>
  <si>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</si>
  <si>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</si>
  <si>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</si>
  <si>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</si>
  <si>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</si>
  <si>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</si>
  <si>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</si>
  <si>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</si>
  <si>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</si>
  <si>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</si>
  <si>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</si>
  <si>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</si>
  <si>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</si>
  <si>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</si>
  <si>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</si>
  <si>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</si>
  <si>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</si>
  <si>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</si>
  <si>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</si>
  <si>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</si>
  <si>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</si>
  <si>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</si>
  <si>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</si>
  <si>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</si>
  <si>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</si>
  <si>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</si>
  <si>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</si>
  <si>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</si>
  <si>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</si>
  <si>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</si>
  <si>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</si>
  <si>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</si>
  <si>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</si>
  <si>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</si>
  <si>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</si>
  <si>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</si>
  <si>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</si>
  <si>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</si>
  <si>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</si>
  <si>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</si>
  <si>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</si>
  <si>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</si>
  <si>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</si>
  <si>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</si>
  <si>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</si>
  <si>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</si>
  <si>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</si>
  <si>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</si>
  <si>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</si>
  <si>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</si>
  <si>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</si>
  <si>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</si>
  <si>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</si>
  <si>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</si>
  <si>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</si>
  <si>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</si>
  <si>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</si>
  <si>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</si>
  <si>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</si>
  <si>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</si>
  <si>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</si>
  <si>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</si>
  <si>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</si>
  <si>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</si>
  <si>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</si>
  <si>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</si>
  <si>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</si>
  <si>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</si>
  <si>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</si>
  <si>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</si>
  <si>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</si>
  <si>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</si>
  <si>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</si>
  <si>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</si>
  <si>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</si>
  <si>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</si>
  <si>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</si>
  <si>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</si>
  <si>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</si>
  <si>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</si>
  <si>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</si>
  <si>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</si>
  <si>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</si>
  <si>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</si>
  <si>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</si>
  <si>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</si>
  <si>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</si>
  <si>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</si>
  <si>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</si>
  <si>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</si>
  <si>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</si>
  <si>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</si>
  <si>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</si>
  <si>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</si>
  <si>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</si>
  <si>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</si>
  <si>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</si>
  <si>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</si>
  <si>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</si>
  <si>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</si>
  <si>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</si>
  <si>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</si>
  <si>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</si>
  <si>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</si>
  <si>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</si>
  <si>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</si>
  <si>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</si>
  <si>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</si>
  <si>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</si>
  <si>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</si>
  <si>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</si>
  <si>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</si>
  <si>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</si>
  <si>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</si>
  <si>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</si>
  <si>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</si>
  <si>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</si>
  <si>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</si>
  <si>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</si>
  <si>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</si>
  <si>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</si>
  <si>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</si>
  <si>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</si>
  <si>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</si>
  <si>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</si>
  <si>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</si>
  <si>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</si>
  <si>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</si>
  <si>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</si>
  <si>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</si>
  <si>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</si>
  <si>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</si>
  <si>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</si>
  <si>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</si>
  <si>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</si>
  <si>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</si>
  <si>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</si>
  <si>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</si>
  <si>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</si>
  <si>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</si>
  <si>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</si>
  <si>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</si>
  <si>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</si>
  <si>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</si>
  <si>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</si>
  <si>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</si>
  <si>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</si>
  <si>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</si>
  <si>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</si>
  <si>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</si>
  <si>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</si>
  <si>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</si>
  <si>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</si>
  <si>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</si>
  <si>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</si>
  <si>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</si>
  <si>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</si>
  <si>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</si>
  <si>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</si>
  <si>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</si>
  <si>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</si>
  <si>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</si>
  <si>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</si>
  <si>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</si>
  <si>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</si>
  <si>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</si>
  <si>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</si>
  <si>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</si>
  <si>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</si>
  <si>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</si>
  <si>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</si>
  <si>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</si>
  <si>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</si>
  <si>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</si>
  <si>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</si>
  <si>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</si>
  <si>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</si>
  <si>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</si>
  <si>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</si>
  <si>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</si>
  <si>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</si>
  <si>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</si>
  <si>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</si>
  <si>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</si>
  <si>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</si>
  <si>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</si>
  <si>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</si>
  <si>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</si>
  <si>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</si>
  <si>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</si>
  <si>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</si>
  <si>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</si>
  <si>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</si>
  <si>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</si>
  <si>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</si>
  <si>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</si>
  <si>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</si>
  <si>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</si>
  <si>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</si>
  <si>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</si>
  <si>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</si>
  <si>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</si>
  <si>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</si>
  <si>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</si>
  <si>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</si>
  <si>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</si>
  <si>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</si>
  <si>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</si>
  <si>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</si>
  <si>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</si>
  <si>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</si>
  <si>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</si>
  <si>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</si>
  <si>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</si>
  <si>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</si>
  <si>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</si>
  <si>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</si>
  <si>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</si>
  <si>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</si>
  <si>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</si>
  <si>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</si>
  <si>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</si>
  <si>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</si>
  <si>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</si>
  <si>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</si>
  <si>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</si>
  <si>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</si>
  <si>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</si>
  <si>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</si>
  <si>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</si>
  <si>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</si>
  <si>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</si>
  <si>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</si>
  <si>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</si>
  <si>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</si>
  <si>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</si>
  <si>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</si>
  <si>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</si>
  <si>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</si>
  <si>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</si>
  <si>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</si>
  <si>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</si>
  <si>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</si>
  <si>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</si>
  <si>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</si>
  <si>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</si>
  <si>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</si>
  <si>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</si>
  <si>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</si>
  <si>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</si>
  <si>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</si>
  <si>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</si>
  <si>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</si>
  <si>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</si>
  <si>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</si>
  <si>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</si>
  <si>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</si>
  <si>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</si>
  <si>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</si>
  <si>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</si>
  <si>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</si>
  <si>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</si>
  <si>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</si>
  <si>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</si>
  <si>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</si>
  <si>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</si>
  <si>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</si>
  <si>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</si>
  <si>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</si>
  <si>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</si>
  <si>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</si>
  <si>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</si>
  <si>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</si>
  <si>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</si>
  <si>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</si>
  <si>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</si>
  <si>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</si>
  <si>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</si>
  <si>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</si>
  <si>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</si>
  <si>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</si>
  <si>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</si>
  <si>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</si>
  <si>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</si>
  <si>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</si>
  <si>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</si>
  <si>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</si>
  <si>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</si>
  <si>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</si>
  <si>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</si>
  <si>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</si>
  <si>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</si>
  <si>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</si>
  <si>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</si>
  <si>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</si>
  <si>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</si>
  <si>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</si>
  <si>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</si>
  <si>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</si>
  <si>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</si>
  <si>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</si>
  <si>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</si>
  <si>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</si>
  <si>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</si>
  <si>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</si>
  <si>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</si>
  <si>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</si>
  <si>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</si>
  <si>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</si>
  <si>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</si>
  <si>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</si>
  <si>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</si>
  <si>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</si>
  <si>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</si>
  <si>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</si>
  <si>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</si>
  <si>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</si>
  <si>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</si>
  <si>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</si>
  <si>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</si>
  <si>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</si>
  <si>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</si>
  <si>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</si>
  <si>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</si>
  <si>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</si>
  <si>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</si>
  <si>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</si>
  <si>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</si>
  <si>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</si>
  <si>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</si>
  <si>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</si>
  <si>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</si>
  <si>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</si>
  <si>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</si>
  <si>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</si>
  <si>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</si>
  <si>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</si>
  <si>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</si>
  <si>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</si>
  <si>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</si>
  <si>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</si>
  <si>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</si>
  <si>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</si>
  <si>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</si>
  <si>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</si>
  <si>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</si>
  <si>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</si>
  <si>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</si>
  <si>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</si>
  <si>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</si>
  <si>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</si>
  <si>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</si>
  <si>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</si>
  <si>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</si>
  <si>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</si>
  <si>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</si>
  <si>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</si>
  <si>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</si>
  <si>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</si>
  <si>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</si>
  <si>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</si>
  <si>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</si>
  <si>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</si>
  <si>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</si>
  <si>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</si>
  <si>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</si>
  <si>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</si>
  <si>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</si>
  <si>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</si>
  <si>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</si>
  <si>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</si>
  <si>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</si>
  <si>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</si>
  <si>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</si>
  <si>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</si>
  <si>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</si>
  <si>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</si>
  <si>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</si>
  <si>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</si>
  <si>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</si>
  <si>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</si>
  <si>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</si>
  <si>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</si>
  <si>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</si>
  <si>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</si>
  <si>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</si>
  <si>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</si>
  <si>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</si>
  <si>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</si>
  <si>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</si>
  <si>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</si>
  <si>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</si>
  <si>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</si>
  <si>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</si>
  <si>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</si>
  <si>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</si>
  <si>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</si>
  <si>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</si>
  <si>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</si>
  <si>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</si>
  <si>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</si>
  <si>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</si>
  <si>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</si>
  <si>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</si>
  <si>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</si>
  <si>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</si>
  <si>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</si>
  <si>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</si>
  <si>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</si>
  <si>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</si>
  <si>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</si>
  <si>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</si>
  <si>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</si>
  <si>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</si>
  <si>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</si>
  <si>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</si>
  <si>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</si>
  <si>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</si>
  <si>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</si>
  <si>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</si>
  <si>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</si>
  <si>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</si>
  <si>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</si>
  <si>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</si>
  <si>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</si>
  <si>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</si>
  <si>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</si>
  <si>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</si>
  <si>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</si>
  <si>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</si>
  <si>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</si>
  <si>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</si>
  <si>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</si>
  <si>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</si>
  <si>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</si>
  <si>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</si>
  <si>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</si>
  <si>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</si>
  <si>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</si>
  <si>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</si>
  <si>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</si>
  <si>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</si>
  <si>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</si>
  <si>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</si>
  <si>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</si>
  <si>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</si>
  <si>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</si>
  <si>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</si>
  <si>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</si>
  <si>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</si>
  <si>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</si>
  <si>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</si>
  <si>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</si>
  <si>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</si>
  <si>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</si>
  <si>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</si>
  <si>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</si>
  <si>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</si>
  <si>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</si>
  <si>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</si>
  <si>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</si>
  <si>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</si>
  <si>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</si>
  <si>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</si>
  <si>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</si>
  <si>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</si>
  <si>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</si>
  <si>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</si>
  <si>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</si>
  <si>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</si>
  <si>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</si>
  <si>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</si>
  <si>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</si>
  <si>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</si>
  <si>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</si>
  <si>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</si>
  <si>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</si>
  <si>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</si>
  <si>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</si>
  <si>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</si>
  <si>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</si>
  <si>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</si>
  <si>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</si>
  <si>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</si>
  <si>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</si>
  <si>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</si>
  <si>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</si>
  <si>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</si>
  <si>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</si>
  <si>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</si>
  <si>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</si>
  <si>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</si>
  <si>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</si>
  <si>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</si>
  <si>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</si>
  <si>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</si>
  <si>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</si>
  <si>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</si>
  <si>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</si>
  <si>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</si>
  <si>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</si>
  <si>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</si>
  <si>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</si>
  <si>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</si>
  <si>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</si>
  <si>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</si>
  <si>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</si>
  <si>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</si>
  <si>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</si>
  <si>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</si>
  <si>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</si>
  <si>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</si>
  <si>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</si>
  <si>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</si>
  <si>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</si>
  <si>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</si>
  <si>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</si>
  <si>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</si>
  <si>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</si>
  <si>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</si>
  <si>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</si>
  <si>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</si>
  <si>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</si>
  <si>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</si>
  <si>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</si>
  <si>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</si>
  <si>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</si>
  <si>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</si>
  <si>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</si>
  <si>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</si>
  <si>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</si>
  <si>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</si>
  <si>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</si>
  <si>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</si>
  <si>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</si>
  <si>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</si>
  <si>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</si>
  <si>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</si>
  <si>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</si>
  <si>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</si>
  <si>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</si>
  <si>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</si>
  <si>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</si>
  <si>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</si>
  <si>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</si>
  <si>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</si>
  <si>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</si>
  <si>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</si>
  <si>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</si>
  <si>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</si>
  <si>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</si>
  <si>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</si>
  <si>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</si>
  <si>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</si>
  <si>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</si>
  <si>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</si>
  <si>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</si>
  <si>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</si>
  <si>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</si>
  <si>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</si>
  <si>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</si>
  <si>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</si>
  <si>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</si>
  <si>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</si>
  <si>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</si>
  <si>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</si>
  <si>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</si>
  <si>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</si>
  <si>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</si>
  <si>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</si>
  <si>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</si>
  <si>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</si>
  <si>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</si>
  <si>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</si>
  <si>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</si>
  <si>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</si>
  <si>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</si>
  <si>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</si>
  <si>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</si>
  <si>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</si>
  <si>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</si>
  <si>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</si>
  <si>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</si>
  <si>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</si>
  <si>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</si>
  <si>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</si>
  <si>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</si>
  <si>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</si>
  <si>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</si>
  <si>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</si>
  <si>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</si>
  <si>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</si>
  <si>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</si>
  <si>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</si>
  <si>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</si>
  <si>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</si>
  <si>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</si>
  <si>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</si>
  <si>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</si>
  <si>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</si>
  <si>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</si>
  <si>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</si>
  <si>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</si>
  <si>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</si>
  <si>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</si>
  <si>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</si>
  <si>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</si>
  <si>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</si>
  <si>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</si>
  <si>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</si>
  <si>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</si>
  <si>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</si>
  <si>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</si>
  <si>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</si>
  <si>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</si>
  <si>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</si>
  <si>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</si>
  <si>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</si>
  <si>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</si>
  <si>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</si>
  <si>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</si>
  <si>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</si>
  <si>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</si>
  <si>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</si>
  <si>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</si>
  <si>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</si>
  <si>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</si>
  <si>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</si>
  <si>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</si>
  <si>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</si>
  <si>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</si>
  <si>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</si>
  <si>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</si>
  <si>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</si>
  <si>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</si>
  <si>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</si>
  <si>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</si>
  <si>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</si>
  <si>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</si>
  <si>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</si>
  <si>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</si>
  <si>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</si>
  <si>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</si>
  <si>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</si>
  <si>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</si>
  <si>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</si>
  <si>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</si>
  <si>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</si>
  <si>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</si>
  <si>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</si>
  <si>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</si>
  <si>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</si>
  <si>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</si>
  <si>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</si>
  <si>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</si>
  <si>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</si>
  <si>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</si>
  <si>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</si>
  <si>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</si>
  <si>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</si>
  <si>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</si>
  <si>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</si>
  <si>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</si>
  <si>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</si>
  <si>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</si>
  <si>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</si>
  <si>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</si>
  <si>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</si>
  <si>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</si>
  <si>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</si>
  <si>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</si>
  <si>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</si>
  <si>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</si>
  <si>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</si>
  <si>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</si>
  <si>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</si>
  <si>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</si>
  <si>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</si>
  <si>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</si>
  <si>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</si>
  <si>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</si>
  <si>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</si>
  <si>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</si>
  <si>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</si>
  <si>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</si>
  <si>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</si>
  <si>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</si>
  <si>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</si>
  <si>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</si>
  <si>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</si>
  <si>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</si>
  <si>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</si>
  <si>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</si>
  <si>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</si>
  <si>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</si>
  <si>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</si>
  <si>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</si>
  <si>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</si>
  <si>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</si>
  <si>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</si>
  <si>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</si>
  <si>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</si>
  <si>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</si>
  <si>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</si>
  <si>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</si>
  <si>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</si>
  <si>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</si>
  <si>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</si>
  <si>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</si>
  <si>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</si>
  <si>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</si>
  <si>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</si>
  <si>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</si>
  <si>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</si>
  <si>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</si>
  <si>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</si>
  <si>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</si>
  <si>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</si>
  <si>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</si>
  <si>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</si>
  <si>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</si>
  <si>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</si>
  <si>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</si>
  <si>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</si>
  <si>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</si>
  <si>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</si>
  <si>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</si>
  <si>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</si>
  <si>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</si>
  <si>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</si>
  <si>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</si>
  <si>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</si>
  <si>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</si>
  <si>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</si>
  <si>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</si>
  <si>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</si>
  <si>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</si>
  <si>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</si>
  <si>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</si>
  <si>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</si>
  <si>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</si>
  <si>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</si>
  <si>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</si>
  <si>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</si>
  <si>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</si>
  <si>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</si>
  <si>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</si>
  <si>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</si>
  <si>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</si>
  <si>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</si>
  <si>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</si>
  <si>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</si>
  <si>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</si>
  <si>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</si>
  <si>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</si>
  <si>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</si>
  <si>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</si>
  <si>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</si>
  <si>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</si>
  <si>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</si>
  <si>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</si>
  <si>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</si>
  <si>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</si>
  <si>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</si>
  <si>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</si>
  <si>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</si>
  <si>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</si>
  <si>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</si>
  <si>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</si>
  <si>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</si>
  <si>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</si>
  <si>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</si>
  <si>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</si>
  <si>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</si>
  <si>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</si>
  <si>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</si>
  <si>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</si>
  <si>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</si>
  <si>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</si>
  <si>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</si>
  <si>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</si>
  <si>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</si>
  <si>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</si>
  <si>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</si>
  <si>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</si>
  <si>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</si>
  <si>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</si>
  <si>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</si>
  <si>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</si>
  <si>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</si>
  <si>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</si>
  <si>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</si>
  <si>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</si>
  <si>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</si>
  <si>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</si>
  <si>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</si>
  <si>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</si>
  <si>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</si>
  <si>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</si>
  <si>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</si>
  <si>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</si>
  <si>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</si>
  <si>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</si>
  <si>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</si>
  <si>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</si>
  <si>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</si>
  <si>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</si>
  <si>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</si>
  <si>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</si>
  <si>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</si>
  <si>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</si>
  <si>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</si>
  <si>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</si>
  <si>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</si>
  <si>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</si>
  <si>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</si>
  <si>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</si>
  <si>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</si>
  <si>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</si>
  <si>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</si>
  <si>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</si>
  <si>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</si>
  <si>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</si>
  <si>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</si>
  <si>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</si>
  <si>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</si>
  <si>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</si>
  <si>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</si>
  <si>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</si>
  <si>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</si>
  <si>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</si>
  <si>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</si>
  <si>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</si>
  <si>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</si>
  <si>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</si>
  <si>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</si>
  <si>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</si>
  <si>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</si>
  <si>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</si>
  <si>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</si>
  <si>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</si>
  <si>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</si>
  <si>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</si>
  <si>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</si>
  <si>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</si>
  <si>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</si>
  <si>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</si>
  <si>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</si>
  <si>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</si>
  <si>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</si>
  <si>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</si>
  <si>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</si>
  <si>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</si>
  <si>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</si>
  <si>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</si>
  <si>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</si>
  <si>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</si>
  <si>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</si>
  <si>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</si>
  <si>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</si>
  <si>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</si>
  <si>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</si>
  <si>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</si>
  <si>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</si>
  <si>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</si>
  <si>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</si>
  <si>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</si>
  <si>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</si>
  <si>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</si>
  <si>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</si>
  <si>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</si>
  <si>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</si>
  <si>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</si>
  <si>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</si>
  <si>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</si>
  <si>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</si>
  <si>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</si>
  <si>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</si>
  <si>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</si>
  <si>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</si>
  <si>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</si>
  <si>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</si>
  <si>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</si>
  <si>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</si>
  <si>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</si>
  <si>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</si>
  <si>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</si>
  <si>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</si>
  <si>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</si>
  <si>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</si>
  <si>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</si>
  <si>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</si>
  <si>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</si>
  <si>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</si>
  <si>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</si>
  <si>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</si>
  <si>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</si>
  <si>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</si>
  <si>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</si>
  <si>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</si>
  <si>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</si>
  <si>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</si>
  <si>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</si>
  <si>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</si>
  <si>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</si>
  <si>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</si>
  <si>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</si>
  <si>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</si>
  <si>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</si>
  <si>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</si>
  <si>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</si>
  <si>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</si>
  <si>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</si>
  <si>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</si>
  <si>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</si>
  <si>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</si>
  <si>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</si>
  <si>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</si>
  <si>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</si>
  <si>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</si>
  <si>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</si>
  <si>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</si>
  <si>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</si>
  <si>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</si>
  <si>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</si>
  <si>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</si>
  <si>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</si>
  <si>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</si>
  <si>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</si>
  <si>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</si>
  <si>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</si>
  <si>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</si>
  <si>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</si>
  <si>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</si>
  <si>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</si>
  <si>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</si>
  <si>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</si>
  <si>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</si>
  <si>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</si>
  <si>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</si>
  <si>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</si>
  <si>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</si>
  <si>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</si>
  <si>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</si>
  <si>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</si>
  <si>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</si>
  <si>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</si>
  <si>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</si>
  <si>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</si>
  <si>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</si>
  <si>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</si>
  <si>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</si>
  <si>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</si>
  <si>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</si>
  <si>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</si>
  <si>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</si>
  <si>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</si>
  <si>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</si>
  <si>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</si>
  <si>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</si>
  <si>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</si>
  <si>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</si>
  <si>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</si>
  <si>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</si>
  <si>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</si>
  <si>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</si>
  <si>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</si>
  <si>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</si>
  <si>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</si>
  <si>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</si>
  <si>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</si>
  <si>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</si>
  <si>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</si>
  <si>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</si>
  <si>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</si>
  <si>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</si>
  <si>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</si>
  <si>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</si>
  <si>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</si>
  <si>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</si>
  <si>
    <t>Mbappe</t>
  </si>
  <si>
    <t>Rodri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</si>
</sst>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36" zoomScale="55" zoomScaleNormal="100" workbookViewId="0">
      <selection activeCell="AA157" sqref="AA15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ca="1" si="320"/>
        <v>Argentina</v>
      </c>
      <c r="AB126" s="87"/>
      <c r="AC126" s="50">
        <v>3</v>
      </c>
      <c r="AD126" s="51">
        <v>2</v>
      </c>
      <c r="AE126" s="87"/>
      <c r="AF126" s="89" t="str">
        <f t="shared" ca="1" si="321"/>
        <v>Egipto</v>
      </c>
      <c r="AG126" s="313">
        <f t="shared" ca="1" si="322"/>
        <v>1</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ca="1" si="317"/>
        <v>Suiza</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v>4</v>
      </c>
      <c r="AC127" s="50">
        <v>0</v>
      </c>
      <c r="AD127" s="51">
        <v>0</v>
      </c>
      <c r="AE127" s="91">
        <v>3</v>
      </c>
      <c r="AF127" s="92" t="str">
        <f t="shared" ca="1" si="321"/>
        <v>Colombia</v>
      </c>
      <c r="AG127" s="313">
        <f t="shared" ca="1" si="322"/>
        <v>1</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v>2</v>
      </c>
      <c r="AD131" s="51">
        <v>0</v>
      </c>
      <c r="AE131" s="88"/>
      <c r="AF131" s="108" t="str">
        <f ca="1">+INDEX($N$101:$N$147,MATCH(AH131,$J$101:$J$147,0))</f>
        <v>Marruecos</v>
      </c>
      <c r="AG131" s="313">
        <f ca="1">IF(D131="W"&amp;AH131,0,1)</f>
        <v>1</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37"/>
      <c r="X132" s="24">
        <f ca="1">Horarios!C132</f>
        <v>46213.875</v>
      </c>
      <c r="Y132" s="25">
        <f ca="1">Horarios!C132</f>
        <v>46213.875</v>
      </c>
      <c r="Z132" s="268">
        <f t="shared" si="324"/>
        <v>98</v>
      </c>
      <c r="AA132" s="86" t="str">
        <f t="shared" ca="1" si="325"/>
        <v>España</v>
      </c>
      <c r="AB132" s="87"/>
      <c r="AC132" s="50">
        <v>2</v>
      </c>
      <c r="AD132" s="51">
        <v>1</v>
      </c>
      <c r="AE132" s="87"/>
      <c r="AF132" s="108" t="str">
        <f ca="1">+INDEX($N$101:$N$147,MATCH(AH132,$J$101:$J$147,0))</f>
        <v>Bélgica</v>
      </c>
      <c r="AG132" s="313">
        <f ca="1">IF(D132="W"&amp;AH132,0,1)</f>
        <v>1</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ca="1" si="325"/>
        <v>Noruega</v>
      </c>
      <c r="AB133" s="87"/>
      <c r="AC133" s="50">
        <v>1</v>
      </c>
      <c r="AD133" s="51">
        <v>2</v>
      </c>
      <c r="AE133" s="87"/>
      <c r="AF133" s="108" t="str">
        <f ca="1">+INDEX($N$101:$N$147,MATCH(AH133,$J$101:$J$147,0))</f>
        <v>Inglaterra</v>
      </c>
      <c r="AG133" s="313">
        <f ca="1">IF(D133="W"&amp;AH133,0,1)</f>
        <v>1</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724</v>
      </c>
      <c r="M134" s="16" t="str">
        <f t="shared" ca="1" si="323"/>
        <v>Argentina</v>
      </c>
      <c r="N134" s="16" t="str">
        <f t="shared" ca="1" si="323"/>
        <v>Suiza</v>
      </c>
      <c r="O134" s="16"/>
      <c r="P134" s="16"/>
      <c r="Q134" s="16"/>
      <c r="R134" s="16"/>
      <c r="S134" s="16"/>
      <c r="T134" s="16"/>
      <c r="U134" s="16"/>
      <c r="V134" s="17"/>
      <c r="W134" s="638"/>
      <c r="X134" s="28">
        <f ca="1">Horarios!C134</f>
        <v>46215.125</v>
      </c>
      <c r="Y134" s="29">
        <f ca="1">Horarios!C134</f>
        <v>46215.125</v>
      </c>
      <c r="Z134" s="269">
        <f t="shared" si="324"/>
        <v>100</v>
      </c>
      <c r="AA134" s="90" t="str">
        <f t="shared" ca="1" si="325"/>
        <v>Argentina</v>
      </c>
      <c r="AB134" s="91"/>
      <c r="AC134" s="50">
        <v>3</v>
      </c>
      <c r="AD134" s="51">
        <v>1</v>
      </c>
      <c r="AE134" s="91"/>
      <c r="AF134" s="109" t="str">
        <f ca="1">+INDEX($N$101:$N$147,MATCH(AH134,$J$101:$J$147,0))</f>
        <v>Suiza</v>
      </c>
      <c r="AG134" s="313">
        <f ca="1">IF(D134="W"&amp;AH134,0,1)</f>
        <v>1</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725</v>
      </c>
      <c r="M138" s="16" t="str">
        <f ca="1">+INDEX($D$101:$D$147,MATCH(E138,$AH$101:$AH$147,0))</f>
        <v>Francia</v>
      </c>
      <c r="N138" s="16" t="str">
        <f ca="1">+INDEX($D$101:$D$147,MATCH(F138,$AH$101:$AH$147,0))</f>
        <v>España</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ca="1" si="327">+INDEX($M$101:$M$147,MATCH(AH138,$J$101:$J$147,0))</f>
        <v>Francia</v>
      </c>
      <c r="AB138" s="87"/>
      <c r="AC138" s="95">
        <v>0</v>
      </c>
      <c r="AD138" s="95">
        <v>2</v>
      </c>
      <c r="AE138" s="87"/>
      <c r="AF138" s="108" t="str">
        <f ca="1">+INDEX($N$101:$N$147,MATCH(AH138,$J$101:$J$147,0))</f>
        <v>España</v>
      </c>
      <c r="AG138" s="313">
        <f ca="1">IF(D138="W"&amp;AH138,0,1)</f>
        <v>1</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726</v>
      </c>
      <c r="M139" s="16" t="str">
        <f ca="1">+INDEX($D$101:$D$147,MATCH(E139,$AH$101:$AH$147,0))</f>
        <v>Inglaterra</v>
      </c>
      <c r="N139" s="16" t="str">
        <f ca="1">+INDEX($D$101:$D$147,MATCH(F139,$AH$101:$AH$147,0))</f>
        <v>Argentina</v>
      </c>
      <c r="O139" s="16"/>
      <c r="P139" s="16"/>
      <c r="Q139" s="16"/>
      <c r="R139" s="16"/>
      <c r="S139" s="16"/>
      <c r="T139" s="16"/>
      <c r="U139" s="16"/>
      <c r="V139" s="17"/>
      <c r="W139" s="640"/>
      <c r="X139" s="115">
        <f ca="1">Horarios!C139</f>
        <v>46218.875</v>
      </c>
      <c r="Y139" s="116">
        <f ca="1">Horarios!C139</f>
        <v>46218.875</v>
      </c>
      <c r="Z139" s="270">
        <f t="shared" si="326"/>
        <v>102</v>
      </c>
      <c r="AA139" s="131" t="str">
        <f t="shared" ca="1" si="327"/>
        <v>Inglaterra</v>
      </c>
      <c r="AB139" s="132"/>
      <c r="AC139" s="94">
        <v>1</v>
      </c>
      <c r="AD139" s="94">
        <v>2</v>
      </c>
      <c r="AE139" s="132"/>
      <c r="AF139" s="133" t="str">
        <f ca="1">+INDEX($N$101:$N$147,MATCH(AH139,$J$101:$J$147,0))</f>
        <v>Argentina</v>
      </c>
      <c r="AG139" s="313">
        <f ca="1">IF(D139="W"&amp;AH139,0,1)</f>
        <v>1</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 ca="1">IF(AND(OR(AC143="",AD143="")),"W"&amp;AH143,IF(AC143&gt;AD143,AA143,IF(AC143&lt;AD143,AF143,IF(AND(AC143=AD143,AB143=AE143),"W"&amp;AH143,IF(AND(AC143=AD143,OR(AB143="",AE143="")),"W"&amp;AH143,IF(AND(AC143=AD143,AB143&gt;AE143),AA143,AF143))))))</f>
        <v>Inglaterra</v>
      </c>
      <c r="E143" s="16">
        <v>101</v>
      </c>
      <c r="F143" s="16">
        <v>102</v>
      </c>
      <c r="G143" s="16"/>
      <c r="H143" s="16"/>
      <c r="I143" s="16"/>
      <c r="J143" s="16">
        <v>103</v>
      </c>
      <c r="K143" s="16">
        <v>46221.875</v>
      </c>
      <c r="L143" s="16" t="s">
        <v>727</v>
      </c>
      <c r="M143" s="16" t="str">
        <f ca="1">+INDEX($D$101:$D$147,MATCH(E143,$AH$101:$AH$147,0))</f>
        <v>España</v>
      </c>
      <c r="N143" s="16" t="str">
        <f ca="1">+INDEX($D$101:$D$147,MATCH(F143,$AH$101:$AH$147,0))</f>
        <v>Argentina</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 ca="1">IF(AND(OR(AC138="",AD138="")),"L101",IF(AC138&gt;AD138,AF138,IF(AC138&lt;AD138,AA138,IF(AND(AC138=AD138,AB138=AE138),"L101",IF(AND(AC138=AD138,OR(AB138="",AE138="")),"L101",IF(AND(AC138=AD138,AB138&gt;AE138),AF138,AA138))))))</f>
        <v>Francia</v>
      </c>
      <c r="AB143" s="208"/>
      <c r="AC143" s="99">
        <v>4</v>
      </c>
      <c r="AD143" s="99">
        <v>6</v>
      </c>
      <c r="AE143" s="208"/>
      <c r="AF143" s="100" t="str">
        <f ca="1">IF(AND(OR(AC139="",AD139="")),"L102",IF(AC139&gt;AD139,AF139,IF(AC139&lt;AD139,AA139,IF(AND(AC139=AD139,AB139=AE139),"L102",IF(AND(AC139=AD139,OR(AB139="",AE139="")),"L102",IF(AND(AC139=AD139,AB139&gt;AE139),AF139,AA139))))))</f>
        <v>Inglaterra</v>
      </c>
      <c r="AG143" s="313">
        <f ca="1">IF(D143="W"&amp;AH143,0,1)</f>
        <v>1</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 ca="1">IF(AND(OR(AC147="",AD147="")),"W"&amp;AH147,IF(AC147&gt;AD147,AA147,IF(AC147&lt;AD147,AF147,IF(AND(AC147=AD147,AB147=AE147),"W"&amp;AH147,IF(AND(AC147=AD147,OR(AB147="",AE147="")),"W"&amp;AH147,IF(AND(AC147=AD147,AB147&gt;AE147),AA147,AF147))))))</f>
        <v>España</v>
      </c>
      <c r="E147" s="16">
        <v>101</v>
      </c>
      <c r="F147" s="16">
        <v>102</v>
      </c>
      <c r="G147" s="16"/>
      <c r="H147" s="16" t="str">
        <f ca="1">IF(AND(OR(AC147="",AD147="")),"LF",IF(AC147&gt;AD147,AF147,IF(AC147&lt;AD147,AA147,IF(AND(AC147=AD147,AB147=AE147),"LF",IF(AND(AC147=AD147,OR(AB147="",AE147="")),"LF",IF(AND(AC147=AD147,AB147&gt;AE147),AF147,AA147))))))</f>
        <v>Argentina</v>
      </c>
      <c r="I147" s="16"/>
      <c r="J147" s="16">
        <v>104</v>
      </c>
      <c r="K147" s="16">
        <v>46222.875</v>
      </c>
      <c r="L147" s="16" t="s">
        <v>728</v>
      </c>
      <c r="M147" s="16" t="str">
        <f ca="1">+INDEX($D$101:$D$147,MATCH(E147,$AH$101:$AH$147,0))</f>
        <v>España</v>
      </c>
      <c r="N147" s="16" t="str">
        <f ca="1">+INDEX($D$101:$D$147,MATCH(F147,$AH$101:$AH$147,0))</f>
        <v>Argentina</v>
      </c>
      <c r="O147" s="16"/>
      <c r="P147" s="16"/>
      <c r="Q147" s="16"/>
      <c r="R147" s="16"/>
      <c r="S147" s="16"/>
      <c r="T147" s="16"/>
      <c r="U147" s="16"/>
      <c r="V147" s="17"/>
      <c r="W147" s="135" t="s">
        <v>4</v>
      </c>
      <c r="X147" s="115">
        <f ca="1">Horarios!C147</f>
        <v>46222.875</v>
      </c>
      <c r="Y147" s="116">
        <f ca="1">Horarios!C147</f>
        <v>46222.875</v>
      </c>
      <c r="Z147" s="271">
        <f>AH147</f>
        <v>104</v>
      </c>
      <c r="AA147" s="98" t="str">
        <f ca="1">IF(AND(OR(AC138="",AD138="")),"W"&amp;AH138,IF(AC138&gt;AD138,AA138,IF(AC138&lt;AD138,AF138,IF(AND(AC138=AD138,AB138=AE138),"W"&amp;AH138,IF(AND(AC138=AD138,OR(AB138="",AE138="")),"W"&amp;AH138,IF(AND(AC138=AD138,AB138&gt;AE138),AA138,AF138))))))</f>
        <v>España</v>
      </c>
      <c r="AB147" s="208"/>
      <c r="AC147" s="99">
        <v>1</v>
      </c>
      <c r="AD147" s="99">
        <v>0</v>
      </c>
      <c r="AE147" s="208"/>
      <c r="AF147" s="100" t="str">
        <f ca="1">IF(AND(OR(AC139="",AD139="")),"W"&amp;AH139,IF(AC139&gt;AD139,AA139,IF(AC139&lt;AD139,AF139,IF(AND(AC139=AD139,AB139=AE139),"W"&amp;AH139,IF(AND(AC139=AD139,OR(AB139="",AE139="")),"W"&amp;AH139,IF(AND(AC139=AD139,AB139&gt;AE139),AA139,AF139))))))</f>
        <v>Argentina</v>
      </c>
      <c r="AG147" s="313">
        <f ca="1">IF(D147="W"&amp;AH147,0,1)</f>
        <v>1</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 ca="1">IF(AND(OR(AC147="",AD147="")),"WF",IF(AC147&gt;AD147,AA147,IF(AC147&lt;AD147,AF147,IF(AND(AC147=AD147,AB147=AE147),"WF",IF(AND(AC147=AD147,OR(AB147="",AE147="")),"WF",IF(AND(AC147=AD147,AB147&gt;AE147),AA147,AF147))))))</f>
        <v>España</v>
      </c>
      <c r="AB150" s="124"/>
      <c r="AC150" s="124"/>
      <c r="AD150" s="124"/>
      <c r="AE150" s="124"/>
      <c r="AF150" s="125"/>
      <c r="AG150" s="313">
        <f ca="1">IF(AA150="WF",0,1)</f>
        <v>1</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 ca="1">IF(AND(OR(AC147="",AD147="")),"LF",IF(AC147&gt;AD147,AF147,IF(AC147&lt;AD147,AA147,IF(AND(AC147=AD147,AB147=AE147),"LF",IF(AND(AC147=AD147,OR(AB147="",AE147="")),"LF",IF(AND(AC147=AD147,AB147&gt;AE147),AF147,AA147))))))</f>
        <v>Argentina</v>
      </c>
      <c r="AB151" s="105"/>
      <c r="AC151" s="105"/>
      <c r="AD151" s="105"/>
      <c r="AE151" s="105"/>
      <c r="AF151" s="101"/>
      <c r="AG151" s="313">
        <f ca="1">IF(AA151="LF",0,1)</f>
        <v>1</v>
      </c>
      <c r="AH151" s="176"/>
      <c r="AI151" s="176"/>
      <c r="AJ151" s="648" t="str">
        <f ca="1">IF(SUM(COUNTIF(AG4:AG97,0),COUNTIF(AG101:AG156,0)&gt;0),AL148,AL149)</f>
        <v>PORRA 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 ca="1">IF(AND(OR(AC143="",AD143="")),"W34",IF(AC143&gt;AD143,AA143,IF(AC143&lt;AD143,AF143,IF(AND(AC143=AD143,AB143=AE143),"W34",IF(AND(AC143=AD143,OR(AB143="",AE143="")),"W34",IF(AND(AC143=AD143,AB143&gt;AE143),AA143,AF143))))))</f>
        <v>Inglaterra</v>
      </c>
      <c r="AB152" s="104"/>
      <c r="AC152" s="104"/>
      <c r="AD152" s="104"/>
      <c r="AE152" s="104"/>
      <c r="AF152" s="97"/>
      <c r="AG152" s="313">
        <f ca="1">IF(AA152="W34",0,1)</f>
        <v>1</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t="s">
        <v>1534</v>
      </c>
      <c r="AB154" s="140"/>
      <c r="AC154" s="137"/>
      <c r="AD154" s="173"/>
      <c r="AE154" s="145"/>
      <c r="AF154" s="175"/>
      <c r="AG154" s="313">
        <f>IF(AA154=$AH$154,0,IF(AA154="",0,1))</f>
        <v>1</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Guarda el archivo y envialo al administrador de tu porra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t="s">
        <v>1535</v>
      </c>
      <c r="AB156" s="173"/>
      <c r="AC156" s="173"/>
      <c r="AD156" s="173"/>
      <c r="AE156" s="173"/>
      <c r="AF156" s="173"/>
      <c r="AG156" s="313">
        <f>IF(AA156=$AH$154,0,IF(AA156="",0,1))</f>
        <v>1</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8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3</v>
      </c>
      <c r="E96" s="7">
        <f>WORLDCUP!AD126</f>
        <v>2</v>
      </c>
      <c r="H96" s="7">
        <f>IF(AND(NOT(ISBLANK(WORLDCUP!AC126)),NOT(ISBLANK(WORLDCUP!AD126))),1,0)</f>
        <v>1</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1</v>
      </c>
      <c r="J97" s="613">
        <f ca="1">WORLDCUP!X127</f>
        <v>46210.916666666664</v>
      </c>
      <c r="K97" s="614">
        <f ca="1">WORLDCUP!Y127</f>
        <v>46210.916666666664</v>
      </c>
    </row>
    <row r="98" spans="1:11">
      <c r="A98" s="7">
        <v>97</v>
      </c>
      <c r="B98" s="611" t="str">
        <f ca="1">WORLDCUP!AA131</f>
        <v>Francia</v>
      </c>
      <c r="C98" t="str">
        <f ca="1">WORLDCUP!AF131</f>
        <v>Marruecos</v>
      </c>
      <c r="D98" s="7">
        <f>WORLDCUP!AC131</f>
        <v>2</v>
      </c>
      <c r="E98" s="7">
        <f>WORLDCUP!AD131</f>
        <v>0</v>
      </c>
      <c r="H98" s="7">
        <f>IF(AND(NOT(ISBLANK(WORLDCUP!AC131)),NOT(ISBLANK(WORLDCUP!AD131))),1,0)</f>
        <v>1</v>
      </c>
      <c r="J98" s="613">
        <f ca="1">WORLDCUP!X131</f>
        <v>46212.916666666664</v>
      </c>
      <c r="K98" s="614">
        <f ca="1">WORLDCUP!Y131</f>
        <v>46212.916666666664</v>
      </c>
    </row>
    <row r="99" spans="1:11">
      <c r="A99" s="7">
        <v>98</v>
      </c>
      <c r="B99" s="611" t="str">
        <f ca="1">WORLDCUP!AA132</f>
        <v>España</v>
      </c>
      <c r="C99" t="str">
        <f ca="1">WORLDCUP!AF132</f>
        <v>Bélgica</v>
      </c>
      <c r="D99" s="7">
        <f>WORLDCUP!AC132</f>
        <v>2</v>
      </c>
      <c r="E99" s="7">
        <f>WORLDCUP!AD132</f>
        <v>1</v>
      </c>
      <c r="H99" s="7">
        <f>IF(AND(NOT(ISBLANK(WORLDCUP!AC132)),NOT(ISBLANK(WORLDCUP!AD132))),1,0)</f>
        <v>1</v>
      </c>
      <c r="J99" s="613">
        <f ca="1">WORLDCUP!X132</f>
        <v>46213.875</v>
      </c>
      <c r="K99" s="614">
        <f ca="1">WORLDCUP!Y132</f>
        <v>46213.875</v>
      </c>
    </row>
    <row r="100" spans="1:11">
      <c r="A100" s="7">
        <v>99</v>
      </c>
      <c r="B100" s="611" t="str">
        <f ca="1">WORLDCUP!AA133</f>
        <v>Noruega</v>
      </c>
      <c r="C100" t="str">
        <f ca="1">WORLDCUP!AF133</f>
        <v>Inglaterra</v>
      </c>
      <c r="D100" s="7">
        <f>WORLDCUP!AC133</f>
        <v>1</v>
      </c>
      <c r="E100" s="7">
        <f>WORLDCUP!AD133</f>
        <v>2</v>
      </c>
      <c r="H100" s="7">
        <f>IF(AND(NOT(ISBLANK(WORLDCUP!AC133)),NOT(ISBLANK(WORLDCUP!AD133))),1,0)</f>
        <v>1</v>
      </c>
      <c r="J100" s="613">
        <f ca="1">WORLDCUP!X133</f>
        <v>46214.958333333336</v>
      </c>
      <c r="K100" s="614">
        <f ca="1">WORLDCUP!Y133</f>
        <v>46214.958333333336</v>
      </c>
    </row>
    <row r="101" spans="1:11">
      <c r="A101" s="7">
        <v>100</v>
      </c>
      <c r="B101" s="611" t="str">
        <f ca="1">WORLDCUP!AA134</f>
        <v>Argentina</v>
      </c>
      <c r="C101" t="str">
        <f ca="1">WORLDCUP!AF134</f>
        <v>Suiza</v>
      </c>
      <c r="D101" s="7">
        <f>WORLDCUP!AC134</f>
        <v>3</v>
      </c>
      <c r="E101" s="7">
        <f>WORLDCUP!AD134</f>
        <v>1</v>
      </c>
      <c r="H101" s="7">
        <f>IF(AND(NOT(ISBLANK(WORLDCUP!AC134)),NOT(ISBLANK(WORLDCUP!AD134))),1,0)</f>
        <v>1</v>
      </c>
      <c r="J101" s="613">
        <f ca="1">WORLDCUP!X134</f>
        <v>46215.125</v>
      </c>
      <c r="K101" s="614">
        <f ca="1">WORLDCUP!Y134</f>
        <v>46215.125</v>
      </c>
    </row>
    <row r="102" spans="1:11">
      <c r="A102" s="7">
        <v>101</v>
      </c>
      <c r="B102" s="611" t="str">
        <f ca="1">WORLDCUP!AA138</f>
        <v>Francia</v>
      </c>
      <c r="C102" t="str">
        <f ca="1">WORLDCUP!AF138</f>
        <v>España</v>
      </c>
      <c r="D102" s="7">
        <f>WORLDCUP!AC138</f>
        <v>0</v>
      </c>
      <c r="E102" s="7">
        <f>WORLDCUP!AD138</f>
        <v>2</v>
      </c>
      <c r="H102" s="7">
        <f>IF(AND(NOT(ISBLANK(WORLDCUP!AC138)),NOT(ISBLANK(WORLDCUP!AD138))),1,0)</f>
        <v>1</v>
      </c>
      <c r="J102" s="613">
        <f ca="1">WORLDCUP!X138</f>
        <v>46217.875</v>
      </c>
      <c r="K102" s="614">
        <f ca="1">WORLDCUP!Y138</f>
        <v>46217.875</v>
      </c>
    </row>
    <row r="103" spans="1:11">
      <c r="A103" s="7">
        <v>102</v>
      </c>
      <c r="B103" s="611" t="str">
        <f ca="1">WORLDCUP!AA139</f>
        <v>Inglaterra</v>
      </c>
      <c r="C103" t="str">
        <f ca="1">WORLDCUP!AF139</f>
        <v>Argentina</v>
      </c>
      <c r="D103" s="7">
        <f>WORLDCUP!AC139</f>
        <v>1</v>
      </c>
      <c r="E103" s="7">
        <f>WORLDCUP!AD139</f>
        <v>2</v>
      </c>
      <c r="H103" s="7">
        <f>IF(AND(NOT(ISBLANK(WORLDCUP!AC139)),NOT(ISBLANK(WORLDCUP!AD139))),1,0)</f>
        <v>1</v>
      </c>
      <c r="J103" s="613">
        <f ca="1">WORLDCUP!X139</f>
        <v>46218.875</v>
      </c>
      <c r="K103" s="614">
        <f ca="1">WORLDCUP!Y139</f>
        <v>46218.875</v>
      </c>
    </row>
    <row r="104" spans="1:11">
      <c r="A104" s="7">
        <v>103</v>
      </c>
      <c r="B104" s="611" t="str">
        <f ca="1">WORLDCUP!AA143</f>
        <v>Francia</v>
      </c>
      <c r="C104" t="str">
        <f ca="1">WORLDCUP!AF143</f>
        <v>Inglaterra</v>
      </c>
      <c r="D104" s="7">
        <f>WORLDCUP!AC143</f>
        <v>4</v>
      </c>
      <c r="E104" s="7">
        <f>WORLDCUP!AD143</f>
        <v>6</v>
      </c>
      <c r="H104" s="7">
        <f>IF(AND(NOT(ISBLANK(WORLDCUP!AC143)),NOT(ISBLANK(WORLDCUP!AD143))),1,0)</f>
        <v>1</v>
      </c>
      <c r="J104" s="613">
        <f ca="1">WORLDCUP!X143</f>
        <v>46221.958333333336</v>
      </c>
      <c r="K104" s="614">
        <f ca="1">WORLDCUP!Y143</f>
        <v>46221.958333333336</v>
      </c>
    </row>
    <row r="105" spans="1:11">
      <c r="A105" s="7">
        <v>104</v>
      </c>
      <c r="B105" s="611" t="str">
        <f ca="1">WORLDCUP!AA147</f>
        <v>España</v>
      </c>
      <c r="C105" t="str">
        <f ca="1">WORLDCUP!AF147</f>
        <v>Argentina</v>
      </c>
      <c r="D105" s="7">
        <f>WORLDCUP!AC147</f>
        <v>1</v>
      </c>
      <c r="E105" s="7">
        <f>WORLDCUP!AD147</f>
        <v>0</v>
      </c>
      <c r="H105" s="7">
        <f>IF(AND(NOT(ISBLANK(WORLDCUP!AC147)),NOT(ISBLANK(WORLDCUP!AD147))),1,0)</f>
        <v>1</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t="str">
        <f>WORLDCUP!AA154</f>
        <v>Mbappe</v>
      </c>
      <c r="H109" s="7">
        <f>IF(AND(NOT(ISBLANK(WORLDCUP!AA154)),NOT(ISBLANK(WORLDCUP!AA154))),1,0)</f>
        <v>1</v>
      </c>
      <c r="J109" s="613"/>
    </row>
    <row r="110" spans="1:11">
      <c r="A110" s="7">
        <v>999</v>
      </c>
      <c r="F110" t="s">
        <v>1519</v>
      </c>
      <c r="G110" t="str">
        <f>WORLDCUP!AA156</f>
        <v>Rodri</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 ca="1">WORLDCUP!AA126</f>
        <v>Argentina</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 ca="1">WORLDCUP!AF127</f>
        <v>Colombia</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74"/>
      <c r="E205" s="338"/>
      <c r="F205" s="338"/>
      <c r="G205" s="338"/>
      <c r="H205" s="338"/>
      <c r="I205" s="338"/>
      <c r="J205" s="356"/>
      <c r="K205" s="356"/>
      <c r="L205" s="356"/>
      <c r="M205" s="372"/>
      <c r="N205" s="363"/>
    </row>
    <row r="206" spans="1:14" ht="15" customHeight="1">
      <c r="A206" s="673"/>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Argentina-Egipto·1|3-2</v>
      </c>
      <c r="D206" s="674"/>
      <c r="E206" s="338"/>
      <c r="F206" s="338"/>
      <c r="G206" s="338"/>
      <c r="H206" s="338"/>
      <c r="I206" s="338"/>
      <c r="J206" s="356"/>
      <c r="K206" s="356"/>
      <c r="L206" s="356"/>
      <c r="M206" s="372"/>
      <c r="N206" s="363"/>
    </row>
    <row r="207" spans="1:14" ht="15" customHeight="1">
      <c r="A207" s="673"/>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Suiza-Colombia·X|0-0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 ca="1">WORLDCUP!AA131</f>
        <v>Francia</v>
      </c>
      <c r="D210" s="674"/>
      <c r="E210" s="356"/>
      <c r="F210" s="356"/>
      <c r="G210" s="356"/>
      <c r="H210" s="356"/>
      <c r="I210" s="338"/>
      <c r="J210" s="356"/>
      <c r="K210" s="356"/>
      <c r="L210" s="356"/>
      <c r="M210" s="372"/>
      <c r="N210" s="363"/>
    </row>
    <row r="211" spans="1:14" ht="15" customHeight="1">
      <c r="A211" s="673"/>
      <c r="B211" s="346" t="str">
        <f>B210</f>
        <v>Cuartofinalista</v>
      </c>
      <c r="C211" s="335" t="str">
        <f ca="1">WORLDCUP!AA132</f>
        <v>España</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 ca="1">WORLDCUP!AA133</f>
        <v>Noruega</v>
      </c>
      <c r="D212" s="674"/>
      <c r="E212" s="356"/>
      <c r="F212" s="356"/>
      <c r="G212" s="356"/>
      <c r="H212" s="356"/>
      <c r="I212" s="338"/>
      <c r="J212" s="356"/>
      <c r="K212" s="356"/>
      <c r="L212" s="356"/>
      <c r="M212" s="372"/>
      <c r="N212" s="363"/>
    </row>
    <row r="213" spans="1:14" ht="15" customHeight="1">
      <c r="A213" s="673"/>
      <c r="B213" s="346" t="str">
        <f t="shared" si="3"/>
        <v>Cuartofinalista</v>
      </c>
      <c r="C213" s="335" t="str">
        <f ca="1">WORLDCUP!AA134</f>
        <v>Argentina</v>
      </c>
      <c r="D213" s="674"/>
      <c r="E213" s="356"/>
      <c r="F213" s="356"/>
      <c r="G213" s="356"/>
      <c r="H213" s="356"/>
      <c r="I213" s="338"/>
      <c r="J213" s="356"/>
      <c r="K213" s="356"/>
      <c r="L213" s="356"/>
      <c r="M213" s="372"/>
      <c r="N213" s="363"/>
    </row>
    <row r="214" spans="1:14" ht="15" customHeight="1">
      <c r="A214" s="673"/>
      <c r="B214" s="346" t="str">
        <f t="shared" si="3"/>
        <v>Cuartofinalista</v>
      </c>
      <c r="C214" s="335" t="str">
        <f ca="1">WORLDCUP!AF131</f>
        <v>Marruecos</v>
      </c>
      <c r="D214" s="674"/>
      <c r="E214" s="356"/>
      <c r="F214" s="356"/>
      <c r="G214" s="356"/>
      <c r="H214" s="356"/>
      <c r="I214" s="338"/>
      <c r="J214" s="356"/>
      <c r="K214" s="356"/>
      <c r="L214" s="356"/>
      <c r="M214" s="372"/>
      <c r="N214" s="363"/>
    </row>
    <row r="215" spans="1:14" ht="15" customHeight="1">
      <c r="A215" s="673"/>
      <c r="B215" s="346" t="str">
        <f t="shared" si="3"/>
        <v>Cuartofinalista</v>
      </c>
      <c r="C215" s="335" t="str">
        <f ca="1">WORLDCUP!AF132</f>
        <v>Bélgica</v>
      </c>
      <c r="D215" s="674"/>
      <c r="E215" s="356"/>
      <c r="F215" s="356"/>
      <c r="G215" s="356"/>
      <c r="H215" s="356"/>
      <c r="I215" s="338"/>
      <c r="J215" s="356"/>
      <c r="K215" s="356"/>
      <c r="L215" s="356"/>
      <c r="M215" s="372"/>
      <c r="N215" s="363"/>
    </row>
    <row r="216" spans="1:14" ht="15" customHeight="1">
      <c r="A216" s="673"/>
      <c r="B216" s="346" t="str">
        <f t="shared" si="3"/>
        <v>Cuartofinalista</v>
      </c>
      <c r="C216" s="335" t="str">
        <f ca="1">WORLDCUP!AF133</f>
        <v>Inglaterra</v>
      </c>
      <c r="D216" s="674"/>
      <c r="E216" s="356"/>
      <c r="F216" s="356"/>
      <c r="G216" s="356"/>
      <c r="H216" s="356"/>
      <c r="I216" s="338"/>
      <c r="J216" s="356"/>
      <c r="K216" s="356"/>
      <c r="L216" s="356"/>
      <c r="M216" s="372"/>
      <c r="N216" s="363"/>
    </row>
    <row r="217" spans="1:14" ht="15" customHeight="1">
      <c r="A217" s="673"/>
      <c r="B217" s="346" t="str">
        <f t="shared" si="3"/>
        <v>Cuartofinalista</v>
      </c>
      <c r="C217" s="335" t="str">
        <f ca="1">WORLDCUP!AF134</f>
        <v>Suiza</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Francia-Marruecos·1|2-0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España-Bélgica·1|2-1</v>
      </c>
      <c r="D221" s="675"/>
      <c r="E221" s="669"/>
      <c r="F221" s="669"/>
      <c r="G221" s="669"/>
      <c r="H221" s="669"/>
      <c r="I221" s="338"/>
      <c r="J221" s="356"/>
      <c r="K221" s="356"/>
      <c r="L221" s="356"/>
      <c r="M221" s="372"/>
      <c r="N221" s="363"/>
    </row>
    <row r="222" spans="1:14" ht="15" customHeight="1">
      <c r="A222" s="673"/>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Noruega-Inglaterra·2|1-2</v>
      </c>
      <c r="D222" s="675"/>
      <c r="E222" s="669"/>
      <c r="F222" s="669"/>
      <c r="G222" s="669"/>
      <c r="H222" s="669"/>
      <c r="I222" s="338"/>
      <c r="J222" s="356"/>
      <c r="K222" s="356"/>
      <c r="L222" s="356"/>
      <c r="M222" s="372"/>
      <c r="N222" s="363"/>
    </row>
    <row r="223" spans="1:14" ht="15" customHeight="1">
      <c r="A223" s="673"/>
      <c r="B223" s="346" t="str">
        <f ca="1">CONCATENATE(WORLDCUP!AA134,"-",WORLDCUP!AF134)</f>
        <v>Argentina-Suiza</v>
      </c>
      <c r="C223" s="335" t="str">
        <f ca="1">CONCATENATE(WORLDCUP!AA134,"-",WORLDCUP!AF134,"·",IF(WORLDCUP!AC134&gt;WORLDCUP!AD134,1,IF(WORLDCUP!AC134&lt;WORLDCUP!AD134,2,IF(AND(WORLDCUP!AC134=WORLDCUP!AD134,WORLDCUP!AC134&lt;&gt;"",WORLDCUP!AD134&lt;&gt;""),"X",0))),"|",WORLDCUP!AC134,"-",WORLDCUP!AD134)</f>
        <v>Argentina-Suiza·1|3-1</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 ca="1">WORLDCUP!AA138</f>
        <v>Francia</v>
      </c>
      <c r="D226" s="675"/>
      <c r="E226" s="356"/>
      <c r="F226" s="356"/>
      <c r="G226" s="356"/>
      <c r="H226" s="356"/>
      <c r="I226" s="338"/>
      <c r="J226" s="356"/>
      <c r="K226" s="356"/>
      <c r="L226" s="356"/>
      <c r="M226" s="372"/>
      <c r="N226" s="363"/>
    </row>
    <row r="227" spans="1:14" ht="15" customHeight="1">
      <c r="A227" s="673"/>
      <c r="B227" s="346" t="str">
        <f>Idiomas!$D$191</f>
        <v>Semifinalista</v>
      </c>
      <c r="C227" s="335" t="str">
        <f ca="1">WORLDCUP!AA139</f>
        <v>Inglaterra</v>
      </c>
      <c r="D227" s="675"/>
      <c r="E227" s="356"/>
      <c r="F227" s="356"/>
      <c r="G227" s="356"/>
      <c r="H227" s="356"/>
      <c r="I227" s="338"/>
      <c r="J227" s="356"/>
      <c r="K227" s="356"/>
      <c r="L227" s="356"/>
      <c r="M227" s="372"/>
      <c r="N227" s="363"/>
    </row>
    <row r="228" spans="1:14" ht="15" customHeight="1">
      <c r="A228" s="673"/>
      <c r="B228" s="346" t="str">
        <f>Idiomas!$D$191</f>
        <v>Semifinalista</v>
      </c>
      <c r="C228" s="335" t="str">
        <f ca="1">WORLDCUP!AF138</f>
        <v>España</v>
      </c>
      <c r="D228" s="675"/>
      <c r="E228" s="356"/>
      <c r="F228" s="356"/>
      <c r="G228" s="356"/>
      <c r="H228" s="356"/>
      <c r="I228" s="338"/>
      <c r="J228" s="356"/>
      <c r="K228" s="356"/>
      <c r="L228" s="356"/>
      <c r="M228" s="372"/>
      <c r="N228" s="363"/>
    </row>
    <row r="229" spans="1:14" ht="15" customHeight="1">
      <c r="A229" s="673"/>
      <c r="B229" s="346" t="str">
        <f>Idiomas!$D$191</f>
        <v>Semifinalista</v>
      </c>
      <c r="C229" s="335" t="str">
        <f ca="1">WORLDCUP!AF139</f>
        <v>Argentina</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 ca="1">CONCATENATE(WORLDCUP!AA138,"-",WORLDCUP!AF138)</f>
        <v>Francia-España</v>
      </c>
      <c r="C232" s="337" t="str">
        <f ca="1">CONCATENATE(WORLDCUP!AA138,"-",WORLDCUP!AF138,"·",IF(WORLDCUP!AC138&gt;WORLDCUP!AD138,1,IF(WORLDCUP!AC138&lt;WORLDCUP!AD138,2,IF(AND(WORLDCUP!AC138=WORLDCUP!AD138,WORLDCUP!AC138&lt;&gt;"",WORLDCUP!AD138&lt;&gt;""),"X",0))),"|",WORLDCUP!AC138,"-",WORLDCUP!AD138)</f>
        <v>Francia-España·2|0-2</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 ca="1">CONCATENATE(WORLDCUP!AA139,"-",WORLDCUP!AF139)</f>
        <v>Inglaterra-Argentina</v>
      </c>
      <c r="C233" s="337" t="str">
        <f ca="1">CONCATENATE(WORLDCUP!AA139,"-",WORLDCUP!AF139,"·",IF(WORLDCUP!AC139&gt;WORLDCUP!AD139,1,IF(WORLDCUP!AC139&lt;WORLDCUP!AD139,2,IF(AND(WORLDCUP!AC139=WORLDCUP!AD139,WORLDCUP!AC139&lt;&gt;"",WORLDCUP!AD139&lt;&gt;""),"X",0))),"|",WORLDCUP!AC139,"-",WORLDCUP!AD139)</f>
        <v>Inglaterra-Argentina·2|1-2</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 ca="1">WORLDCUP!AA143</f>
        <v>Francia</v>
      </c>
      <c r="D236" s="674"/>
      <c r="E236" s="360"/>
      <c r="F236" s="360"/>
      <c r="G236" s="360"/>
      <c r="H236" s="360"/>
      <c r="I236" s="338"/>
      <c r="J236" s="356"/>
      <c r="K236" s="356"/>
      <c r="L236" s="356"/>
      <c r="M236" s="372"/>
      <c r="N236" s="363"/>
    </row>
    <row r="237" spans="1:14" ht="15" customHeight="1">
      <c r="A237" s="671"/>
      <c r="B237" s="346" t="str">
        <f>Idiomas!D192</f>
        <v>3º y 4º puesto</v>
      </c>
      <c r="C237" s="335" t="str">
        <f ca="1">WORLDCUP!AF143</f>
        <v>Inglaterra</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 ca="1">WORLDCUP!AA147</f>
        <v>España</v>
      </c>
      <c r="D240" s="674"/>
      <c r="E240" s="356"/>
      <c r="F240" s="356"/>
      <c r="G240" s="356"/>
      <c r="H240" s="356"/>
      <c r="I240" s="338"/>
      <c r="J240" s="356"/>
      <c r="K240" s="356"/>
      <c r="L240" s="356"/>
      <c r="M240" s="372"/>
      <c r="N240" s="363"/>
    </row>
    <row r="241" spans="1:14" ht="15" customHeight="1">
      <c r="A241" s="671"/>
      <c r="B241" s="346" t="str">
        <f>B240</f>
        <v>Finalista</v>
      </c>
      <c r="C241" s="335" t="str">
        <f ca="1">WORLDCUP!AF147</f>
        <v>Argentina</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 ca="1">CONCATENATE(WORLDCUP!AA143,"-",WORLDCUP!AF143)</f>
        <v>Francia-Inglaterra</v>
      </c>
      <c r="C244" s="335" t="str">
        <f ca="1">CONCATENATE(WORLDCUP!AA143,"-",WORLDCUP!AF143,"·",IF(WORLDCUP!AC143&gt;WORLDCUP!AD143,1,IF(WORLDCUP!AC143&lt;WORLDCUP!AD143,2,IF(AND(WORLDCUP!AC143=WORLDCUP!AD143,WORLDCUP!AC143&lt;&gt;"",WORLDCUP!AD143&lt;&gt;""),"X",0))),"|",WORLDCUP!AC143,"-",WORLDCUP!AD143)</f>
        <v>Francia-Inglaterra·2|4-6</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 ca="1">CONCATENATE(WORLDCUP!AA147,"-",WORLDCUP!AF147)</f>
        <v>España-Argentina</v>
      </c>
      <c r="C247" s="337" t="str">
        <f ca="1">CONCATENATE(WORLDCUP!AA147,"-",WORLDCUP!AF147,"·",IF(WORLDCUP!AC147&gt;WORLDCUP!AD147,1,IF(WORLDCUP!AC147&lt;WORLDCUP!AD147,2,IF(AND(WORLDCUP!AC147=WORLDCUP!AD147,WORLDCUP!AC147&lt;&gt;"",WORLDCUP!AD147&lt;&gt;""),"X",0))),"|",WORLDCUP!AC147,"-",WORLDCUP!AD147)</f>
        <v>España-Argentina·1|1-0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 ca="1">WORLDCUP!AA150</f>
        <v>España</v>
      </c>
      <c r="D250" s="672"/>
      <c r="E250" s="360"/>
      <c r="F250" s="360"/>
      <c r="G250" s="360"/>
      <c r="H250" s="360"/>
      <c r="I250" s="367"/>
      <c r="J250" s="356"/>
      <c r="K250" s="356"/>
      <c r="L250" s="356"/>
      <c r="M250" s="372"/>
      <c r="N250" s="363"/>
    </row>
    <row r="251" spans="1:14" ht="15" customHeight="1">
      <c r="A251" s="350"/>
      <c r="B251" s="346" t="str">
        <f>WORLDCUP!W151</f>
        <v>🥈Subcampeón</v>
      </c>
      <c r="C251" s="335" t="str">
        <f ca="1">WORLDCUP!AA151</f>
        <v>Argentina</v>
      </c>
      <c r="D251" s="672"/>
      <c r="E251" s="360"/>
      <c r="F251" s="360"/>
      <c r="G251" s="360"/>
      <c r="H251" s="360"/>
      <c r="I251" s="376"/>
      <c r="J251" s="369"/>
      <c r="K251" s="358"/>
      <c r="L251" s="358"/>
      <c r="M251" s="372"/>
      <c r="N251" s="363"/>
    </row>
    <row r="252" spans="1:14" ht="15" customHeight="1">
      <c r="A252" s="350"/>
      <c r="B252" s="346" t="str">
        <f>WORLDCUP!W152</f>
        <v>🥉3º puesto</v>
      </c>
      <c r="C252" s="335" t="str">
        <f ca="1">WORLDCUP!AA152</f>
        <v>Inglaterra</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t="str">
        <f>WORLDCUP!AA154</f>
        <v>Mbappe</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t="str">
        <f>WORLDCUP!AA156</f>
        <v>Rodri</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f>+IF(ISBLANK(INDEX(WORLDCUP!$AC$101:$AC$147,MATCH(AH7,WORLDCUP!$Z$101:$Z$147,0))),"",INDEX(WORLDCUP!$AC$101:$AC$147,MATCH(AH7,WORLDCUP!$Z$101:$Z$147,0)))</f>
        <v>2</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1</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f>+IF(ISBLANK(INDEX(WORLDCUP!$AD$101:$AD$147,MATCH(AH8,WORLDCUP!$Z$101:$Z$147,0))),"",INDEX(WORLDCUP!$AD$101:$AD$147,MATCH(AH8,WORLDCUP!$Z$101:$Z$147,0)))</f>
        <v>0</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 ca="1">+MID(INDEX(WORLDCUP!$AA$101:$AA$147,MATCH(AL13,WORLDCUP!$Z$101:$Z$147,0)),1,3)</f>
        <v>Fra</v>
      </c>
      <c r="AN13" s="488">
        <f>+IF(ISBLANK(INDEX(WORLDCUP!$AC$101:$AC$147,MATCH(AL13,WORLDCUP!$Z$101:$Z$147,0))),"",INDEX(WORLDCUP!$AC$101:$AC$147,MATCH(AL13,WORLDCUP!$Z$101:$Z$147,0)))</f>
        <v>0</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 ca="1">+MID(INDEX(WORLDCUP!$AF$101:$AF$147,MATCH(AL14,WORLDCUP!$Z$101:$Z$147,0)),1,3)</f>
        <v>Esp</v>
      </c>
      <c r="AN14" s="488">
        <f>+IF(ISBLANK(INDEX(WORLDCUP!$AD$101:$AD$147,MATCH(AL14,WORLDCUP!$Z$101:$Z$147,0))),"",INDEX(WORLDCUP!$AD$101:$AD$147,MATCH(AL14,WORLDCUP!$Z$101:$Z$147,0)))</f>
        <v>2</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f>+IF(ISBLANK(INDEX(WORLDCUP!$AC$101:$AC$147,MATCH(AH19,WORLDCUP!$Z$101:$Z$147,0))),"",INDEX(WORLDCUP!$AC$101:$AC$147,MATCH(AH19,WORLDCUP!$Z$101:$Z$147,0)))</f>
        <v>2</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f>+IF(ISBLANK(INDEX(WORLDCUP!$AD$101:$AD$147,MATCH(AH20,WORLDCUP!$Z$101:$Z$147,0))),"",INDEX(WORLDCUP!$AD$101:$AD$147,MATCH(AH20,WORLDCUP!$Z$101:$Z$147,0)))</f>
        <v>1</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 ca="1">WORLDCUP!AA150</f>
        <v>España</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 ca="1">+WORLDCUP!AA151</f>
        <v>Argentina</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1</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 ca="1">+MID(INDEX(WORLDCUP!$AA$101:$AA$147,MATCH(AT25,WORLDCUP!$Z$101:$Z$147,0)),1,4)</f>
        <v>Espa</v>
      </c>
      <c r="AV25" s="517">
        <f>+IF(ISBLANK(INDEX(WORLDCUP!$AC$101:$AC$147,MATCH(AT25,WORLDCUP!$Z$101:$Z$147,0))),"",INDEX(WORLDCUP!$AC$101:$AC$147,MATCH(AT25,WORLDCUP!$Z$101:$Z$147,0)))</f>
        <v>1</v>
      </c>
      <c r="AW25" s="518" t="str">
        <f>+IF(ISBLANK(INDEX(WORLDCUP!$AB$101:$AB$147,MATCH(AT25,WORLDCUP!$Z$101:$Z$147,0))),"","( "&amp;INDEX(WORLDCUP!$AB$101:$AB$147,MATCH(AT25,WORLDCUP!$Z$101:$Z$147,0))&amp;" )")</f>
        <v/>
      </c>
      <c r="AX25" s="519"/>
      <c r="AY25" s="506"/>
      <c r="AZ25" s="507" t="str">
        <f ca="1">+WORLDCUP!AA152</f>
        <v>Inglaterra</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 ca="1">+MID(INDEX(WORLDCUP!$AF$101:$AF$147,MATCH(AT26,WORLDCUP!$Z$101:$Z$147,0)),1,4)</f>
        <v>Arge</v>
      </c>
      <c r="AV26" s="517">
        <f>+IF(ISBLANK(INDEX(WORLDCUP!$AD$101:$AD$147,MATCH(AT26,WORLDCUP!$Z$101:$Z$147,0))),"",INDEX(WORLDCUP!$AD$101:$AD$147,MATCH(AT26,WORLDCUP!$Z$101:$Z$147,0)))</f>
        <v>0</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1</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1</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f>+IF(ISBLANK(INDEX(WORLDCUP!$AC$101:$AC$147,MATCH(AH31,WORLDCUP!$Z$101:$Z$147,0))),"",INDEX(WORLDCUP!$AC$101:$AC$147,MATCH(AH31,WORLDCUP!$Z$101:$Z$147,0)))</f>
        <v>1</v>
      </c>
      <c r="AK31" s="464" t="str">
        <f>+IF(ISBLANK(INDEX(WORLDCUP!$AB$101:$AB$147,MATCH(AH31,WORLDCUP!$Z$101:$Z$147,0))),"","( "&amp;INDEX(WORLDCUP!$AB$101:$AB$147,MATCH(AH31,WORLDCUP!$Z$101:$Z$147,0))&amp;" )")</f>
        <v/>
      </c>
      <c r="AL31" s="173"/>
      <c r="AM31" s="410"/>
      <c r="AN31" s="410"/>
      <c r="AO31" s="491"/>
      <c r="AP31" s="525">
        <v>103</v>
      </c>
      <c r="AQ31" s="526" t="str">
        <f ca="1">+MID(INDEX(WORLDCUP!$AA$101:$AA$147,MATCH(AP31,WORLDCUP!$Z$101:$Z$147,0)),1,4)</f>
        <v>Fran</v>
      </c>
      <c r="AR31" s="527">
        <f>+IF(ISBLANK(INDEX(WORLDCUP!$AC$101:$AC$147,MATCH(AP31,WORLDCUP!$Z$101:$Z$147,0))),"",INDEX(WORLDCUP!$AC$101:$AC$147,MATCH(AP31,WORLDCUP!$Z$101:$Z$147,0)))</f>
        <v>4</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f>+IF(ISBLANK(INDEX(WORLDCUP!$AD$101:$AD$147,MATCH(AH32,WORLDCUP!$Z$101:$Z$147,0))),"",INDEX(WORLDCUP!$AD$101:$AD$147,MATCH(AH32,WORLDCUP!$Z$101:$Z$147,0)))</f>
        <v>2</v>
      </c>
      <c r="AK32" s="474" t="str">
        <f>+IF(ISBLANK(INDEX(WORLDCUP!$AE$101:$AE$147,MATCH(AH32,WORLDCUP!$Z$101:$Z$147,0))),"","( "&amp;INDEX(WORLDCUP!$AE$101:$AE$147,MATCH(AH32,WORLDCUP!$Z$101:$Z$147,0))&amp;" )")</f>
        <v/>
      </c>
      <c r="AL32" s="173"/>
      <c r="AM32" s="410"/>
      <c r="AN32" s="410"/>
      <c r="AO32" s="491"/>
      <c r="AP32" s="394">
        <v>103</v>
      </c>
      <c r="AQ32" s="526" t="str">
        <f ca="1">+MID(INDEX(WORLDCUP!$AF$101:$AF$147,MATCH(AP32,WORLDCUP!$Z$101:$Z$147,0)),1,4)</f>
        <v>Ingl</v>
      </c>
      <c r="AR32" s="527">
        <f>+IF(ISBLANK(INDEX(WORLDCUP!$AD$101:$AD$147,MATCH(AP32,WORLDCUP!$Z$101:$Z$147,0))),"",INDEX(WORLDCUP!$AD$101:$AD$147,MATCH(AP32,WORLDCUP!$Z$101:$Z$147,0)))</f>
        <v>6</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 ca="1">+MID(INDEX(WORLDCUP!$AA$101:$AA$147,MATCH(AL37,WORLDCUP!$Z$101:$Z$147,0)),1,3)</f>
        <v>Ing</v>
      </c>
      <c r="AN37" s="488">
        <f>+IF(ISBLANK(INDEX(WORLDCUP!$AC$101:$AC$147,MATCH(AL37,WORLDCUP!$Z$101:$Z$147,0))),"",INDEX(WORLDCUP!$AC$101:$AC$147,MATCH(AL37,WORLDCUP!$Z$101:$Z$147,0)))</f>
        <v>1</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aca="1" ref="AM38" ca="1">+MID(INDEX(WORLDCUP!$AF$101:$AF$147,MATCH(AL38,WORLDCUP!$Z$101:$Z$147,0)),1,IF(OR(ISBLANK(AC134:AD134)),4,3))</f>
        <v>Arge</v>
      </c>
      <c r="AN38" s="488">
        <f>+IF(ISBLANK(INDEX(WORLDCUP!$AD$101:$AD$147,MATCH(AL38,WORLDCUP!$Z$101:$Z$147,0))),"",INDEX(WORLDCUP!$AD$101:$AD$147,MATCH(AL38,WORLDCUP!$Z$101:$Z$147,0)))</f>
        <v>2</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f>+IF(ISBLANK(INDEX(WORLDCUP!$AC$101:$AC$147,MATCH(AD40,WORLDCUP!$Z$101:$Z$147,0))),"",INDEX(WORLDCUP!$AC$101:$AC$147,MATCH(AD40,WORLDCUP!$Z$101:$Z$147,0)))</f>
        <v>3</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f>+IF(ISBLANK(INDEX(WORLDCUP!$AD$101:$AD$147,MATCH(AD41,WORLDCUP!$Z$101:$Z$147,0))),"",INDEX(WORLDCUP!$AD$101:$AD$147,MATCH(AD41,WORLDCUP!$Z$101:$Z$147,0)))</f>
        <v>2</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 ca="1">+MID(INDEX(WORLDCUP!$AA$101:$AA$147,MATCH(AH43,WORLDCUP!$Z$101:$Z$147,0)),1,3)</f>
        <v>Arg</v>
      </c>
      <c r="AJ43" s="463">
        <f>+IF(ISBLANK(INDEX(WORLDCUP!$AC$101:$AC$147,MATCH(AH43,WORLDCUP!$Z$101:$Z$147,0))),"",INDEX(WORLDCUP!$AC$101:$AC$147,MATCH(AH43,WORLDCUP!$Z$101:$Z$147,0)))</f>
        <v>3</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 ca="1">+MID(INDEX(WORLDCUP!$AF$101:$AF$147,MATCH(AH44,WORLDCUP!$Z$101:$Z$147,0)),1,3)</f>
        <v>Sui</v>
      </c>
      <c r="AJ44" s="463">
        <f>+IF(ISBLANK(INDEX(WORLDCUP!$AD$101:$AD$147,MATCH(AH44,WORLDCUP!$Z$101:$Z$147,0))),"",INDEX(WORLDCUP!$AD$101:$AD$147,MATCH(AH44,WORLDCUP!$Z$101:$Z$147,0)))</f>
        <v>1</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f>+IF(ISBLANK(INDEX(WORLDCUP!$AC$101:$AC$147,MATCH(AD46,WORLDCUP!$Z$101:$Z$147,0))),"",INDEX(WORLDCUP!$AC$101:$AC$147,MATCH(AD46,WORLDCUP!$Z$101:$Z$147,0)))</f>
        <v>0</v>
      </c>
      <c r="AG46" s="480" t="str">
        <f>+IF(ISBLANK(INDEX(WORLDCUP!$AB$101:$AB$147,MATCH(AD46,WORLDCUP!$Z$101:$Z$147,0))),"","( "&amp;INDEX(WORLDCUP!$AB$101:$AB$147,MATCH(AD46,WORLDCUP!$Z$101:$Z$147,0))&amp;" )")</f>
        <v>( 4 )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f>+IF(ISBLANK(INDEX(WORLDCUP!$AD$101:$AD$147,MATCH(AD47,WORLDCUP!$Z$101:$Z$147,0))),"",INDEX(WORLDCUP!$AD$101:$AD$147,MATCH(AD47,WORLDCUP!$Z$101:$Z$147,0)))</f>
        <v>0</v>
      </c>
      <c r="AG47" s="453" t="str">
        <f>+IF(ISBLANK(INDEX(WORLDCUP!$AE$101:$AE$147,MATCH(AD47,WORLDCUP!$Z$101:$Z$147,0))),"","( "&amp;INDEX(WORLDCUP!$AE$101:$AE$147,MATCH(AD47,WORLDCUP!$Z$101:$Z$147,0))&amp;" )")</f>
        <v>( 3 )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0</v>
      </c>
      <c r="BK47" s="444">
        <f ca="1">COUNTIF(Pool!$C$210:$C$217,Fixture!BG47)-BL47-BM47-BN47-BO47</f>
        <v>1</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2026-07-20T11:58:11Z</dcterms:modified>
</cp:coreProperties>
</file>